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"/>
    </mc:Choice>
  </mc:AlternateContent>
  <xr:revisionPtr revIDLastSave="0" documentId="8_{F01F0D5E-C334-BB42-8C93-7D04883579F9}" xr6:coauthVersionLast="47" xr6:coauthVersionMax="47" xr10:uidLastSave="{00000000-0000-0000-0000-000000000000}"/>
  <bookViews>
    <workbookView xWindow="-100" yWindow="760" windowWidth="23260" windowHeight="12460" tabRatio="588" activeTab="2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(分隊)'!$B$4:$S$870</definedName>
    <definedName name="_xlnm.Print_Area" localSheetId="1">'TEAM (分隊)'!$B$1:$M$870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<sst xmlns="http://schemas.openxmlformats.org/spreadsheetml/2006/main" count="3195" uniqueCount="934">
  <si>
    <t>件數</t>
  </si>
  <si>
    <t>HC169</t>
  </si>
  <si>
    <t>HC702</t>
  </si>
  <si>
    <t>HC711</t>
  </si>
  <si>
    <t>HC899</t>
  </si>
  <si>
    <t>單位</t>
    <phoneticPr fontId="4" type="noConversion"/>
  </si>
  <si>
    <t>HC161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</si>
  <si>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</si>
  <si>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</si>
  <si>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</si>
  <si>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</si>
  <si>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</si>
  <si>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</si>
  <si>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</si>
  <si>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</si>
  <si>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</si>
  <si>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</si>
  <si>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</si>
  <si>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</si>
  <si>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</si>
  <si>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</si>
  <si>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</si>
  <si>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</si>
  <si>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</si>
  <si>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</si>
  <si>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</si>
  <si>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</si>
  <si>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</si>
  <si>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</si>
  <si>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</si>
  <si>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</si>
  <si>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</si>
  <si>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</si>
  <si>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</si>
  <si>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</si>
  <si>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</si>
  <si>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</si>
  <si>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</si>
  <si>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</si>
  <si>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</si>
  <si>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</si>
  <si>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</si>
  <si>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</si>
  <si>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</si>
  <si>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</si>
  <si>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</si>
  <si>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</si>
  <si>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</si>
  <si>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</si>
  <si>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</si>
  <si>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</si>
  <si>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</si>
  <si>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</si>
  <si>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</si>
  <si>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</si>
  <si>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</si>
  <si>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</si>
  <si>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</si>
  <si>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</si>
  <si>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</si>
  <si>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</si>
  <si>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</si>
  <si>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</si>
  <si>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</si>
  <si>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</si>
  <si>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</si>
  <si>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</si>
  <si>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</si>
  <si>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</si>
  <si>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</si>
  <si>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</si>
  <si>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</si>
  <si>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</si>
  <si>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</si>
  <si>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</si>
  <si>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</si>
  <si>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</si>
  <si>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</si>
  <si>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</si>
  <si>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</si>
  <si>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</si>
  <si>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</si>
  <si>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</si>
  <si>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</si>
  <si>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</si>
  <si>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</si>
  <si>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</si>
  <si>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</si>
  <si>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</si>
  <si>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</si>
  <si>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</si>
  <si>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</si>
  <si>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</si>
  <si>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</si>
  <si>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</si>
  <si>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</si>
  <si>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</si>
  <si>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</si>
  <si>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</si>
  <si>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</si>
  <si>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</si>
  <si>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</si>
  <si>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</si>
  <si>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</si>
  <si>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</si>
  <si>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</si>
  <si>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</si>
  <si>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</si>
  <si>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</si>
  <si>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</si>
  <si>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</si>
  <si>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</si>
  <si>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</si>
  <si>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</si>
  <si>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</si>
  <si>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</si>
  <si>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</si>
  <si>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</si>
  <si>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</si>
  <si>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</si>
  <si>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</si>
  <si>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</si>
  <si>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</si>
  <si>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</si>
  <si>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</si>
  <si>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</si>
  <si>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</si>
  <si>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</si>
  <si>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</si>
  <si>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</si>
  <si>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</si>
  <si>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</si>
  <si>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</si>
  <si>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</si>
  <si>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</si>
  <si>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</si>
  <si>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</si>
  <si>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</si>
  <si>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</si>
  <si>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</si>
  <si>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</si>
  <si>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</si>
  <si>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</si>
  <si>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</si>
  <si>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</si>
  <si>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</si>
  <si>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</si>
  <si>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</si>
  <si>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</si>
  <si>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</si>
  <si>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</si>
  <si>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</si>
  <si>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</si>
  <si>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</si>
  <si>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</si>
  <si>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</si>
  <si>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</si>
  <si>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</si>
  <si>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</si>
  <si>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</si>
  <si>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</si>
  <si>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</si>
  <si>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</si>
  <si>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</si>
  <si>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</si>
  <si>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</si>
  <si>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</si>
  <si>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</si>
  <si>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</si>
  <si>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</si>
  <si>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</si>
  <si>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</si>
  <si>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</si>
  <si>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</si>
  <si>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</si>
  <si>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</si>
  <si>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</si>
  <si>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</si>
  <si>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</si>
  <si>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</si>
  <si>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</si>
  <si>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</si>
  <si>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</si>
  <si>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</si>
  <si>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</si>
  <si>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</si>
  <si>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</si>
  <si>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</si>
  <si>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</si>
  <si>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</si>
  <si>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</si>
  <si>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</si>
  <si>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</si>
  <si>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</si>
  <si>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</si>
  <si>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</si>
  <si>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</si>
  <si>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</si>
  <si>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</si>
  <si>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</si>
  <si>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</si>
  <si>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</si>
  <si>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陳嘉揚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</si>
  <si>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</si>
  <si>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</si>
  <si>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</si>
  <si>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</si>
  <si>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</si>
  <si>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</si>
  <si>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</si>
  <si>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</si>
  <si>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</si>
  <si>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</si>
  <si>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</si>
  <si>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</si>
  <si>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</si>
  <si>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</si>
  <si>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</si>
  <si>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</si>
  <si>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</si>
  <si>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</si>
  <si>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</si>
  <si>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</si>
  <si>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</si>
  <si>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</si>
  <si>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</si>
  <si>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</si>
  <si>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</si>
  <si>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</si>
  <si>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</si>
  <si>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</si>
  <si>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</si>
  <si>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</si>
  <si>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</si>
  <si>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</si>
  <si>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</si>
  <si>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</si>
  <si>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</si>
  <si>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</si>
  <si>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</si>
  <si>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</si>
  <si>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</si>
  <si>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</si>
  <si>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</si>
  <si>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</si>
  <si>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</si>
  <si>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</si>
  <si>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</si>
  <si>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</si>
  <si>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</si>
  <si>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</si>
  <si>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</si>
  <si>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</si>
  <si>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傅采玄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</si>
  <si>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</si>
  <si>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</si>
  <si>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</si>
  <si>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</si>
  <si>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</si>
  <si>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</si>
  <si>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</si>
  <si>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</si>
  <si>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</si>
  <si>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</si>
  <si>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</si>
  <si>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</si>
  <si>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</si>
  <si>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</si>
  <si>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</si>
  <si>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</si>
  <si>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</si>
  <si>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</si>
  <si>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</si>
  <si>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</si>
  <si>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</si>
  <si>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</si>
  <si>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</si>
  <si>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</si>
  <si>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</si>
  <si>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</si>
  <si>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</si>
  <si>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</si>
  <si>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</si>
  <si>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</si>
  <si>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</si>
  <si>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</si>
  <si>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</si>
  <si>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</si>
  <si>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</si>
  <si>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</si>
  <si>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</si>
  <si>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</si>
  <si>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</si>
  <si>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</si>
  <si>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</si>
  <si>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</si>
  <si>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</si>
  <si>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</si>
  <si>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</si>
  <si>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</si>
  <si>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</si>
  <si>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</si>
  <si>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</si>
  <si>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</si>
  <si>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</si>
  <si>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</si>
  <si>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</si>
  <si>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</si>
  <si>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</si>
  <si>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</si>
  <si>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</si>
  <si>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</si>
  <si>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</si>
  <si>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</si>
  <si>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</si>
  <si>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</si>
  <si>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</si>
  <si>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</si>
  <si>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</si>
  <si>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</si>
  <si>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</si>
  <si>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</si>
  <si>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</si>
  <si>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</si>
  <si>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</si>
  <si>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</si>
  <si>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</si>
  <si>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</si>
  <si>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</si>
  <si>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</si>
  <si>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</si>
  <si>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</si>
  <si>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</si>
  <si>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</si>
  <si>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</si>
  <si>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</si>
  <si>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</si>
  <si>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</si>
  <si>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</si>
  <si>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</si>
  <si>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</si>
  <si>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</si>
  <si>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</si>
  <si>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</si>
  <si>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</si>
  <si>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</si>
  <si>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</si>
  <si>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</si>
  <si>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</si>
  <si>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</si>
  <si>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</si>
  <si>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</si>
  <si>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</si>
  <si>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</si>
  <si>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</si>
  <si>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</si>
  <si>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</si>
  <si>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</si>
  <si>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</si>
  <si>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</si>
  <si>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</si>
  <si>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</si>
  <si>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</si>
  <si>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</si>
  <si>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</si>
  <si>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</si>
  <si>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</si>
  <si>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</si>
  <si>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</si>
  <si>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</si>
  <si>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</si>
  <si>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</si>
  <si>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</si>
  <si>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</si>
  <si>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</si>
  <si>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</si>
  <si>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</si>
  <si>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</si>
  <si>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</si>
  <si>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</si>
  <si>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</si>
  <si>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</si>
  <si>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</si>
  <si>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</si>
  <si>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</si>
  <si>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</si>
  <si>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</si>
  <si>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</si>
  <si>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</si>
  <si>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</si>
  <si>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</si>
  <si>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</si>
  <si>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</si>
  <si>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</si>
  <si>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</si>
  <si>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</si>
  <si>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</si>
  <si>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</si>
  <si>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</si>
  <si>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</si>
  <si>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</si>
  <si>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</si>
  <si>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</si>
  <si>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</si>
  <si>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</si>
  <si>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</si>
  <si>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</si>
  <si>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</si>
  <si>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</si>
  <si>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</si>
  <si>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</si>
  <si>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</si>
  <si>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</si>
  <si>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</si>
  <si>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</si>
  <si>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</si>
  <si>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</si>
  <si>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</si>
  <si>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</si>
  <si>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</si>
  <si>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</si>
  <si>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</si>
  <si>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</si>
  <si>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</si>
  <si>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</si>
  <si>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</si>
  <si>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</si>
  <si>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</si>
  <si>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</si>
  <si>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</si>
  <si>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</si>
  <si>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</si>
  <si>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</si>
  <si>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</si>
  <si>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</si>
  <si>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</si>
  <si>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</si>
  <si>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</si>
  <si>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</si>
  <si>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</si>
  <si>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</si>
  <si>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</si>
  <si>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</si>
  <si>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</si>
  <si>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</si>
  <si>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</si>
  <si>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</si>
  <si>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</si>
  <si>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</si>
  <si>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</si>
  <si>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</si>
  <si>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</si>
  <si>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</si>
  <si>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</si>
  <si>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</si>
  <si>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</si>
  <si>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</si>
  <si>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</si>
  <si>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</si>
  <si>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</si>
  <si>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</si>
  <si>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</si>
  <si>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</si>
  <si>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</si>
  <si>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</si>
  <si>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</si>
  <si>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</si>
  <si>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</si>
  <si>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</si>
  <si>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</si>
  <si>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</si>
  <si>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</si>
  <si>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</si>
  <si>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</si>
  <si>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</si>
  <si>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</si>
  <si>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</si>
  <si>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</si>
  <si>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</si>
  <si>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</si>
  <si>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</si>
  <si>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</si>
  <si>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</si>
  <si>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</si>
  <si>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</si>
  <si>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</si>
  <si>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</si>
  <si>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</si>
  <si>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</si>
  <si>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HC899</t>
    <phoneticPr fontId="3" type="noConversion"/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</si>
  <si>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</si>
  <si>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</si>
  <si>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</si>
  <si>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</si>
  <si>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</si>
  <si>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</si>
  <si>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</si>
  <si>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</si>
  <si>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</si>
  <si>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</si>
  <si>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</si>
  <si>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</si>
  <si>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</si>
  <si>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</si>
  <si>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</si>
  <si>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舉績率</t>
    <phoneticPr fontId="3" type="noConversion"/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</si>
  <si>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</si>
  <si>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</si>
  <si>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</si>
  <si>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</si>
  <si>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</si>
  <si>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</si>
  <si>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</si>
  <si>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</si>
  <si>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</si>
  <si>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</si>
  <si>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</si>
  <si>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</si>
  <si>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</si>
  <si>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</si>
  <si>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</si>
  <si>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</si>
  <si>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</si>
  <si>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</si>
  <si>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</si>
  <si>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</si>
  <si>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</si>
  <si>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</si>
  <si>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</si>
  <si>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</si>
  <si>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</si>
  <si>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</si>
  <si>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</si>
  <si>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</si>
  <si>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</si>
  <si>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</si>
  <si>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</si>
  <si>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</si>
  <si>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</si>
  <si>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</si>
  <si>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</si>
  <si>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</si>
  <si>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</si>
  <si>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</si>
  <si>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</si>
  <si>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</si>
  <si>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</si>
  <si>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</si>
  <si>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</si>
  <si>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</si>
  <si>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</si>
  <si>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實動率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</si>
  <si>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</si>
  <si>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</si>
  <si>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</si>
  <si>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</si>
  <si>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</si>
  <si>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</si>
  <si>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</si>
  <si>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</si>
  <si>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</si>
  <si>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</si>
  <si>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</si>
  <si>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</si>
  <si>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</si>
  <si>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</si>
  <si>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</si>
  <si>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</si>
  <si>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</si>
  <si>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</si>
  <si>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</si>
  <si>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</si>
  <si>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</si>
  <si>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</si>
  <si>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</si>
  <si>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</si>
  <si>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</si>
  <si>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</si>
  <si>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</si>
  <si>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</si>
  <si>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</si>
  <si>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</si>
  <si>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</si>
  <si>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</si>
  <si>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</si>
  <si>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</si>
  <si>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</si>
  <si>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</si>
  <si>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</si>
  <si>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</si>
  <si>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</si>
  <si>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</si>
  <si>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</si>
  <si>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</si>
  <si>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</si>
  <si>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</si>
  <si>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</si>
  <si>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</si>
  <si>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</si>
  <si>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</si>
  <si>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</si>
  <si>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</si>
  <si>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</si>
  <si>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</si>
  <si>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</si>
  <si>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</si>
  <si>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</si>
  <si>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</si>
  <si>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</si>
  <si>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</si>
  <si>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</si>
  <si>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</si>
  <si>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</si>
  <si>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</si>
  <si>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</si>
  <si>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</si>
  <si>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</si>
  <si>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</si>
  <si>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</si>
  <si>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</si>
  <si>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</si>
  <si>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</si>
  <si>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</si>
  <si>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</si>
  <si>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</si>
  <si>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</si>
  <si>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</si>
  <si>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</si>
  <si>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</si>
  <si>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</si>
  <si>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</si>
  <si>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</si>
  <si>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</si>
  <si>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</si>
  <si>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</si>
  <si>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</si>
  <si>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</si>
  <si>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</si>
  <si>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</si>
  <si>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</si>
  <si>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</si>
  <si>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</si>
  <si>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</si>
  <si>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</si>
  <si>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</si>
  <si>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</si>
  <si>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</si>
  <si>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</si>
  <si>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</si>
  <si>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</si>
  <si>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</si>
  <si>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</si>
  <si>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</si>
  <si>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</si>
  <si>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</si>
  <si>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</si>
  <si>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</si>
  <si>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</si>
  <si>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</si>
  <si>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</si>
  <si>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</si>
  <si>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</si>
  <si>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</si>
  <si>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</si>
  <si>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</si>
  <si>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</si>
  <si>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</si>
  <si>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</si>
  <si>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</si>
  <si>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</si>
  <si>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</si>
  <si>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</si>
  <si>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</si>
  <si>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</si>
  <si>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</si>
  <si>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</si>
  <si>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</si>
  <si>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2.5C率</t>
    <phoneticPr fontId="3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</si>
  <si>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</si>
  <si>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</si>
  <si>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</si>
  <si>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</si>
  <si>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</si>
  <si>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</si>
  <si>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r>
      <t>FYC</t>
    </r>
    <r>
      <rPr>
        <sz val="10"/>
        <color theme="0"/>
        <rFont val="新細明體"/>
        <family val="1"/>
        <charset val="136"/>
      </rPr>
      <t>≧</t>
    </r>
    <r>
      <rPr>
        <sz val="10"/>
        <color theme="0"/>
        <rFont val="新細明體"/>
        <family val="1"/>
        <charset val="136"/>
        <scheme val="minor"/>
      </rPr>
      <t>25000</t>
    </r>
    <phoneticPr fontId="3" type="noConversion"/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</si>
  <si>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</si>
  <si>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</si>
  <si>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</si>
  <si>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</si>
  <si>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</si>
  <si>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</si>
  <si>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</si>
  <si>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</si>
  <si>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</si>
  <si>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</si>
  <si>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</si>
  <si>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</si>
  <si>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</si>
  <si>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</si>
  <si>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</si>
  <si>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</si>
  <si>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</si>
  <si>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</si>
  <si>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</si>
  <si>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</si>
  <si>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</si>
  <si>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</si>
  <si>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</si>
  <si>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</si>
  <si>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</si>
  <si>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</si>
  <si>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</si>
  <si>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</si>
  <si>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</si>
  <si>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</si>
  <si>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</si>
  <si>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</si>
  <si>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</si>
  <si>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</si>
  <si>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</si>
  <si>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</si>
  <si>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</si>
  <si>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</si>
  <si>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</si>
  <si>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</si>
  <si>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</si>
  <si>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</si>
  <si>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</si>
  <si>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</si>
  <si>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</si>
  <si>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</si>
  <si>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</si>
  <si>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</si>
  <si>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</si>
  <si>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</si>
  <si>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曾鈺婷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</si>
  <si>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</si>
  <si>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</si>
  <si>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</si>
  <si>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</si>
  <si>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</si>
  <si>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</si>
  <si>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</si>
  <si>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</si>
  <si>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</si>
  <si>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龔莉涵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</si>
  <si>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</si>
  <si>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</si>
  <si>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</si>
  <si>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</si>
  <si>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</si>
  <si>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</si>
  <si>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</si>
  <si>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</si>
  <si>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</si>
  <si>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新人</t>
    <phoneticPr fontId="3" type="noConversion"/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</si>
  <si>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</si>
  <si>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</si>
  <si>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</si>
  <si>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</si>
  <si>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</si>
  <si>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</si>
  <si>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</si>
  <si>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</si>
  <si>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</si>
  <si>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</si>
  <si>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</si>
  <si>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</si>
  <si>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</si>
  <si>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</si>
  <si>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</si>
  <si>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</si>
  <si>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</si>
  <si>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</si>
  <si>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</si>
  <si>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</si>
  <si>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</si>
  <si>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</si>
  <si>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</si>
  <si>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</si>
  <si>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</si>
  <si>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</si>
  <si>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</si>
  <si>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</si>
  <si>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</si>
  <si>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</si>
  <si>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</si>
  <si>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</si>
  <si>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 xml:space="preserve">UM 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</si>
  <si>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</si>
  <si>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</si>
  <si>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</si>
  <si>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</si>
  <si>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</si>
  <si>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</si>
  <si>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</si>
  <si>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</si>
  <si>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</si>
  <si>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</si>
  <si>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</si>
  <si>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</si>
  <si>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</si>
  <si>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</si>
  <si>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</si>
  <si>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</si>
  <si>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</si>
  <si>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</si>
  <si>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</si>
  <si>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</si>
  <si>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</si>
  <si>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</si>
  <si>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</si>
  <si>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</si>
  <si>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</si>
  <si>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沈亭妤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</si>
  <si>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</si>
  <si>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</si>
  <si>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</si>
  <si>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</si>
  <si>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</si>
  <si>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 xml:space="preserve">張靜宜 </t>
    <phoneticPr fontId="3" type="noConversion"/>
  </si>
  <si>
    <t xml:space="preserve">徐榮祖 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</si>
  <si>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</si>
  <si>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</si>
  <si>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</si>
  <si>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</si>
  <si>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</si>
  <si>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</si>
  <si>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</si>
  <si>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郭庭宜</t>
    <phoneticPr fontId="3" type="noConversion"/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</si>
  <si>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</si>
  <si>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</si>
  <si>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</si>
  <si>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</si>
  <si>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</si>
  <si>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</si>
  <si>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</si>
  <si>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</si>
  <si>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</si>
  <si>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</si>
  <si>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</si>
  <si>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</si>
  <si>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</si>
  <si>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</si>
  <si>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</si>
  <si>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</si>
  <si>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</si>
  <si>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</si>
  <si>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</si>
  <si>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</si>
  <si>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</si>
  <si>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</si>
  <si>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</si>
  <si>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</si>
  <si>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</si>
  <si>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</si>
  <si>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</si>
  <si>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</si>
  <si>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</si>
  <si>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</si>
  <si>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</si>
  <si>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</si>
  <si>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</si>
  <si>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曾志銓(留停)</t>
    <phoneticPr fontId="4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</si>
  <si>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</si>
  <si>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</si>
  <si>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</si>
  <si>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</si>
  <si>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</si>
  <si>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</si>
  <si>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</si>
  <si>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1" type="noConversion"/>
  </si>
  <si>
    <t>鄭小泙</t>
  </si>
  <si>
    <t>吳湘羚</t>
  </si>
  <si>
    <t>蕭錡菲</t>
    <phoneticPr fontId="4" type="noConversion"/>
  </si>
  <si>
    <t>欉億</t>
  </si>
  <si>
    <t>壯實人力</t>
    <phoneticPr fontId="3" type="noConversion"/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</si>
  <si>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</si>
  <si>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</si>
  <si>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</si>
  <si>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</si>
  <si>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</si>
  <si>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</si>
  <si>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</si>
  <si>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</si>
  <si>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</si>
  <si>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</si>
  <si>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</si>
  <si>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</si>
  <si>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</si>
  <si>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</si>
  <si>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</si>
  <si>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</si>
  <si>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</si>
  <si>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</si>
  <si>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</si>
  <si>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</si>
  <si>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</si>
  <si>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</si>
  <si>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</si>
  <si>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</si>
  <si>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</si>
  <si>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</si>
  <si>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</si>
  <si>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1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</si>
  <si>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</si>
  <si>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</si>
  <si>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</si>
  <si>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</si>
  <si>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</si>
  <si>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</si>
  <si>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</si>
  <si>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</si>
  <si>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</si>
  <si>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</si>
  <si>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</si>
  <si>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1" type="noConversion"/>
  </si>
  <si>
    <t>累計新聘</t>
    <phoneticPr fontId="181" type="noConversion"/>
  </si>
  <si>
    <t xml:space="preserve">115年3月【受理業績】報表 </t>
    <phoneticPr fontId="4" type="noConversion"/>
  </si>
  <si>
    <t>115年3月 直轄【受理業績】報表</t>
    <phoneticPr fontId="4" type="noConversion"/>
  </si>
  <si>
    <t>竹苗區部  115年第3工作月 關鍵指標報表</t>
    <phoneticPr fontId="26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</si>
  <si>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</si>
  <si>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當月業績
(115.2.26-115.03.25)</t>
    <phoneticPr fontId="4" type="noConversion"/>
  </si>
  <si>
    <t>※結案截止日：115.4.8</t>
    <phoneticPr fontId="4" type="noConversion"/>
  </si>
  <si>
    <t>陳秋敏</t>
    <phoneticPr fontId="3" type="noConversion"/>
  </si>
  <si>
    <t>宋娸華</t>
  </si>
  <si>
    <t>郭鎮銘</t>
  </si>
  <si>
    <t>葉亦蓮</t>
  </si>
  <si>
    <t>年度(1-2月核實+3月受理業績)</t>
    <phoneticPr fontId="3" type="noConversion"/>
  </si>
  <si>
    <t>吳錫安</t>
    <phoneticPr fontId="3" type="noConversion"/>
  </si>
  <si>
    <t>受理日：115.3.25</t>
    <phoneticPr fontId="4" type="noConversion"/>
  </si>
  <si>
    <t>ok</t>
  </si>
  <si>
    <t>_</t>
  </si>
  <si>
    <t>受理日：115.3.25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</si>
</sst>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sz val="8"/>
      <color rgb="FF0000FF"/>
      <name val="新細明體"/>
      <family val="3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2" fillId="0" borderId="0" applyNumberFormat="0" applyFill="0" applyBorder="0" applyAlignment="0" applyProtection="0"/>
    <xf numFmtId="0" fontId="1" fillId="0" borderId="0">
      <alignment vertical="center"/>
    </xf>
    <xf numFmtId="0" fontId="153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10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0" fontId="39" fillId="6" borderId="5" xfId="0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180" fontId="98" fillId="6" borderId="4" xfId="0" applyNumberFormat="1" applyFont="1" applyFill="1" applyBorder="1" applyAlignment="1">
      <alignment horizontal="center" vertical="center"/>
    </xf>
    <xf numFmtId="0" fontId="39" fillId="6" borderId="4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7" fillId="2" borderId="0" xfId="8" applyFont="1" applyFill="1" applyAlignment="1">
      <alignment horizontal="center"/>
    </xf>
    <xf numFmtId="0" fontId="149" fillId="0" borderId="7" xfId="0" applyFont="1" applyBorder="1" applyAlignment="1">
      <alignment horizontal="center" vertical="center"/>
    </xf>
    <xf numFmtId="180" fontId="150" fillId="3" borderId="7" xfId="10" applyNumberFormat="1" applyFont="1" applyFill="1" applyBorder="1" applyAlignment="1">
      <alignment horizontal="center" vertical="center"/>
    </xf>
    <xf numFmtId="180" fontId="151" fillId="48" borderId="7" xfId="10" applyNumberFormat="1" applyFont="1" applyFill="1" applyBorder="1" applyAlignment="1">
      <alignment horizontal="center" vertical="center"/>
    </xf>
    <xf numFmtId="180" fontId="150" fillId="5" borderId="7" xfId="10" applyNumberFormat="1" applyFont="1" applyFill="1" applyBorder="1" applyAlignment="1">
      <alignment horizontal="center" vertical="center"/>
    </xf>
    <xf numFmtId="0" fontId="149" fillId="5" borderId="7" xfId="0" applyFont="1" applyFill="1" applyBorder="1" applyAlignment="1">
      <alignment horizontal="center" vertical="center"/>
    </xf>
    <xf numFmtId="0" fontId="149" fillId="12" borderId="7" xfId="0" applyFont="1" applyFill="1" applyBorder="1" applyAlignment="1">
      <alignment horizontal="center" vertical="center"/>
    </xf>
    <xf numFmtId="0" fontId="149" fillId="4" borderId="7" xfId="0" applyFont="1" applyFill="1" applyBorder="1" applyAlignment="1">
      <alignment horizontal="center" vertical="center"/>
    </xf>
    <xf numFmtId="180" fontId="150" fillId="4" borderId="7" xfId="10" applyNumberFormat="1" applyFont="1" applyFill="1" applyBorder="1" applyAlignment="1">
      <alignment horizontal="center" vertical="center"/>
    </xf>
    <xf numFmtId="38" fontId="149" fillId="5" borderId="7" xfId="0" applyNumberFormat="1" applyFont="1" applyFill="1" applyBorder="1" applyAlignment="1">
      <alignment horizontal="center" vertical="center"/>
    </xf>
    <xf numFmtId="0" fontId="149" fillId="6" borderId="7" xfId="0" applyFont="1" applyFill="1" applyBorder="1" applyAlignment="1">
      <alignment horizontal="center" vertical="center"/>
    </xf>
    <xf numFmtId="38" fontId="150" fillId="3" borderId="7" xfId="10" applyNumberFormat="1" applyFont="1" applyFill="1" applyBorder="1" applyAlignment="1">
      <alignment horizontal="center" vertical="center"/>
    </xf>
    <xf numFmtId="180" fontId="150" fillId="3" borderId="7" xfId="0" applyNumberFormat="1" applyFont="1" applyFill="1" applyBorder="1" applyAlignment="1">
      <alignment horizontal="center" vertical="center"/>
    </xf>
    <xf numFmtId="180" fontId="150" fillId="6" borderId="7" xfId="0" applyNumberFormat="1" applyFont="1" applyFill="1" applyBorder="1" applyAlignment="1">
      <alignment horizontal="center" vertical="center"/>
    </xf>
    <xf numFmtId="180" fontId="151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9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180" fontId="98" fillId="6" borderId="5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5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5" fillId="4" borderId="14" xfId="0" applyNumberFormat="1" applyFont="1" applyFill="1" applyBorder="1" applyAlignment="1">
      <alignment horizontal="center" vertical="center"/>
    </xf>
    <xf numFmtId="9" fontId="155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5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6" fillId="4" borderId="29" xfId="0" applyNumberFormat="1" applyFont="1" applyFill="1" applyBorder="1" applyAlignment="1">
      <alignment horizontal="right" vertical="center"/>
    </xf>
    <xf numFmtId="10" fontId="155" fillId="4" borderId="29" xfId="0" applyNumberFormat="1" applyFont="1" applyFill="1" applyBorder="1" applyAlignment="1">
      <alignment horizontal="center" vertical="center"/>
    </xf>
    <xf numFmtId="0" fontId="156" fillId="0" borderId="0" xfId="0" applyFont="1">
      <alignment vertical="center"/>
    </xf>
    <xf numFmtId="0" fontId="158" fillId="0" borderId="11" xfId="0" applyFont="1" applyBorder="1">
      <alignment vertical="center"/>
    </xf>
    <xf numFmtId="0" fontId="158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9" fillId="2" borderId="0" xfId="0" applyFont="1" applyFill="1">
      <alignment vertical="center"/>
    </xf>
    <xf numFmtId="0" fontId="158" fillId="2" borderId="11" xfId="0" applyFont="1" applyFill="1" applyBorder="1">
      <alignment vertical="center"/>
    </xf>
    <xf numFmtId="0" fontId="158" fillId="2" borderId="11" xfId="0" applyFont="1" applyFill="1" applyBorder="1" applyAlignment="1">
      <alignment horizontal="center" vertical="center"/>
    </xf>
    <xf numFmtId="0" fontId="159" fillId="2" borderId="0" xfId="0" applyFont="1" applyFill="1" applyAlignment="1">
      <alignment horizontal="left" vertical="center"/>
    </xf>
    <xf numFmtId="0" fontId="160" fillId="0" borderId="0" xfId="0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161" fillId="0" borderId="0" xfId="0" applyFont="1" applyAlignment="1">
      <alignment horizontal="left" vertical="center"/>
    </xf>
    <xf numFmtId="0" fontId="160" fillId="4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6" fillId="0" borderId="0" xfId="0" applyNumberFormat="1" applyFont="1" applyAlignment="1">
      <alignment horizontal="center" vertical="center"/>
    </xf>
    <xf numFmtId="0" fontId="156" fillId="0" borderId="0" xfId="0" applyFont="1" applyAlignment="1">
      <alignment horizontal="center" vertical="center"/>
    </xf>
    <xf numFmtId="183" fontId="155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5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2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5" xfId="0" applyNumberFormat="1" applyFont="1" applyFill="1" applyBorder="1" applyAlignment="1">
      <alignment horizontal="center" vertical="center"/>
    </xf>
    <xf numFmtId="38" fontId="39" fillId="6" borderId="4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9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5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3" fillId="6" borderId="6" xfId="0" applyFont="1" applyFill="1" applyBorder="1" applyAlignment="1">
      <alignment horizontal="left" vertical="center"/>
    </xf>
    <xf numFmtId="0" fontId="164" fillId="6" borderId="6" xfId="0" applyFont="1" applyFill="1" applyBorder="1" applyAlignment="1">
      <alignment horizontal="left" vertical="center"/>
    </xf>
    <xf numFmtId="181" fontId="164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6" fillId="4" borderId="0" xfId="0" applyNumberFormat="1" applyFont="1" applyFill="1" applyAlignment="1">
      <alignment horizontal="center" vertical="center"/>
    </xf>
    <xf numFmtId="38" fontId="166" fillId="4" borderId="0" xfId="0" applyNumberFormat="1" applyFont="1" applyFill="1" applyAlignment="1">
      <alignment horizontal="center" vertical="center"/>
    </xf>
    <xf numFmtId="0" fontId="166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7" fillId="16" borderId="20" xfId="0" applyFont="1" applyFill="1" applyBorder="1" applyAlignment="1">
      <alignment horizontal="center" vertical="center" wrapText="1"/>
    </xf>
    <xf numFmtId="0" fontId="167" fillId="16" borderId="136" xfId="0" applyFont="1" applyFill="1" applyBorder="1" applyAlignment="1">
      <alignment horizontal="center" vertical="center" wrapText="1"/>
    </xf>
    <xf numFmtId="0" fontId="156" fillId="16" borderId="128" xfId="0" applyFont="1" applyFill="1" applyBorder="1" applyAlignment="1">
      <alignment horizontal="center" vertical="center" wrapText="1"/>
    </xf>
    <xf numFmtId="0" fontId="156" fillId="16" borderId="22" xfId="0" applyFont="1" applyFill="1" applyBorder="1" applyAlignment="1">
      <alignment horizontal="center" vertical="center" wrapText="1"/>
    </xf>
    <xf numFmtId="38" fontId="156" fillId="16" borderId="135" xfId="0" quotePrefix="1" applyNumberFormat="1" applyFont="1" applyFill="1" applyBorder="1" applyAlignment="1">
      <alignment horizontal="center" vertical="center" wrapText="1"/>
    </xf>
    <xf numFmtId="0" fontId="156" fillId="16" borderId="16" xfId="0" applyFont="1" applyFill="1" applyBorder="1" applyAlignment="1">
      <alignment horizontal="center" vertical="center" wrapText="1"/>
    </xf>
    <xf numFmtId="38" fontId="156" fillId="16" borderId="159" xfId="0" applyNumberFormat="1" applyFont="1" applyFill="1" applyBorder="1" applyAlignment="1">
      <alignment horizontal="center" vertical="center" wrapText="1"/>
    </xf>
    <xf numFmtId="0" fontId="156" fillId="16" borderId="159" xfId="0" applyFont="1" applyFill="1" applyBorder="1" applyAlignment="1">
      <alignment horizontal="center" vertical="center" wrapText="1"/>
    </xf>
    <xf numFmtId="0" fontId="156" fillId="49" borderId="15" xfId="0" applyFont="1" applyFill="1" applyBorder="1" applyAlignment="1">
      <alignment horizontal="center" vertical="center" wrapText="1"/>
    </xf>
    <xf numFmtId="0" fontId="156" fillId="49" borderId="16" xfId="0" applyFont="1" applyFill="1" applyBorder="1" applyAlignment="1">
      <alignment horizontal="center" vertical="center" wrapText="1"/>
    </xf>
    <xf numFmtId="0" fontId="168" fillId="0" borderId="11" xfId="0" applyFont="1" applyBorder="1">
      <alignment vertical="center"/>
    </xf>
    <xf numFmtId="0" fontId="157" fillId="54" borderId="0" xfId="0" applyFont="1" applyFill="1">
      <alignment vertical="center"/>
    </xf>
    <xf numFmtId="38" fontId="165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70" fillId="4" borderId="105" xfId="0" applyFont="1" applyFill="1" applyBorder="1" applyAlignment="1">
      <alignment horizontal="center" vertical="center"/>
    </xf>
    <xf numFmtId="0" fontId="171" fillId="4" borderId="50" xfId="0" applyFont="1" applyFill="1" applyBorder="1" applyAlignment="1">
      <alignment horizontal="center" vertical="center"/>
    </xf>
    <xf numFmtId="182" fontId="171" fillId="4" borderId="50" xfId="0" applyNumberFormat="1" applyFont="1" applyFill="1" applyBorder="1" applyAlignment="1">
      <alignment horizontal="center" vertical="center"/>
    </xf>
    <xf numFmtId="178" fontId="170" fillId="4" borderId="50" xfId="0" applyNumberFormat="1" applyFont="1" applyFill="1" applyBorder="1" applyAlignment="1">
      <alignment horizontal="center" vertical="center"/>
    </xf>
    <xf numFmtId="179" fontId="171" fillId="4" borderId="23" xfId="0" applyNumberFormat="1" applyFont="1" applyFill="1" applyBorder="1" applyAlignment="1">
      <alignment horizontal="center" vertical="center"/>
    </xf>
    <xf numFmtId="179" fontId="171" fillId="4" borderId="12" xfId="0" applyNumberFormat="1" applyFont="1" applyFill="1" applyBorder="1" applyAlignment="1">
      <alignment horizontal="right" vertical="center"/>
    </xf>
    <xf numFmtId="183" fontId="171" fillId="4" borderId="137" xfId="14" applyNumberFormat="1" applyFont="1" applyFill="1" applyBorder="1" applyAlignment="1">
      <alignment horizontal="center" vertical="center"/>
    </xf>
    <xf numFmtId="179" fontId="171" fillId="4" borderId="50" xfId="0" applyNumberFormat="1" applyFont="1" applyFill="1" applyBorder="1" applyAlignment="1">
      <alignment horizontal="right" vertical="center"/>
    </xf>
    <xf numFmtId="183" fontId="170" fillId="4" borderId="50" xfId="0" applyNumberFormat="1" applyFont="1" applyFill="1" applyBorder="1" applyAlignment="1">
      <alignment horizontal="center" vertical="center"/>
    </xf>
    <xf numFmtId="179" fontId="171" fillId="4" borderId="52" xfId="0" applyNumberFormat="1" applyFont="1" applyFill="1" applyBorder="1" applyAlignment="1">
      <alignment horizontal="center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170" fillId="4" borderId="40" xfId="0" applyFont="1" applyFill="1" applyBorder="1" applyAlignment="1">
      <alignment horizontal="center" vertical="center"/>
    </xf>
    <xf numFmtId="0" fontId="171" fillId="4" borderId="25" xfId="0" applyFont="1" applyFill="1" applyBorder="1" applyAlignment="1">
      <alignment horizontal="center" vertical="center"/>
    </xf>
    <xf numFmtId="182" fontId="171" fillId="4" borderId="25" xfId="0" applyNumberFormat="1" applyFont="1" applyFill="1" applyBorder="1" applyAlignment="1">
      <alignment horizontal="center" vertical="center"/>
    </xf>
    <xf numFmtId="178" fontId="170" fillId="4" borderId="27" xfId="0" applyNumberFormat="1" applyFont="1" applyFill="1" applyBorder="1" applyAlignment="1">
      <alignment horizontal="center" vertical="center"/>
    </xf>
    <xf numFmtId="179" fontId="171" fillId="4" borderId="138" xfId="0" applyNumberFormat="1" applyFont="1" applyFill="1" applyBorder="1" applyAlignment="1">
      <alignment horizontal="center" vertical="center"/>
    </xf>
    <xf numFmtId="179" fontId="171" fillId="4" borderId="29" xfId="0" applyNumberFormat="1" applyFont="1" applyFill="1" applyBorder="1" applyAlignment="1">
      <alignment horizontal="right" vertical="center"/>
    </xf>
    <xf numFmtId="183" fontId="171" fillId="4" borderId="139" xfId="14" applyNumberFormat="1" applyFont="1" applyFill="1" applyBorder="1" applyAlignment="1">
      <alignment horizontal="center" vertical="center"/>
    </xf>
    <xf numFmtId="179" fontId="171" fillId="4" borderId="129" xfId="0" applyNumberFormat="1" applyFont="1" applyFill="1" applyBorder="1" applyAlignment="1">
      <alignment horizontal="center" vertical="center"/>
    </xf>
    <xf numFmtId="179" fontId="171" fillId="4" borderId="25" xfId="0" applyNumberFormat="1" applyFont="1" applyFill="1" applyBorder="1" applyAlignment="1">
      <alignment horizontal="righ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4" borderId="151" xfId="0" applyNumberFormat="1" applyFont="1" applyFill="1" applyBorder="1" applyAlignment="1">
      <alignment horizontal="right" vertical="center"/>
    </xf>
    <xf numFmtId="183" fontId="170" fillId="4" borderId="14" xfId="0" applyNumberFormat="1" applyFont="1" applyFill="1" applyBorder="1" applyAlignment="1">
      <alignment horizontal="right" vertical="center"/>
    </xf>
    <xf numFmtId="38" fontId="170" fillId="4" borderId="161" xfId="0" applyNumberFormat="1" applyFont="1" applyFill="1" applyBorder="1" applyAlignment="1">
      <alignment horizontal="right" vertical="center"/>
    </xf>
    <xf numFmtId="183" fontId="170" fillId="4" borderId="161" xfId="0" applyNumberFormat="1" applyFont="1" applyFill="1" applyBorder="1" applyAlignment="1">
      <alignment horizontal="right" vertical="center"/>
    </xf>
    <xf numFmtId="179" fontId="171" fillId="4" borderId="13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70" fillId="4" borderId="39" xfId="0" applyFont="1" applyFill="1" applyBorder="1" applyAlignment="1">
      <alignment horizontal="center" vertical="center"/>
    </xf>
    <xf numFmtId="0" fontId="171" fillId="4" borderId="28" xfId="0" applyFont="1" applyFill="1" applyBorder="1" applyAlignment="1">
      <alignment horizontal="center" vertical="center"/>
    </xf>
    <xf numFmtId="0" fontId="171" fillId="4" borderId="27" xfId="0" applyFont="1" applyFill="1" applyBorder="1" applyAlignment="1">
      <alignment horizontal="center" vertical="center"/>
    </xf>
    <xf numFmtId="182" fontId="171" fillId="4" borderId="27" xfId="0" applyNumberFormat="1" applyFont="1" applyFill="1" applyBorder="1" applyAlignment="1">
      <alignment horizontal="center" vertical="center"/>
    </xf>
    <xf numFmtId="179" fontId="171" fillId="4" borderId="140" xfId="0" applyNumberFormat="1" applyFont="1" applyFill="1" applyBorder="1" applyAlignment="1">
      <alignment horizontal="center" vertical="center"/>
    </xf>
    <xf numFmtId="179" fontId="171" fillId="4" borderId="45" xfId="0" applyNumberFormat="1" applyFont="1" applyFill="1" applyBorder="1" applyAlignment="1">
      <alignment horizontal="right" vertical="center"/>
    </xf>
    <xf numFmtId="179" fontId="171" fillId="4" borderId="130" xfId="0" applyNumberFormat="1" applyFont="1" applyFill="1" applyBorder="1" applyAlignment="1">
      <alignment horizontal="center" vertical="center"/>
    </xf>
    <xf numFmtId="179" fontId="171" fillId="4" borderId="27" xfId="0" applyNumberFormat="1" applyFont="1" applyFill="1" applyBorder="1" applyAlignment="1">
      <alignment horizontal="right" vertical="center"/>
    </xf>
    <xf numFmtId="179" fontId="171" fillId="4" borderId="26" xfId="0" applyNumberFormat="1" applyFont="1" applyFill="1" applyBorder="1" applyAlignment="1">
      <alignment horizontal="center" vertical="center"/>
    </xf>
    <xf numFmtId="9" fontId="170" fillId="4" borderId="75" xfId="0" applyNumberFormat="1" applyFont="1" applyFill="1" applyBorder="1" applyAlignment="1">
      <alignment horizontal="center" vertical="center"/>
    </xf>
    <xf numFmtId="0" fontId="170" fillId="4" borderId="76" xfId="0" applyFont="1" applyFill="1" applyBorder="1" applyAlignment="1">
      <alignment horizontal="center" vertical="center"/>
    </xf>
    <xf numFmtId="183" fontId="171" fillId="4" borderId="141" xfId="14" applyNumberFormat="1" applyFont="1" applyFill="1" applyBorder="1" applyAlignment="1">
      <alignment horizontal="center" vertical="center"/>
    </xf>
    <xf numFmtId="0" fontId="170" fillId="4" borderId="116" xfId="0" applyFont="1" applyFill="1" applyBorder="1" applyAlignment="1">
      <alignment horizontal="center" vertical="center"/>
    </xf>
    <xf numFmtId="0" fontId="171" fillId="4" borderId="117" xfId="0" applyFont="1" applyFill="1" applyBorder="1" applyAlignment="1">
      <alignment horizontal="center" vertical="center"/>
    </xf>
    <xf numFmtId="182" fontId="171" fillId="4" borderId="117" xfId="0" applyNumberFormat="1" applyFont="1" applyFill="1" applyBorder="1" applyAlignment="1">
      <alignment horizontal="center" vertical="center"/>
    </xf>
    <xf numFmtId="178" fontId="170" fillId="4" borderId="117" xfId="0" applyNumberFormat="1" applyFont="1" applyFill="1" applyBorder="1" applyAlignment="1">
      <alignment horizontal="center" vertical="center"/>
    </xf>
    <xf numFmtId="179" fontId="171" fillId="4" borderId="142" xfId="0" applyNumberFormat="1" applyFont="1" applyFill="1" applyBorder="1" applyAlignment="1">
      <alignment horizontal="center" vertical="center"/>
    </xf>
    <xf numFmtId="179" fontId="171" fillId="4" borderId="116" xfId="0" applyNumberFormat="1" applyFont="1" applyFill="1" applyBorder="1" applyAlignment="1">
      <alignment horizontal="right" vertical="center"/>
    </xf>
    <xf numFmtId="183" fontId="171" fillId="4" borderId="143" xfId="14" applyNumberFormat="1" applyFont="1" applyFill="1" applyBorder="1" applyAlignment="1">
      <alignment horizontal="center" vertical="center"/>
    </xf>
    <xf numFmtId="179" fontId="171" fillId="4" borderId="131" xfId="0" applyNumberFormat="1" applyFont="1" applyFill="1" applyBorder="1" applyAlignment="1">
      <alignment horizontal="center" vertical="center"/>
    </xf>
    <xf numFmtId="179" fontId="171" fillId="4" borderId="117" xfId="0" applyNumberFormat="1" applyFont="1" applyFill="1" applyBorder="1" applyAlignment="1">
      <alignment horizontal="right" vertical="center"/>
    </xf>
    <xf numFmtId="179" fontId="171" fillId="4" borderId="115" xfId="0" applyNumberFormat="1" applyFont="1" applyFill="1" applyBorder="1" applyAlignment="1">
      <alignment horizontal="center" vertical="center"/>
    </xf>
    <xf numFmtId="9" fontId="170" fillId="4" borderId="118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178" fontId="170" fillId="4" borderId="25" xfId="0" applyNumberFormat="1" applyFont="1" applyFill="1" applyBorder="1" applyAlignment="1">
      <alignment horizontal="center" vertical="center"/>
    </xf>
    <xf numFmtId="182" fontId="171" fillId="4" borderId="28" xfId="0" applyNumberFormat="1" applyFont="1" applyFill="1" applyBorder="1" applyAlignment="1">
      <alignment horizontal="center" vertical="center"/>
    </xf>
    <xf numFmtId="179" fontId="171" fillId="4" borderId="144" xfId="0" applyNumberFormat="1" applyFont="1" applyFill="1" applyBorder="1" applyAlignment="1">
      <alignment horizontal="center" vertical="center"/>
    </xf>
    <xf numFmtId="179" fontId="171" fillId="4" borderId="33" xfId="0" applyNumberFormat="1" applyFont="1" applyFill="1" applyBorder="1" applyAlignment="1">
      <alignment horizontal="right" vertical="center"/>
    </xf>
    <xf numFmtId="183" fontId="171" fillId="4" borderId="145" xfId="14" applyNumberFormat="1" applyFont="1" applyFill="1" applyBorder="1" applyAlignment="1">
      <alignment horizontal="center" vertical="center"/>
    </xf>
    <xf numFmtId="179" fontId="171" fillId="4" borderId="132" xfId="0" applyNumberFormat="1" applyFont="1" applyFill="1" applyBorder="1" applyAlignment="1">
      <alignment horizontal="center" vertical="center"/>
    </xf>
    <xf numFmtId="179" fontId="171" fillId="4" borderId="28" xfId="0" applyNumberFormat="1" applyFont="1" applyFill="1" applyBorder="1" applyAlignment="1">
      <alignment horizontal="right" vertical="center"/>
    </xf>
    <xf numFmtId="183" fontId="170" fillId="4" borderId="28" xfId="0" applyNumberFormat="1" applyFont="1" applyFill="1" applyBorder="1" applyAlignment="1">
      <alignment horizontal="center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79" fontId="171" fillId="4" borderId="1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183" fontId="172" fillId="4" borderId="28" xfId="0" applyNumberFormat="1" applyFont="1" applyFill="1" applyBorder="1" applyAlignment="1">
      <alignment horizontal="center" vertical="center"/>
    </xf>
    <xf numFmtId="9" fontId="172" fillId="4" borderId="19" xfId="0" applyNumberFormat="1" applyFont="1" applyFill="1" applyBorder="1" applyAlignment="1">
      <alignment horizontal="center" vertical="center"/>
    </xf>
    <xf numFmtId="9" fontId="172" fillId="4" borderId="14" xfId="0" applyNumberFormat="1" applyFont="1" applyFill="1" applyBorder="1" applyAlignment="1">
      <alignment horizontal="center" vertical="center"/>
    </xf>
    <xf numFmtId="0" fontId="171" fillId="4" borderId="29" xfId="0" applyFont="1" applyFill="1" applyBorder="1" applyAlignment="1">
      <alignment horizontal="center" vertical="center"/>
    </xf>
    <xf numFmtId="0" fontId="171" fillId="9" borderId="113" xfId="0" applyFont="1" applyFill="1" applyBorder="1" applyAlignment="1">
      <alignment horizontal="right" vertical="center"/>
    </xf>
    <xf numFmtId="0" fontId="171" fillId="9" borderId="114" xfId="0" applyFont="1" applyFill="1" applyBorder="1" applyAlignment="1">
      <alignment horizontal="center" vertical="center"/>
    </xf>
    <xf numFmtId="182" fontId="171" fillId="9" borderId="90" xfId="0" applyNumberFormat="1" applyFont="1" applyFill="1" applyBorder="1" applyAlignment="1">
      <alignment horizontal="center" vertical="center"/>
    </xf>
    <xf numFmtId="178" fontId="170" fillId="9" borderId="90" xfId="0" applyNumberFormat="1" applyFont="1" applyFill="1" applyBorder="1" applyAlignment="1">
      <alignment horizontal="center" vertical="center"/>
    </xf>
    <xf numFmtId="179" fontId="170" fillId="16" borderId="146" xfId="0" applyNumberFormat="1" applyFont="1" applyFill="1" applyBorder="1" applyAlignment="1">
      <alignment horizontal="center" vertical="center"/>
    </xf>
    <xf numFmtId="179" fontId="170" fillId="16" borderId="88" xfId="0" applyNumberFormat="1" applyFont="1" applyFill="1" applyBorder="1" applyAlignment="1">
      <alignment horizontal="right" vertical="center"/>
    </xf>
    <xf numFmtId="183" fontId="170" fillId="16" borderId="147" xfId="14" applyNumberFormat="1" applyFont="1" applyFill="1" applyBorder="1" applyAlignment="1">
      <alignment horizontal="center" vertical="center"/>
    </xf>
    <xf numFmtId="179" fontId="170" fillId="16" borderId="113" xfId="0" applyNumberFormat="1" applyFont="1" applyFill="1" applyBorder="1" applyAlignment="1">
      <alignment horizontal="center" vertical="center"/>
    </xf>
    <xf numFmtId="179" fontId="170" fillId="16" borderId="90" xfId="0" applyNumberFormat="1" applyFont="1" applyFill="1" applyBorder="1" applyAlignment="1">
      <alignment horizontal="right" vertical="center"/>
    </xf>
    <xf numFmtId="183" fontId="170" fillId="16" borderId="90" xfId="0" applyNumberFormat="1" applyFont="1" applyFill="1" applyBorder="1" applyAlignment="1">
      <alignment horizontal="center" vertical="center"/>
    </xf>
    <xf numFmtId="38" fontId="170" fillId="16" borderId="155" xfId="0" applyNumberFormat="1" applyFont="1" applyFill="1" applyBorder="1" applyAlignment="1">
      <alignment horizontal="right" vertical="center"/>
    </xf>
    <xf numFmtId="183" fontId="170" fillId="16" borderId="91" xfId="0" applyNumberFormat="1" applyFont="1" applyFill="1" applyBorder="1" applyAlignment="1">
      <alignment horizontal="right" vertical="center"/>
    </xf>
    <xf numFmtId="38" fontId="170" fillId="16" borderId="165" xfId="0" applyNumberFormat="1" applyFont="1" applyFill="1" applyBorder="1" applyAlignment="1">
      <alignment horizontal="right" vertical="center"/>
    </xf>
    <xf numFmtId="10" fontId="170" fillId="16" borderId="165" xfId="0" applyNumberFormat="1" applyFont="1" applyFill="1" applyBorder="1" applyAlignment="1">
      <alignment horizontal="right" vertical="center"/>
    </xf>
    <xf numFmtId="179" fontId="171" fillId="49" borderId="92" xfId="0" applyNumberFormat="1" applyFont="1" applyFill="1" applyBorder="1" applyAlignment="1">
      <alignment horizontal="center" vertical="center"/>
    </xf>
    <xf numFmtId="9" fontId="170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3" fillId="9" borderId="4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/>
    </xf>
    <xf numFmtId="0" fontId="173" fillId="9" borderId="7" xfId="0" applyFont="1" applyFill="1" applyBorder="1" applyAlignment="1">
      <alignment horizontal="center" vertical="center" wrapText="1"/>
    </xf>
    <xf numFmtId="0" fontId="174" fillId="9" borderId="7" xfId="0" applyFont="1" applyFill="1" applyBorder="1" applyAlignment="1">
      <alignment horizontal="center" vertical="center" wrapText="1"/>
    </xf>
    <xf numFmtId="0" fontId="173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4" fillId="9" borderId="5" xfId="0" applyNumberFormat="1" applyFont="1" applyFill="1" applyBorder="1" applyAlignment="1">
      <alignment horizontal="center" vertical="center"/>
    </xf>
    <xf numFmtId="0" fontId="173" fillId="4" borderId="0" xfId="0" applyFont="1" applyFill="1">
      <alignment vertical="center"/>
    </xf>
    <xf numFmtId="0" fontId="175" fillId="0" borderId="0" xfId="0" applyFont="1" applyAlignment="1">
      <alignment horizontal="left" vertical="center"/>
    </xf>
    <xf numFmtId="0" fontId="173" fillId="4" borderId="4" xfId="0" applyFont="1" applyFill="1" applyBorder="1" applyAlignment="1">
      <alignment horizontal="center" vertical="center"/>
    </xf>
    <xf numFmtId="0" fontId="173" fillId="4" borderId="7" xfId="0" applyFont="1" applyFill="1" applyBorder="1" applyAlignment="1">
      <alignment horizontal="center" vertical="center"/>
    </xf>
    <xf numFmtId="38" fontId="173" fillId="4" borderId="7" xfId="0" applyNumberFormat="1" applyFont="1" applyFill="1" applyBorder="1">
      <alignment vertical="center"/>
    </xf>
    <xf numFmtId="38" fontId="174" fillId="4" borderId="7" xfId="0" applyNumberFormat="1" applyFont="1" applyFill="1" applyBorder="1">
      <alignment vertical="center"/>
    </xf>
    <xf numFmtId="183" fontId="174" fillId="4" borderId="5" xfId="0" applyNumberFormat="1" applyFont="1" applyFill="1" applyBorder="1">
      <alignment vertical="center"/>
    </xf>
    <xf numFmtId="178" fontId="174" fillId="6" borderId="176" xfId="0" applyNumberFormat="1" applyFont="1" applyFill="1" applyBorder="1">
      <alignment vertical="center"/>
    </xf>
    <xf numFmtId="0" fontId="174" fillId="4" borderId="7" xfId="0" applyFont="1" applyFill="1" applyBorder="1" applyAlignment="1">
      <alignment horizontal="center" vertical="center"/>
    </xf>
    <xf numFmtId="183" fontId="174" fillId="4" borderId="5" xfId="0" applyNumberFormat="1" applyFont="1" applyFill="1" applyBorder="1" applyAlignment="1">
      <alignment horizontal="right" vertical="center"/>
    </xf>
    <xf numFmtId="179" fontId="174" fillId="6" borderId="176" xfId="0" applyNumberFormat="1" applyFont="1" applyFill="1" applyBorder="1" applyAlignment="1">
      <alignment horizontal="center" vertical="center"/>
    </xf>
    <xf numFmtId="0" fontId="173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0" fontId="174" fillId="4" borderId="169" xfId="0" applyFont="1" applyFill="1" applyBorder="1" applyAlignment="1">
      <alignment horizontal="center" vertical="center"/>
    </xf>
    <xf numFmtId="183" fontId="174" fillId="4" borderId="120" xfId="0" applyNumberFormat="1" applyFont="1" applyFill="1" applyBorder="1" applyAlignment="1">
      <alignment horizontal="right" vertical="center"/>
    </xf>
    <xf numFmtId="38" fontId="173" fillId="4" borderId="169" xfId="0" applyNumberFormat="1" applyFont="1" applyFill="1" applyBorder="1">
      <alignment vertical="center"/>
    </xf>
    <xf numFmtId="38" fontId="174" fillId="4" borderId="169" xfId="0" applyNumberFormat="1" applyFont="1" applyFill="1" applyBorder="1">
      <alignment vertical="center"/>
    </xf>
    <xf numFmtId="183" fontId="174" fillId="4" borderId="120" xfId="0" applyNumberFormat="1" applyFont="1" applyFill="1" applyBorder="1">
      <alignment vertical="center"/>
    </xf>
    <xf numFmtId="178" fontId="174" fillId="6" borderId="177" xfId="0" applyNumberFormat="1" applyFont="1" applyFill="1" applyBorder="1">
      <alignment vertical="center"/>
    </xf>
    <xf numFmtId="0" fontId="174" fillId="4" borderId="0" xfId="0" applyFont="1" applyFill="1">
      <alignment vertical="center"/>
    </xf>
    <xf numFmtId="179" fontId="174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0" fontId="174" fillId="4" borderId="172" xfId="0" applyFont="1" applyFill="1" applyBorder="1" applyAlignment="1">
      <alignment horizontal="center" vertical="center"/>
    </xf>
    <xf numFmtId="183" fontId="174" fillId="4" borderId="178" xfId="0" applyNumberFormat="1" applyFont="1" applyFill="1" applyBorder="1" applyAlignment="1">
      <alignment horizontal="right" vertical="center"/>
    </xf>
    <xf numFmtId="38" fontId="173" fillId="4" borderId="172" xfId="0" applyNumberFormat="1" applyFont="1" applyFill="1" applyBorder="1">
      <alignment vertical="center"/>
    </xf>
    <xf numFmtId="38" fontId="174" fillId="4" borderId="172" xfId="0" applyNumberFormat="1" applyFont="1" applyFill="1" applyBorder="1">
      <alignment vertical="center"/>
    </xf>
    <xf numFmtId="183" fontId="174" fillId="4" borderId="178" xfId="0" applyNumberFormat="1" applyFont="1" applyFill="1" applyBorder="1">
      <alignment vertical="center"/>
    </xf>
    <xf numFmtId="178" fontId="174" fillId="6" borderId="102" xfId="0" applyNumberFormat="1" applyFont="1" applyFill="1" applyBorder="1">
      <alignment vertical="center"/>
    </xf>
    <xf numFmtId="179" fontId="174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4" fillId="4" borderId="0" xfId="0" applyFont="1" applyFill="1" applyAlignment="1">
      <alignment horizontal="center" vertical="center"/>
    </xf>
    <xf numFmtId="183" fontId="174" fillId="4" borderId="0" xfId="0" applyNumberFormat="1" applyFont="1" applyFill="1" applyAlignment="1">
      <alignment horizontal="right" vertical="center"/>
    </xf>
    <xf numFmtId="0" fontId="177" fillId="4" borderId="4" xfId="0" applyFont="1" applyFill="1" applyBorder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183" fontId="182" fillId="0" borderId="0" xfId="2" applyNumberFormat="1" applyFont="1" applyAlignment="1">
      <alignment horizontal="center" vertical="center"/>
    </xf>
    <xf numFmtId="0" fontId="183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80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3" fillId="0" borderId="0" xfId="2" applyFont="1" applyAlignment="1">
      <alignment horizontal="left" vertical="center"/>
    </xf>
    <xf numFmtId="0" fontId="183" fillId="0" borderId="0" xfId="2" applyFont="1">
      <alignment vertical="center"/>
    </xf>
    <xf numFmtId="38" fontId="183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3" fillId="4" borderId="7" xfId="0" applyFont="1" applyFill="1" applyBorder="1" applyAlignment="1">
      <alignment horizontal="left" vertical="center"/>
    </xf>
    <xf numFmtId="0" fontId="173" fillId="4" borderId="7" xfId="0" applyFont="1" applyFill="1" applyBorder="1">
      <alignment vertical="center"/>
    </xf>
    <xf numFmtId="183" fontId="174" fillId="4" borderId="6" xfId="0" applyNumberFormat="1" applyFont="1" applyFill="1" applyBorder="1" applyAlignment="1">
      <alignment horizontal="right" vertical="center"/>
    </xf>
    <xf numFmtId="0" fontId="173" fillId="4" borderId="169" xfId="0" applyFont="1" applyFill="1" applyBorder="1" applyAlignment="1">
      <alignment horizontal="left" vertical="center"/>
    </xf>
    <xf numFmtId="0" fontId="173" fillId="4" borderId="169" xfId="0" applyFont="1" applyFill="1" applyBorder="1">
      <alignment vertical="center"/>
    </xf>
    <xf numFmtId="183" fontId="174" fillId="4" borderId="38" xfId="0" applyNumberFormat="1" applyFont="1" applyFill="1" applyBorder="1" applyAlignment="1">
      <alignment horizontal="right" vertical="center"/>
    </xf>
    <xf numFmtId="0" fontId="173" fillId="4" borderId="172" xfId="0" applyFont="1" applyFill="1" applyBorder="1" applyAlignment="1">
      <alignment horizontal="left" vertical="center"/>
    </xf>
    <xf numFmtId="0" fontId="173" fillId="4" borderId="172" xfId="0" applyFont="1" applyFill="1" applyBorder="1">
      <alignment vertical="center"/>
    </xf>
    <xf numFmtId="183" fontId="174" fillId="4" borderId="173" xfId="0" applyNumberFormat="1" applyFont="1" applyFill="1" applyBorder="1" applyAlignment="1">
      <alignment horizontal="right" vertical="center"/>
    </xf>
    <xf numFmtId="183" fontId="174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5" fillId="0" borderId="0" xfId="0" applyFont="1" applyAlignment="1">
      <alignment horizontal="left" vertical="center"/>
    </xf>
    <xf numFmtId="0" fontId="185" fillId="5" borderId="0" xfId="0" applyFont="1" applyFill="1" applyAlignment="1">
      <alignment horizontal="left" vertical="center"/>
    </xf>
    <xf numFmtId="0" fontId="186" fillId="0" borderId="7" xfId="0" applyFont="1" applyBorder="1" applyAlignment="1">
      <alignment horizontal="center" vertical="center"/>
    </xf>
    <xf numFmtId="0" fontId="187" fillId="0" borderId="7" xfId="0" applyFont="1" applyBorder="1" applyAlignment="1">
      <alignment horizontal="center" vertical="center"/>
    </xf>
    <xf numFmtId="0" fontId="188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6" fillId="4" borderId="164" xfId="0" applyNumberFormat="1" applyFont="1" applyFill="1" applyBorder="1" applyAlignment="1">
      <alignment horizontal="right" vertical="center"/>
    </xf>
    <xf numFmtId="10" fontId="155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6" fillId="4" borderId="161" xfId="0" applyNumberFormat="1" applyFont="1" applyFill="1" applyBorder="1" applyAlignment="1">
      <alignment horizontal="right" vertical="center"/>
    </xf>
    <xf numFmtId="10" fontId="155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6" fillId="4" borderId="162" xfId="0" applyNumberFormat="1" applyFont="1" applyFill="1" applyBorder="1" applyAlignment="1">
      <alignment horizontal="right" vertical="center"/>
    </xf>
    <xf numFmtId="10" fontId="155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6" fillId="4" borderId="163" xfId="0" applyNumberFormat="1" applyFont="1" applyFill="1" applyBorder="1" applyAlignment="1">
      <alignment horizontal="right" vertical="center"/>
    </xf>
    <xf numFmtId="10" fontId="155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5" fillId="52" borderId="165" xfId="0" applyNumberFormat="1" applyFont="1" applyFill="1" applyBorder="1" applyAlignment="1">
      <alignment horizontal="right" vertical="center"/>
    </xf>
    <xf numFmtId="38" fontId="155" fillId="52" borderId="165" xfId="0" applyNumberFormat="1" applyFont="1" applyFill="1" applyBorder="1" applyAlignment="1">
      <alignment horizontal="right" vertical="center"/>
    </xf>
    <xf numFmtId="10" fontId="155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5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6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70" fillId="4" borderId="152" xfId="0" applyNumberFormat="1" applyFont="1" applyFill="1" applyBorder="1" applyAlignment="1">
      <alignment horizontal="right" vertical="center"/>
    </xf>
    <xf numFmtId="183" fontId="170" fillId="4" borderId="75" xfId="0" applyNumberFormat="1" applyFont="1" applyFill="1" applyBorder="1" applyAlignment="1">
      <alignment horizontal="right" vertical="center"/>
    </xf>
    <xf numFmtId="38" fontId="170" fillId="4" borderId="162" xfId="0" applyNumberFormat="1" applyFont="1" applyFill="1" applyBorder="1" applyAlignment="1">
      <alignment horizontal="right" vertical="center"/>
    </xf>
    <xf numFmtId="183" fontId="170" fillId="4" borderId="162" xfId="0" applyNumberFormat="1" applyFont="1" applyFill="1" applyBorder="1" applyAlignment="1">
      <alignment horizontal="right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91" fillId="0" borderId="0" xfId="2" applyFont="1" applyAlignment="1">
      <alignment horizontal="center" vertical="center"/>
    </xf>
    <xf numFmtId="0" fontId="192" fillId="0" borderId="0" xfId="2" applyFont="1" applyAlignment="1">
      <alignment horizontal="center" vertical="center"/>
    </xf>
    <xf numFmtId="183" fontId="192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38" fontId="172" fillId="4" borderId="154" xfId="0" applyNumberFormat="1" applyFont="1" applyFill="1" applyBorder="1" applyAlignment="1">
      <alignment horizontal="right" vertical="center"/>
    </xf>
    <xf numFmtId="183" fontId="172" fillId="4" borderId="19" xfId="0" applyNumberFormat="1" applyFont="1" applyFill="1" applyBorder="1" applyAlignment="1">
      <alignment horizontal="right" vertical="center"/>
    </xf>
    <xf numFmtId="38" fontId="172" fillId="4" borderId="164" xfId="0" applyNumberFormat="1" applyFont="1" applyFill="1" applyBorder="1" applyAlignment="1">
      <alignment horizontal="right" vertical="center"/>
    </xf>
    <xf numFmtId="183" fontId="172" fillId="4" borderId="164" xfId="0" applyNumberFormat="1" applyFont="1" applyFill="1" applyBorder="1" applyAlignment="1">
      <alignment horizontal="right"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38" fontId="172" fillId="6" borderId="154" xfId="0" applyNumberFormat="1" applyFont="1" applyFill="1" applyBorder="1" applyAlignment="1">
      <alignment horizontal="right" vertical="center"/>
    </xf>
    <xf numFmtId="183" fontId="172" fillId="6" borderId="19" xfId="0" applyNumberFormat="1" applyFont="1" applyFill="1" applyBorder="1" applyAlignment="1">
      <alignment horizontal="right" vertical="center"/>
    </xf>
    <xf numFmtId="38" fontId="172" fillId="6" borderId="164" xfId="0" applyNumberFormat="1" applyFont="1" applyFill="1" applyBorder="1" applyAlignment="1">
      <alignment horizontal="right" vertical="center"/>
    </xf>
    <xf numFmtId="183" fontId="172" fillId="6" borderId="164" xfId="0" applyNumberFormat="1" applyFont="1" applyFill="1" applyBorder="1" applyAlignment="1">
      <alignment horizontal="right" vertical="center"/>
    </xf>
    <xf numFmtId="183" fontId="170" fillId="4" borderId="27" xfId="0" applyNumberFormat="1" applyFont="1" applyFill="1" applyBorder="1" applyAlignment="1">
      <alignment horizontal="center" vertical="center"/>
    </xf>
    <xf numFmtId="0" fontId="156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6" fillId="4" borderId="33" xfId="0" applyNumberFormat="1" applyFont="1" applyFill="1" applyBorder="1" applyAlignment="1">
      <alignment horizontal="right" vertical="center"/>
    </xf>
    <xf numFmtId="38" fontId="156" fillId="4" borderId="45" xfId="0" applyNumberFormat="1" applyFont="1" applyFill="1" applyBorder="1" applyAlignment="1">
      <alignment horizontal="right" vertical="center"/>
    </xf>
    <xf numFmtId="38" fontId="156" fillId="4" borderId="116" xfId="0" applyNumberFormat="1" applyFont="1" applyFill="1" applyBorder="1" applyAlignment="1">
      <alignment horizontal="right" vertical="center"/>
    </xf>
    <xf numFmtId="38" fontId="155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5" fillId="9" borderId="92" xfId="0" applyNumberFormat="1" applyFont="1" applyFill="1" applyBorder="1" applyAlignment="1">
      <alignment horizontal="right" vertical="center"/>
    </xf>
    <xf numFmtId="10" fontId="155" fillId="4" borderId="33" xfId="0" applyNumberFormat="1" applyFont="1" applyFill="1" applyBorder="1" applyAlignment="1">
      <alignment horizontal="center" vertical="center"/>
    </xf>
    <xf numFmtId="10" fontId="155" fillId="4" borderId="45" xfId="0" applyNumberFormat="1" applyFont="1" applyFill="1" applyBorder="1" applyAlignment="1">
      <alignment horizontal="center" vertical="center"/>
    </xf>
    <xf numFmtId="10" fontId="155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5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5" fillId="4" borderId="5" xfId="9" applyFont="1" applyFill="1" applyBorder="1" applyAlignment="1">
      <alignment horizontal="center" vertical="center"/>
    </xf>
    <xf numFmtId="0" fontId="155" fillId="6" borderId="5" xfId="9" applyFont="1" applyFill="1" applyBorder="1" applyAlignment="1">
      <alignment horizontal="center" vertical="center"/>
    </xf>
    <xf numFmtId="0" fontId="155" fillId="4" borderId="120" xfId="9" applyFont="1" applyFill="1" applyBorder="1" applyAlignment="1">
      <alignment horizontal="center" vertical="center"/>
    </xf>
    <xf numFmtId="0" fontId="155" fillId="4" borderId="183" xfId="9" applyFont="1" applyFill="1" applyBorder="1" applyAlignment="1">
      <alignment horizontal="center" vertical="center"/>
    </xf>
    <xf numFmtId="185" fontId="155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9" fontId="172" fillId="4" borderId="118" xfId="0" applyNumberFormat="1" applyFont="1" applyFill="1" applyBorder="1" applyAlignment="1">
      <alignment horizontal="center" vertical="center"/>
    </xf>
    <xf numFmtId="0" fontId="171" fillId="4" borderId="28" xfId="0" applyFont="1" applyFill="1" applyBorder="1" applyAlignment="1">
      <alignment horizontal="left" vertical="center"/>
    </xf>
    <xf numFmtId="0" fontId="22" fillId="4" borderId="7" xfId="0" applyFont="1" applyFill="1" applyBorder="1" applyAlignment="1">
      <alignment horizontal="center" vertical="center"/>
    </xf>
    <xf numFmtId="183" fontId="172" fillId="4" borderId="117" xfId="0" applyNumberFormat="1" applyFont="1" applyFill="1" applyBorder="1" applyAlignment="1">
      <alignment horizontal="center" vertical="center"/>
    </xf>
    <xf numFmtId="38" fontId="172" fillId="4" borderId="153" xfId="0" applyNumberFormat="1" applyFont="1" applyFill="1" applyBorder="1" applyAlignment="1">
      <alignment horizontal="right" vertical="center"/>
    </xf>
    <xf numFmtId="183" fontId="172" fillId="4" borderId="118" xfId="0" applyNumberFormat="1" applyFont="1" applyFill="1" applyBorder="1" applyAlignment="1">
      <alignment horizontal="right" vertical="center"/>
    </xf>
    <xf numFmtId="38" fontId="172" fillId="4" borderId="163" xfId="0" applyNumberFormat="1" applyFont="1" applyFill="1" applyBorder="1" applyAlignment="1">
      <alignment horizontal="right" vertical="center"/>
    </xf>
    <xf numFmtId="183" fontId="172" fillId="4" borderId="163" xfId="0" applyNumberFormat="1" applyFont="1" applyFill="1" applyBorder="1" applyAlignment="1">
      <alignment horizontal="right" vertical="center"/>
    </xf>
    <xf numFmtId="0" fontId="193" fillId="2" borderId="0" xfId="8" applyFont="1" applyFill="1" applyAlignment="1">
      <alignment horizontal="left" wrapText="1"/>
    </xf>
    <xf numFmtId="0" fontId="148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7" fillId="6" borderId="0" xfId="8" applyFont="1" applyFill="1" applyAlignment="1">
      <alignment horizontal="center"/>
    </xf>
    <xf numFmtId="0" fontId="184" fillId="6" borderId="0" xfId="8" applyFont="1" applyFill="1" applyAlignment="1">
      <alignment horizontal="left"/>
    </xf>
    <xf numFmtId="0" fontId="110" fillId="6" borderId="2" xfId="0" applyFont="1" applyFill="1" applyBorder="1" applyAlignment="1">
      <alignment horizontal="center" vertical="center"/>
    </xf>
    <xf numFmtId="0" fontId="110" fillId="6" borderId="6" xfId="0" applyFont="1" applyFill="1" applyBorder="1" applyAlignment="1">
      <alignment horizontal="center" vertical="center"/>
    </xf>
    <xf numFmtId="0" fontId="110" fillId="6" borderId="7" xfId="0" applyFont="1" applyFill="1" applyBorder="1" applyAlignment="1">
      <alignment horizontal="center" vertical="center"/>
    </xf>
    <xf numFmtId="180" fontId="98" fillId="6" borderId="5" xfId="10" applyNumberFormat="1" applyFont="1" applyFill="1" applyBorder="1" applyAlignment="1">
      <alignment horizontal="center" vertical="center"/>
    </xf>
    <xf numFmtId="180" fontId="98" fillId="6" borderId="4" xfId="10" applyNumberFormat="1" applyFont="1" applyFill="1" applyBorder="1" applyAlignment="1">
      <alignment horizontal="center" vertical="center"/>
    </xf>
    <xf numFmtId="180" fontId="99" fillId="6" borderId="5" xfId="10" applyNumberFormat="1" applyFont="1" applyFill="1" applyBorder="1" applyAlignment="1">
      <alignment horizontal="center" vertical="center"/>
    </xf>
    <xf numFmtId="180" fontId="99" fillId="6" borderId="4" xfId="10" applyNumberFormat="1" applyFont="1" applyFill="1" applyBorder="1" applyAlignment="1">
      <alignment horizontal="center" vertical="center"/>
    </xf>
    <xf numFmtId="0" fontId="146" fillId="6" borderId="4" xfId="0" applyFont="1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8" fontId="98" fillId="6" borderId="5" xfId="10" applyNumberFormat="1" applyFont="1" applyFill="1" applyBorder="1" applyAlignment="1">
      <alignment horizontal="center" vertical="center"/>
    </xf>
    <xf numFmtId="38" fontId="98" fillId="6" borderId="4" xfId="10" applyNumberFormat="1" applyFont="1" applyFill="1" applyBorder="1" applyAlignment="1">
      <alignment horizontal="center" vertical="center"/>
    </xf>
    <xf numFmtId="180" fontId="99" fillId="6" borderId="5" xfId="0" applyNumberFormat="1" applyFont="1" applyFill="1" applyBorder="1" applyAlignment="1">
      <alignment horizontal="center" vertical="center"/>
    </xf>
    <xf numFmtId="180" fontId="99" fillId="6" borderId="4" xfId="0" applyNumberFormat="1" applyFont="1" applyFill="1" applyBorder="1" applyAlignment="1">
      <alignment horizontal="center" vertical="center"/>
    </xf>
    <xf numFmtId="180" fontId="99" fillId="6" borderId="120" xfId="0" applyNumberFormat="1" applyFont="1" applyFill="1" applyBorder="1" applyAlignment="1">
      <alignment horizontal="center" vertical="center"/>
    </xf>
    <xf numFmtId="38" fontId="62" fillId="6" borderId="5" xfId="0" applyNumberFormat="1" applyFont="1" applyFill="1" applyBorder="1" applyAlignment="1">
      <alignment horizontal="right" vertical="center"/>
    </xf>
    <xf numFmtId="38" fontId="62" fillId="6" borderId="4" xfId="0" applyNumberFormat="1" applyFont="1" applyFill="1" applyBorder="1" applyAlignment="1">
      <alignment horizontal="right" vertical="center"/>
    </xf>
    <xf numFmtId="38" fontId="25" fillId="6" borderId="5" xfId="0" applyNumberFormat="1" applyFont="1" applyFill="1" applyBorder="1" applyAlignment="1">
      <alignment horizontal="right" vertical="center"/>
    </xf>
    <xf numFmtId="38" fontId="25" fillId="6" borderId="4" xfId="0" applyNumberFormat="1" applyFont="1" applyFill="1" applyBorder="1" applyAlignment="1">
      <alignment horizontal="right" vertical="center"/>
    </xf>
    <xf numFmtId="38" fontId="39" fillId="6" borderId="0" xfId="0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79" fontId="171" fillId="4" borderId="0" xfId="0" applyNumberFormat="1" applyFont="1" applyFill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9" fillId="0" borderId="95" xfId="0" applyFont="1" applyBorder="1" applyAlignment="1">
      <alignment horizontal="center" vertical="center" wrapText="1"/>
    </xf>
    <xf numFmtId="0" fontId="179" fillId="0" borderId="52" xfId="0" applyFont="1" applyBorder="1" applyAlignment="1">
      <alignment horizontal="center" vertical="center" wrapText="1"/>
    </xf>
    <xf numFmtId="0" fontId="179" fillId="4" borderId="115" xfId="0" applyFont="1" applyFill="1" applyBorder="1" applyAlignment="1">
      <alignment horizontal="center" vertical="center" wrapText="1"/>
    </xf>
    <xf numFmtId="0" fontId="179" fillId="4" borderId="52" xfId="0" applyFont="1" applyFill="1" applyBorder="1" applyAlignment="1">
      <alignment horizontal="center" vertical="center" wrapText="1"/>
    </xf>
    <xf numFmtId="0" fontId="156" fillId="49" borderId="158" xfId="0" applyFont="1" applyFill="1" applyBorder="1" applyAlignment="1">
      <alignment horizontal="center" vertical="center" wrapText="1"/>
    </xf>
    <xf numFmtId="0" fontId="156" fillId="49" borderId="36" xfId="0" applyFont="1" applyFill="1" applyBorder="1" applyAlignment="1">
      <alignment horizontal="center" vertical="center" wrapText="1"/>
    </xf>
    <xf numFmtId="0" fontId="156" fillId="49" borderId="48" xfId="0" applyFont="1" applyFill="1" applyBorder="1" applyAlignment="1">
      <alignment horizontal="center" vertical="center" wrapText="1"/>
    </xf>
    <xf numFmtId="0" fontId="156" fillId="49" borderId="180" xfId="0" applyFont="1" applyFill="1" applyBorder="1" applyAlignment="1">
      <alignment horizontal="center" vertical="center" wrapText="1"/>
    </xf>
    <xf numFmtId="0" fontId="169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4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9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6" fillId="16" borderId="47" xfId="0" applyFont="1" applyFill="1" applyBorder="1" applyAlignment="1">
      <alignment horizontal="center" vertical="center" wrapText="1"/>
    </xf>
    <xf numFmtId="0" fontId="156" fillId="16" borderId="103" xfId="0" applyFont="1" applyFill="1" applyBorder="1" applyAlignment="1">
      <alignment horizontal="center" vertical="center" wrapText="1"/>
    </xf>
    <xf numFmtId="38" fontId="156" fillId="16" borderId="157" xfId="0" applyNumberFormat="1" applyFont="1" applyFill="1" applyBorder="1" applyAlignment="1">
      <alignment horizontal="center" vertical="center" wrapText="1"/>
    </xf>
    <xf numFmtId="38" fontId="156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10" fillId="13" borderId="51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6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8" fillId="9" borderId="1" xfId="0" applyFont="1" applyFill="1" applyBorder="1" applyAlignment="1">
      <alignment horizontal="center" vertical="center"/>
    </xf>
    <xf numFmtId="0" fontId="178" fillId="9" borderId="2" xfId="0" applyFont="1" applyFill="1" applyBorder="1" applyAlignment="1">
      <alignment horizontal="center" vertical="center"/>
    </xf>
    <xf numFmtId="0" fontId="178" fillId="9" borderId="51" xfId="0" applyFont="1" applyFill="1" applyBorder="1" applyAlignment="1">
      <alignment horizontal="center" vertical="center"/>
    </xf>
    <xf numFmtId="0" fontId="173" fillId="6" borderId="175" xfId="0" applyFont="1" applyFill="1" applyBorder="1" applyAlignment="1">
      <alignment horizontal="center" vertical="center" wrapText="1"/>
    </xf>
    <xf numFmtId="0" fontId="173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507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3</xdr:row>
      <xdr:rowOff>0</xdr:rowOff>
    </xdr:from>
    <xdr:to>
      <xdr:col>24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3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zoomScale="34" zoomScaleNormal="80" zoomScaleSheetLayoutView="34" workbookViewId="0">
      <selection activeCell="E11" sqref="E11"/>
    </sheetView>
  </sheetViews>
  <sheetFormatPr baseColWidth="10" defaultColWidth="9.83203125" defaultRowHeight="26" outlineLevelCol="1"/>
  <cols>
    <col min="1" max="1" width="8.5" style="362" customWidth="1"/>
    <col min="2" max="2" width="9" style="362" customWidth="1"/>
    <col min="3" max="4" width="27.83203125" style="366" customWidth="1"/>
    <col min="5" max="5" width="20.83203125" style="366" customWidth="1"/>
    <col min="6" max="6" width="28.1640625" style="366" bestFit="1" customWidth="1"/>
    <col min="7" max="7" width="17.83203125" style="362" customWidth="1"/>
    <col min="8" max="8" width="35.83203125" style="366" customWidth="1"/>
    <col min="9" max="9" width="24" style="366" customWidth="1"/>
    <col min="10" max="10" width="19.1640625" style="366" customWidth="1"/>
    <col min="11" max="11" width="35.83203125" style="366" customWidth="1"/>
    <col min="12" max="12" width="23.1640625" style="363" customWidth="1"/>
    <col min="13" max="13" width="35.83203125" style="468" hidden="1" customWidth="1"/>
    <col min="14" max="14" width="21.1640625" style="363" hidden="1" customWidth="1"/>
    <col min="15" max="15" width="28.83203125" style="468" hidden="1" customWidth="1" outlineLevel="1"/>
    <col min="16" max="16" width="22.83203125" style="363" hidden="1" customWidth="1" outlineLevel="1"/>
    <col min="17" max="17" width="15.83203125" style="363" customWidth="1" collapsed="1"/>
    <col min="18" max="18" width="20.83203125" style="363" customWidth="1"/>
    <col min="19" max="19" width="15.83203125" style="363" customWidth="1"/>
    <col min="20" max="20" width="20.83203125" style="363" customWidth="1"/>
    <col min="21" max="21" width="15.83203125" style="363" customWidth="1"/>
    <col min="22" max="22" width="20.83203125" style="363" customWidth="1"/>
    <col min="23" max="23" width="23.83203125" style="363" hidden="1" customWidth="1" outlineLevel="1"/>
    <col min="24" max="24" width="17.83203125" style="363" hidden="1" customWidth="1" outlineLevel="1"/>
    <col min="25" max="25" width="27.5" style="363" hidden="1" customWidth="1" outlineLevel="1"/>
    <col min="26" max="26" width="17.83203125" style="363" hidden="1" customWidth="1" outlineLevel="1"/>
    <col min="27" max="27" width="19.83203125" style="360" hidden="1" customWidth="1" collapsed="1"/>
    <col min="28" max="28" width="31.5" style="383" hidden="1" customWidth="1"/>
    <col min="29" max="29" width="21" style="360" hidden="1" customWidth="1"/>
    <col min="30" max="30" width="8.83203125" style="360" hidden="1" customWidth="1"/>
    <col min="31" max="31" width="19.83203125" style="360" customWidth="1" outlineLevel="1"/>
    <col min="32" max="32" width="30.83203125" style="383" customWidth="1" outlineLevel="1"/>
    <col min="33" max="33" width="18" style="360" customWidth="1" outlineLevel="1"/>
    <col min="34" max="34" width="8.83203125" style="360" customWidth="1" outlineLevel="1"/>
    <col min="35" max="36" width="12.83203125" style="360" customWidth="1" outlineLevel="1"/>
    <col min="37" max="37" width="16.5" style="357" customWidth="1"/>
    <col min="38" max="38" width="19.83203125" style="376" customWidth="1"/>
    <col min="39" max="39" width="11.33203125" style="362" bestFit="1" customWidth="1"/>
    <col min="40" max="41" width="9.83203125" style="362"/>
    <col min="42" max="42" width="16.83203125" style="362" bestFit="1" customWidth="1"/>
    <col min="43" max="45" width="9.83203125" style="362"/>
    <col min="46" max="46" width="16.83203125" style="362" bestFit="1" customWidth="1"/>
    <col min="47" max="47" width="21" style="362" customWidth="1"/>
    <col min="48" max="16384" width="9.83203125" style="362"/>
  </cols>
  <sheetData>
    <row r="1" spans="1:47" s="361" customFormat="1" ht="54.5" customHeight="1">
      <c r="A1" s="941" t="s">
        <v>918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617"/>
      <c r="V1" s="617"/>
      <c r="W1" s="617"/>
      <c r="X1" s="617"/>
      <c r="Y1" s="617"/>
      <c r="Z1" s="617"/>
      <c r="AA1" s="617"/>
      <c r="AB1" s="617"/>
      <c r="AC1" s="617"/>
      <c r="AD1" s="617"/>
      <c r="AE1" s="617"/>
      <c r="AF1" s="617"/>
      <c r="AG1" s="617"/>
      <c r="AH1" s="617"/>
      <c r="AI1" s="617"/>
      <c r="AJ1" s="617"/>
      <c r="AK1" s="357"/>
      <c r="AL1" s="358" t="s">
        <v>931</v>
      </c>
      <c r="AM1" s="358" t="s">
        <v>931</v>
      </c>
      <c r="AN1" s="618" t="s">
        <v>931</v>
      </c>
      <c r="AO1" s="618" t="s">
        <v>931</v>
      </c>
      <c r="AP1" s="618" t="s">
        <v>931</v>
      </c>
      <c r="AQ1" s="360"/>
      <c r="AR1" s="360"/>
      <c r="AS1" s="360"/>
      <c r="AT1" s="841" t="s">
        <v>871</v>
      </c>
      <c r="AU1" s="841"/>
    </row>
    <row r="2" spans="1:47" s="372" customFormat="1" ht="6.5" customHeight="1">
      <c r="B2" s="512"/>
      <c r="C2" s="513"/>
      <c r="D2" s="513"/>
      <c r="E2" s="513"/>
      <c r="F2" s="513"/>
      <c r="G2" s="514"/>
      <c r="H2" s="513"/>
      <c r="I2" s="513"/>
      <c r="J2" s="513"/>
      <c r="K2" s="513"/>
      <c r="L2" s="515"/>
      <c r="M2" s="516"/>
      <c r="N2" s="515"/>
      <c r="O2" s="516"/>
      <c r="P2" s="515"/>
      <c r="Q2" s="515"/>
      <c r="R2" s="515"/>
      <c r="S2" s="515"/>
      <c r="T2" s="515"/>
      <c r="U2" s="515"/>
      <c r="V2" s="515"/>
      <c r="W2" s="515"/>
      <c r="X2" s="515"/>
      <c r="Y2" s="515"/>
      <c r="Z2" s="515"/>
      <c r="AA2" s="517"/>
      <c r="AB2" s="364"/>
      <c r="AC2" s="517"/>
      <c r="AD2" s="517"/>
      <c r="AE2" s="517"/>
      <c r="AF2" s="364"/>
      <c r="AG2" s="517"/>
      <c r="AH2" s="517"/>
      <c r="AI2" s="517"/>
      <c r="AJ2" s="517"/>
      <c r="AK2" s="518"/>
      <c r="AL2" s="519"/>
      <c r="AM2" s="364"/>
      <c r="AN2" s="364"/>
      <c r="AO2" s="364"/>
      <c r="AP2" s="364"/>
      <c r="AQ2" s="364"/>
      <c r="AR2" s="364"/>
      <c r="AS2" s="364"/>
    </row>
    <row r="3" spans="1:47" s="372" customFormat="1" ht="5.5" customHeight="1">
      <c r="B3" s="520"/>
      <c r="C3" s="364"/>
      <c r="D3" s="364"/>
      <c r="E3" s="364"/>
      <c r="F3" s="364"/>
      <c r="H3" s="364"/>
      <c r="I3" s="364"/>
      <c r="J3" s="364"/>
      <c r="K3" s="364"/>
      <c r="L3" s="515"/>
      <c r="M3" s="516"/>
      <c r="N3" s="515"/>
      <c r="O3" s="516"/>
      <c r="P3" s="515"/>
      <c r="Q3" s="515"/>
      <c r="R3" s="515"/>
      <c r="S3" s="515"/>
      <c r="T3" s="515"/>
      <c r="U3" s="515"/>
      <c r="V3" s="515"/>
      <c r="W3" s="515"/>
      <c r="X3" s="515"/>
      <c r="Y3" s="515"/>
      <c r="Z3" s="515"/>
      <c r="AA3" s="517"/>
      <c r="AB3" s="364"/>
      <c r="AC3" s="517"/>
      <c r="AD3" s="517"/>
      <c r="AE3" s="517"/>
      <c r="AF3" s="364"/>
      <c r="AG3" s="517"/>
      <c r="AH3" s="517"/>
      <c r="AI3" s="517"/>
      <c r="AJ3" s="517"/>
      <c r="AK3" s="518"/>
      <c r="AL3" s="519"/>
      <c r="AM3" s="364"/>
      <c r="AN3" s="364"/>
      <c r="AO3" s="364"/>
      <c r="AP3" s="364"/>
      <c r="AQ3" s="364"/>
      <c r="AR3" s="364"/>
      <c r="AS3" s="364"/>
    </row>
    <row r="4" spans="1:47" s="480" customFormat="1" ht="34.25" customHeight="1" thickBot="1">
      <c r="B4" s="616" t="s">
        <v>930</v>
      </c>
      <c r="C4" s="481"/>
      <c r="D4" s="482"/>
      <c r="E4" s="481"/>
      <c r="F4" s="483"/>
      <c r="G4" s="484" t="s">
        <v>192</v>
      </c>
      <c r="H4" s="485"/>
      <c r="I4" s="486"/>
      <c r="J4" s="487" t="s">
        <v>923</v>
      </c>
      <c r="K4" s="487"/>
      <c r="L4" s="488"/>
      <c r="M4" s="489"/>
      <c r="N4" s="488"/>
      <c r="O4" s="489"/>
      <c r="P4" s="488"/>
      <c r="Q4" s="490"/>
      <c r="R4" s="488"/>
      <c r="S4" s="488"/>
      <c r="T4" s="488"/>
      <c r="U4" s="488"/>
      <c r="V4" s="488"/>
      <c r="W4" s="949"/>
      <c r="X4" s="949"/>
      <c r="Y4" s="949"/>
      <c r="Z4" s="949"/>
      <c r="AA4" s="490"/>
      <c r="AB4" s="491"/>
      <c r="AC4" s="483"/>
      <c r="AD4" s="492"/>
      <c r="AE4" s="490"/>
      <c r="AF4" s="491"/>
      <c r="AG4" s="483"/>
      <c r="AH4" s="492"/>
      <c r="AI4" s="492"/>
      <c r="AJ4" s="492"/>
      <c r="AK4" s="493"/>
      <c r="AL4" s="494"/>
      <c r="AM4" s="495"/>
      <c r="AN4" s="495"/>
      <c r="AO4" s="495"/>
      <c r="AP4" s="495"/>
      <c r="AQ4" s="495"/>
      <c r="AR4" s="495"/>
      <c r="AS4" s="495"/>
    </row>
    <row r="5" spans="1:47" s="369" customFormat="1" ht="60" customHeight="1" thickTop="1">
      <c r="A5" s="942" t="s">
        <v>555</v>
      </c>
      <c r="B5" s="603" t="s">
        <v>333</v>
      </c>
      <c r="C5" s="951" t="s">
        <v>5</v>
      </c>
      <c r="D5" s="944" t="s">
        <v>526</v>
      </c>
      <c r="E5" s="945" t="s">
        <v>190</v>
      </c>
      <c r="F5" s="945" t="s">
        <v>921</v>
      </c>
      <c r="G5" s="954" t="s">
        <v>512</v>
      </c>
      <c r="H5" s="955"/>
      <c r="I5" s="956"/>
      <c r="J5" s="957" t="s">
        <v>922</v>
      </c>
      <c r="K5" s="957"/>
      <c r="L5" s="958"/>
      <c r="M5" s="959" t="s">
        <v>908</v>
      </c>
      <c r="N5" s="960"/>
      <c r="O5" s="960"/>
      <c r="P5" s="960"/>
      <c r="Q5" s="937" t="s">
        <v>649</v>
      </c>
      <c r="R5" s="937"/>
      <c r="S5" s="938" t="s">
        <v>705</v>
      </c>
      <c r="T5" s="939"/>
      <c r="U5" s="940" t="s">
        <v>888</v>
      </c>
      <c r="V5" s="940"/>
      <c r="W5" s="946" t="s">
        <v>691</v>
      </c>
      <c r="X5" s="946"/>
      <c r="Y5" s="946"/>
      <c r="Z5" s="946"/>
      <c r="AA5" s="947" t="s">
        <v>819</v>
      </c>
      <c r="AB5" s="947" t="s">
        <v>834</v>
      </c>
      <c r="AC5" s="947"/>
      <c r="AD5" s="947"/>
      <c r="AE5" s="942" t="s">
        <v>912</v>
      </c>
      <c r="AF5" s="944" t="s">
        <v>928</v>
      </c>
      <c r="AG5" s="944"/>
      <c r="AH5" s="945"/>
      <c r="AI5" s="929" t="s">
        <v>916</v>
      </c>
      <c r="AJ5" s="931" t="s">
        <v>917</v>
      </c>
      <c r="AK5" s="368"/>
      <c r="AL5" s="359"/>
      <c r="AM5" s="360"/>
      <c r="AN5" s="360"/>
      <c r="AO5" s="360"/>
      <c r="AP5" s="360"/>
      <c r="AQ5" s="360"/>
      <c r="AR5" s="360"/>
      <c r="AS5" s="360"/>
    </row>
    <row r="6" spans="1:47" s="369" customFormat="1" ht="60" customHeight="1" thickBot="1">
      <c r="A6" s="950"/>
      <c r="B6" s="604" t="s">
        <v>193</v>
      </c>
      <c r="C6" s="952"/>
      <c r="D6" s="952"/>
      <c r="E6" s="953"/>
      <c r="F6" s="953"/>
      <c r="G6" s="605" t="s">
        <v>0</v>
      </c>
      <c r="H6" s="606" t="s">
        <v>330</v>
      </c>
      <c r="I6" s="607" t="s">
        <v>191</v>
      </c>
      <c r="J6" s="608" t="s">
        <v>0</v>
      </c>
      <c r="K6" s="609" t="s">
        <v>288</v>
      </c>
      <c r="L6" s="609" t="s">
        <v>191</v>
      </c>
      <c r="M6" s="610" t="s">
        <v>902</v>
      </c>
      <c r="N6" s="611" t="s">
        <v>682</v>
      </c>
      <c r="O6" s="612" t="s">
        <v>833</v>
      </c>
      <c r="P6" s="613" t="s">
        <v>714</v>
      </c>
      <c r="Q6" s="614" t="s">
        <v>506</v>
      </c>
      <c r="R6" s="615" t="s">
        <v>507</v>
      </c>
      <c r="S6" s="614" t="s">
        <v>506</v>
      </c>
      <c r="T6" s="615" t="s">
        <v>549</v>
      </c>
      <c r="U6" s="830" t="s">
        <v>506</v>
      </c>
      <c r="V6" s="615" t="s">
        <v>549</v>
      </c>
      <c r="W6" s="828" t="s">
        <v>748</v>
      </c>
      <c r="X6" s="828" t="s">
        <v>682</v>
      </c>
      <c r="Y6" s="828" t="s">
        <v>749</v>
      </c>
      <c r="Z6" s="828" t="s">
        <v>683</v>
      </c>
      <c r="AA6" s="948"/>
      <c r="AB6" s="829" t="s">
        <v>331</v>
      </c>
      <c r="AC6" s="829" t="s">
        <v>332</v>
      </c>
      <c r="AD6" s="829" t="s">
        <v>193</v>
      </c>
      <c r="AE6" s="943"/>
      <c r="AF6" s="855" t="s">
        <v>331</v>
      </c>
      <c r="AG6" s="856" t="s">
        <v>332</v>
      </c>
      <c r="AH6" s="869" t="s">
        <v>193</v>
      </c>
      <c r="AI6" s="930"/>
      <c r="AJ6" s="932"/>
      <c r="AM6" s="359"/>
      <c r="AN6" s="359"/>
      <c r="AO6" s="359"/>
      <c r="AP6" s="359"/>
      <c r="AQ6" s="359"/>
      <c r="AR6" s="359"/>
      <c r="AS6" s="359"/>
    </row>
    <row r="7" spans="1:47" ht="70" customHeight="1">
      <c r="A7" s="933" t="s">
        <v>634</v>
      </c>
      <c r="B7" s="620">
        <v>1</v>
      </c>
      <c r="C7" s="621" t="s">
        <v>841</v>
      </c>
      <c r="D7" s="621" t="s">
        <v>842</v>
      </c>
      <c r="E7" s="622">
        <v>30</v>
      </c>
      <c r="F7" s="623">
        <v>191</v>
      </c>
      <c r="G7" s="624">
        <v>2</v>
      </c>
      <c r="H7" s="625">
        <v>117065</v>
      </c>
      <c r="I7" s="626">
        <v>6.1290575916230369E-2</v>
      </c>
      <c r="J7" s="924">
        <v>65</v>
      </c>
      <c r="K7" s="627">
        <v>1643327</v>
      </c>
      <c r="L7" s="628">
        <v>0.86038062827225126</v>
      </c>
      <c r="M7" s="925"/>
      <c r="N7" s="926"/>
      <c r="O7" s="927"/>
      <c r="P7" s="928"/>
      <c r="Q7" s="629">
        <v>21</v>
      </c>
      <c r="R7" s="630">
        <v>0.7</v>
      </c>
      <c r="S7" s="629">
        <v>15</v>
      </c>
      <c r="T7" s="630">
        <v>0.5</v>
      </c>
      <c r="U7" s="629">
        <v>12</v>
      </c>
      <c r="V7" s="630">
        <v>0.4</v>
      </c>
      <c r="W7" s="790" t="e">
        <v>#N/A</v>
      </c>
      <c r="X7" s="791" t="s">
        <v>932</v>
      </c>
      <c r="Y7" s="790" t="e">
        <v>#N/A</v>
      </c>
      <c r="Z7" s="791" t="s">
        <v>932</v>
      </c>
      <c r="AA7" s="792">
        <v>633</v>
      </c>
      <c r="AB7" s="793">
        <v>1643327</v>
      </c>
      <c r="AC7" s="794">
        <v>0.25960932069510267</v>
      </c>
      <c r="AD7" s="795">
        <v>1</v>
      </c>
      <c r="AE7" s="861">
        <v>2390</v>
      </c>
      <c r="AF7" s="857">
        <v>9701554</v>
      </c>
      <c r="AG7" s="866">
        <v>0.40592276150627615</v>
      </c>
      <c r="AH7" s="871">
        <v>1</v>
      </c>
      <c r="AI7" s="881"/>
      <c r="AJ7" s="884"/>
      <c r="AK7" s="876"/>
      <c r="AL7" s="370"/>
    </row>
    <row r="8" spans="1:47" ht="70" customHeight="1">
      <c r="A8" s="934"/>
      <c r="B8" s="631">
        <v>2</v>
      </c>
      <c r="C8" s="632" t="s">
        <v>9</v>
      </c>
      <c r="D8" s="632" t="s">
        <v>663</v>
      </c>
      <c r="E8" s="633">
        <v>39</v>
      </c>
      <c r="F8" s="634">
        <v>164</v>
      </c>
      <c r="G8" s="635">
        <v>6</v>
      </c>
      <c r="H8" s="636">
        <v>99411</v>
      </c>
      <c r="I8" s="637">
        <v>6.0616463414634149E-2</v>
      </c>
      <c r="J8" s="638">
        <v>66</v>
      </c>
      <c r="K8" s="639">
        <v>1372710</v>
      </c>
      <c r="L8" s="640">
        <v>0.83701829268292682</v>
      </c>
      <c r="M8" s="641">
        <v>1381736</v>
      </c>
      <c r="N8" s="642">
        <v>0.99346763781214353</v>
      </c>
      <c r="O8" s="643">
        <v>0</v>
      </c>
      <c r="P8" s="644" t="e">
        <v>#DIV/0!</v>
      </c>
      <c r="Q8" s="645">
        <v>29</v>
      </c>
      <c r="R8" s="646">
        <v>0.74358974358974361</v>
      </c>
      <c r="S8" s="645">
        <v>20</v>
      </c>
      <c r="T8" s="646">
        <v>0.51282051282051277</v>
      </c>
      <c r="U8" s="645">
        <v>12</v>
      </c>
      <c r="V8" s="646">
        <v>0.30769230769230771</v>
      </c>
      <c r="W8" s="796">
        <v>0</v>
      </c>
      <c r="X8" s="797" t="s">
        <v>932</v>
      </c>
      <c r="Y8" s="796">
        <v>0</v>
      </c>
      <c r="Z8" s="797" t="s">
        <v>932</v>
      </c>
      <c r="AA8" s="798">
        <v>540</v>
      </c>
      <c r="AB8" s="799">
        <v>1372710</v>
      </c>
      <c r="AC8" s="800">
        <v>0.25420555555555557</v>
      </c>
      <c r="AD8" s="795">
        <v>2</v>
      </c>
      <c r="AE8" s="862">
        <v>2045</v>
      </c>
      <c r="AF8" s="478">
        <v>5134788</v>
      </c>
      <c r="AG8" s="479">
        <v>0.25108987775061126</v>
      </c>
      <c r="AH8" s="871">
        <v>5</v>
      </c>
      <c r="AI8" s="878">
        <v>0</v>
      </c>
      <c r="AJ8" s="883">
        <v>0</v>
      </c>
      <c r="AK8" s="371"/>
      <c r="AL8" s="401"/>
    </row>
    <row r="9" spans="1:47" ht="70" customHeight="1">
      <c r="A9" s="934"/>
      <c r="B9" s="647">
        <v>3</v>
      </c>
      <c r="C9" s="648" t="s">
        <v>7</v>
      </c>
      <c r="D9" s="648" t="s">
        <v>74</v>
      </c>
      <c r="E9" s="633">
        <v>87</v>
      </c>
      <c r="F9" s="634">
        <v>444</v>
      </c>
      <c r="G9" s="635">
        <v>6</v>
      </c>
      <c r="H9" s="636">
        <v>182009</v>
      </c>
      <c r="I9" s="637">
        <v>4.0993018018018017E-2</v>
      </c>
      <c r="J9" s="638">
        <v>171</v>
      </c>
      <c r="K9" s="639">
        <v>3257563</v>
      </c>
      <c r="L9" s="640">
        <v>0.73368536036036036</v>
      </c>
      <c r="M9" s="641">
        <v>3843122</v>
      </c>
      <c r="N9" s="642">
        <v>0.84763455336572713</v>
      </c>
      <c r="O9" s="643">
        <v>0</v>
      </c>
      <c r="P9" s="644" t="e">
        <v>#DIV/0!</v>
      </c>
      <c r="Q9" s="645">
        <v>57</v>
      </c>
      <c r="R9" s="646">
        <v>0.65517241379310343</v>
      </c>
      <c r="S9" s="645">
        <v>40</v>
      </c>
      <c r="T9" s="646">
        <v>0.45977011494252873</v>
      </c>
      <c r="U9" s="645">
        <v>32</v>
      </c>
      <c r="V9" s="646">
        <v>0.36781609195402298</v>
      </c>
      <c r="W9" s="796">
        <v>0</v>
      </c>
      <c r="X9" s="797" t="s">
        <v>932</v>
      </c>
      <c r="Y9" s="796">
        <v>0</v>
      </c>
      <c r="Z9" s="797" t="s">
        <v>932</v>
      </c>
      <c r="AA9" s="798">
        <v>1475</v>
      </c>
      <c r="AB9" s="799">
        <v>3257563</v>
      </c>
      <c r="AC9" s="800">
        <v>0.22085172881355933</v>
      </c>
      <c r="AD9" s="795">
        <v>3</v>
      </c>
      <c r="AE9" s="862">
        <v>5563</v>
      </c>
      <c r="AF9" s="478">
        <v>18270095</v>
      </c>
      <c r="AG9" s="479">
        <v>0.32842162502246991</v>
      </c>
      <c r="AH9" s="871">
        <v>3</v>
      </c>
      <c r="AI9" s="878">
        <v>0</v>
      </c>
      <c r="AJ9" s="883">
        <v>3</v>
      </c>
      <c r="AK9" s="371"/>
      <c r="AL9" s="524"/>
    </row>
    <row r="10" spans="1:47" ht="70" customHeight="1">
      <c r="A10" s="934"/>
      <c r="B10" s="647">
        <v>4</v>
      </c>
      <c r="C10" s="632" t="s">
        <v>858</v>
      </c>
      <c r="D10" s="632" t="s">
        <v>859</v>
      </c>
      <c r="E10" s="633">
        <v>31</v>
      </c>
      <c r="F10" s="634">
        <v>132</v>
      </c>
      <c r="G10" s="673">
        <v>1</v>
      </c>
      <c r="H10" s="674">
        <v>19365</v>
      </c>
      <c r="I10" s="675">
        <v>1.4670454545454546E-2</v>
      </c>
      <c r="J10" s="676">
        <v>47</v>
      </c>
      <c r="K10" s="677">
        <v>885442</v>
      </c>
      <c r="L10" s="685">
        <v>0.67078939393939396</v>
      </c>
      <c r="M10" s="850"/>
      <c r="N10" s="851"/>
      <c r="O10" s="852"/>
      <c r="P10" s="853"/>
      <c r="Q10" s="683">
        <v>19</v>
      </c>
      <c r="R10" s="686">
        <v>0.61290322580645162</v>
      </c>
      <c r="S10" s="683">
        <v>14</v>
      </c>
      <c r="T10" s="687">
        <v>0.45161290322580644</v>
      </c>
      <c r="U10" s="645">
        <v>12</v>
      </c>
      <c r="V10" s="646">
        <v>0.38709677419354838</v>
      </c>
      <c r="W10" s="796" t="e">
        <v>#N/A</v>
      </c>
      <c r="X10" s="797" t="s">
        <v>932</v>
      </c>
      <c r="Y10" s="796" t="e">
        <v>#N/A</v>
      </c>
      <c r="Z10" s="797" t="s">
        <v>932</v>
      </c>
      <c r="AA10" s="798">
        <v>440</v>
      </c>
      <c r="AB10" s="799">
        <v>885442</v>
      </c>
      <c r="AC10" s="800">
        <v>0.20123681818181818</v>
      </c>
      <c r="AD10" s="795">
        <v>4</v>
      </c>
      <c r="AE10" s="862">
        <v>1660</v>
      </c>
      <c r="AF10" s="478">
        <v>4073919</v>
      </c>
      <c r="AG10" s="479">
        <v>0.24541680722891565</v>
      </c>
      <c r="AH10" s="871">
        <v>6</v>
      </c>
      <c r="AI10" s="881"/>
      <c r="AJ10" s="884"/>
      <c r="AK10" s="371"/>
      <c r="AL10" s="370"/>
    </row>
    <row r="11" spans="1:47" ht="70" customHeight="1">
      <c r="A11" s="934"/>
      <c r="B11" s="647">
        <v>5</v>
      </c>
      <c r="C11" s="632" t="s">
        <v>206</v>
      </c>
      <c r="D11" s="632" t="s">
        <v>485</v>
      </c>
      <c r="E11" s="633">
        <v>43</v>
      </c>
      <c r="F11" s="634">
        <v>149</v>
      </c>
      <c r="G11" s="635">
        <v>3</v>
      </c>
      <c r="H11" s="636">
        <v>20103</v>
      </c>
      <c r="I11" s="637">
        <v>1.3491946308724832E-2</v>
      </c>
      <c r="J11" s="638">
        <v>76</v>
      </c>
      <c r="K11" s="639">
        <v>824304</v>
      </c>
      <c r="L11" s="640">
        <v>0.55322416107382555</v>
      </c>
      <c r="M11" s="641">
        <v>1007123</v>
      </c>
      <c r="N11" s="642">
        <v>0.81847400962940975</v>
      </c>
      <c r="O11" s="643">
        <v>0</v>
      </c>
      <c r="P11" s="644" t="e">
        <v>#DIV/0!</v>
      </c>
      <c r="Q11" s="645">
        <v>26</v>
      </c>
      <c r="R11" s="646">
        <v>0.60465116279069764</v>
      </c>
      <c r="S11" s="645">
        <v>20</v>
      </c>
      <c r="T11" s="646">
        <v>0.46511627906976744</v>
      </c>
      <c r="U11" s="645">
        <v>10</v>
      </c>
      <c r="V11" s="646">
        <v>0.23255813953488372</v>
      </c>
      <c r="W11" s="796">
        <v>0</v>
      </c>
      <c r="X11" s="797" t="s">
        <v>932</v>
      </c>
      <c r="Y11" s="796">
        <v>0</v>
      </c>
      <c r="Z11" s="797" t="s">
        <v>932</v>
      </c>
      <c r="AA11" s="798">
        <v>492</v>
      </c>
      <c r="AB11" s="799">
        <v>824304</v>
      </c>
      <c r="AC11" s="800">
        <v>0.16754146341463413</v>
      </c>
      <c r="AD11" s="795">
        <v>5</v>
      </c>
      <c r="AE11" s="862">
        <v>1859</v>
      </c>
      <c r="AF11" s="478">
        <v>5117133</v>
      </c>
      <c r="AG11" s="479">
        <v>0.27526266810112965</v>
      </c>
      <c r="AH11" s="871">
        <v>4</v>
      </c>
      <c r="AI11" s="878">
        <v>1</v>
      </c>
      <c r="AJ11" s="883">
        <v>2</v>
      </c>
      <c r="AK11" s="371"/>
      <c r="AL11" s="370"/>
    </row>
    <row r="12" spans="1:47" ht="70" customHeight="1">
      <c r="A12" s="934"/>
      <c r="B12" s="647">
        <v>6</v>
      </c>
      <c r="C12" s="632" t="s">
        <v>217</v>
      </c>
      <c r="D12" s="632" t="s">
        <v>69</v>
      </c>
      <c r="E12" s="633">
        <v>40</v>
      </c>
      <c r="F12" s="634">
        <v>145</v>
      </c>
      <c r="G12" s="635">
        <v>5</v>
      </c>
      <c r="H12" s="636">
        <v>110336</v>
      </c>
      <c r="I12" s="637">
        <v>7.6093793103448271E-2</v>
      </c>
      <c r="J12" s="638">
        <v>46</v>
      </c>
      <c r="K12" s="639">
        <v>764328</v>
      </c>
      <c r="L12" s="640">
        <v>0.52712275862068969</v>
      </c>
      <c r="M12" s="641">
        <v>1129236</v>
      </c>
      <c r="N12" s="642">
        <v>0.67685408541704306</v>
      </c>
      <c r="O12" s="643">
        <v>0</v>
      </c>
      <c r="P12" s="644" t="e">
        <v>#DIV/0!</v>
      </c>
      <c r="Q12" s="645">
        <v>22</v>
      </c>
      <c r="R12" s="646">
        <v>0.55000000000000004</v>
      </c>
      <c r="S12" s="645">
        <v>15</v>
      </c>
      <c r="T12" s="646">
        <v>0.375</v>
      </c>
      <c r="U12" s="645">
        <v>11</v>
      </c>
      <c r="V12" s="646">
        <v>0.27500000000000002</v>
      </c>
      <c r="W12" s="796"/>
      <c r="X12" s="797"/>
      <c r="Y12" s="796"/>
      <c r="Z12" s="797"/>
      <c r="AA12" s="798"/>
      <c r="AB12" s="799"/>
      <c r="AC12" s="800"/>
      <c r="AD12" s="795"/>
      <c r="AE12" s="862">
        <v>1817</v>
      </c>
      <c r="AF12" s="478">
        <v>6576470</v>
      </c>
      <c r="AG12" s="479">
        <v>0.36194111172261972</v>
      </c>
      <c r="AH12" s="871">
        <v>2</v>
      </c>
      <c r="AI12" s="878">
        <v>0</v>
      </c>
      <c r="AJ12" s="883">
        <v>0</v>
      </c>
      <c r="AK12" s="371"/>
      <c r="AL12" s="370"/>
    </row>
    <row r="13" spans="1:47" ht="70" customHeight="1">
      <c r="A13" s="934"/>
      <c r="B13" s="647">
        <v>7</v>
      </c>
      <c r="C13" s="649" t="s">
        <v>11</v>
      </c>
      <c r="D13" s="649" t="s">
        <v>149</v>
      </c>
      <c r="E13" s="650">
        <v>108</v>
      </c>
      <c r="F13" s="634">
        <v>333</v>
      </c>
      <c r="G13" s="651">
        <v>2</v>
      </c>
      <c r="H13" s="652">
        <v>9944</v>
      </c>
      <c r="I13" s="637">
        <v>2.9861861861861863E-3</v>
      </c>
      <c r="J13" s="653">
        <v>84.5</v>
      </c>
      <c r="K13" s="654">
        <v>1511488</v>
      </c>
      <c r="L13" s="640">
        <v>0.45390030030030032</v>
      </c>
      <c r="M13" s="832">
        <v>3181813</v>
      </c>
      <c r="N13" s="833">
        <v>0.47503985935062809</v>
      </c>
      <c r="O13" s="834">
        <v>0</v>
      </c>
      <c r="P13" s="835" t="e">
        <v>#DIV/0!</v>
      </c>
      <c r="Q13" s="655">
        <v>38</v>
      </c>
      <c r="R13" s="656">
        <v>0.35185185185185186</v>
      </c>
      <c r="S13" s="655">
        <v>22</v>
      </c>
      <c r="T13" s="656">
        <v>0.20370370370370369</v>
      </c>
      <c r="U13" s="655">
        <v>16</v>
      </c>
      <c r="V13" s="656">
        <v>0.14814814814814814</v>
      </c>
      <c r="W13" s="801">
        <v>0</v>
      </c>
      <c r="X13" s="802" t="s">
        <v>932</v>
      </c>
      <c r="Y13" s="801">
        <v>0</v>
      </c>
      <c r="Z13" s="802" t="s">
        <v>932</v>
      </c>
      <c r="AA13" s="803">
        <v>1100</v>
      </c>
      <c r="AB13" s="804">
        <v>1511488</v>
      </c>
      <c r="AC13" s="805">
        <v>0.137408</v>
      </c>
      <c r="AD13" s="806">
        <v>6</v>
      </c>
      <c r="AE13" s="863">
        <v>4147</v>
      </c>
      <c r="AF13" s="858">
        <v>9241649</v>
      </c>
      <c r="AG13" s="867">
        <v>0.22285143477212443</v>
      </c>
      <c r="AH13" s="888">
        <v>7</v>
      </c>
      <c r="AI13" s="878">
        <v>0</v>
      </c>
      <c r="AJ13" s="883">
        <v>2</v>
      </c>
      <c r="AK13" s="371"/>
      <c r="AL13" s="370"/>
    </row>
    <row r="14" spans="1:47" ht="70" customHeight="1" thickBot="1">
      <c r="A14" s="934"/>
      <c r="B14" s="657">
        <v>8</v>
      </c>
      <c r="C14" s="649" t="s">
        <v>10</v>
      </c>
      <c r="D14" s="649" t="s">
        <v>130</v>
      </c>
      <c r="E14" s="650">
        <v>45</v>
      </c>
      <c r="F14" s="634">
        <v>184</v>
      </c>
      <c r="G14" s="651">
        <v>0</v>
      </c>
      <c r="H14" s="652">
        <v>0</v>
      </c>
      <c r="I14" s="658">
        <v>0</v>
      </c>
      <c r="J14" s="653">
        <v>59</v>
      </c>
      <c r="K14" s="654">
        <v>704970</v>
      </c>
      <c r="L14" s="854">
        <v>0.38313586956521739</v>
      </c>
      <c r="M14" s="832">
        <v>1823112</v>
      </c>
      <c r="N14" s="833">
        <v>0.38668496504877375</v>
      </c>
      <c r="O14" s="834">
        <v>0</v>
      </c>
      <c r="P14" s="835" t="e">
        <v>#DIV/0!</v>
      </c>
      <c r="Q14" s="655">
        <v>23</v>
      </c>
      <c r="R14" s="656">
        <v>0.51111111111111107</v>
      </c>
      <c r="S14" s="655">
        <v>14</v>
      </c>
      <c r="T14" s="656">
        <v>0.31111111111111112</v>
      </c>
      <c r="U14" s="655">
        <v>10</v>
      </c>
      <c r="V14" s="656">
        <v>0.22222222222222221</v>
      </c>
      <c r="W14" s="801">
        <v>0</v>
      </c>
      <c r="X14" s="802" t="s">
        <v>932</v>
      </c>
      <c r="Y14" s="801">
        <v>0</v>
      </c>
      <c r="Z14" s="802" t="s">
        <v>932</v>
      </c>
      <c r="AA14" s="803">
        <v>610</v>
      </c>
      <c r="AB14" s="804">
        <v>704970</v>
      </c>
      <c r="AC14" s="805">
        <v>0.11556885245901639</v>
      </c>
      <c r="AD14" s="806">
        <v>7</v>
      </c>
      <c r="AE14" s="863">
        <v>2298</v>
      </c>
      <c r="AF14" s="858">
        <v>4955538</v>
      </c>
      <c r="AG14" s="867">
        <v>0.21564569190600522</v>
      </c>
      <c r="AH14" s="872">
        <v>8</v>
      </c>
      <c r="AI14" s="879">
        <v>0</v>
      </c>
      <c r="AJ14" s="885">
        <v>0</v>
      </c>
      <c r="AK14" s="371"/>
      <c r="AL14" s="370"/>
    </row>
    <row r="15" spans="1:47" ht="70" customHeight="1" thickTop="1">
      <c r="A15" s="935" t="s">
        <v>635</v>
      </c>
      <c r="B15" s="659">
        <v>1</v>
      </c>
      <c r="C15" s="660" t="s">
        <v>903</v>
      </c>
      <c r="D15" s="660" t="s">
        <v>904</v>
      </c>
      <c r="E15" s="661">
        <v>15</v>
      </c>
      <c r="F15" s="662">
        <v>62</v>
      </c>
      <c r="G15" s="663">
        <v>2</v>
      </c>
      <c r="H15" s="664">
        <v>9148</v>
      </c>
      <c r="I15" s="665">
        <v>1.4754838709677419E-2</v>
      </c>
      <c r="J15" s="666">
        <v>55</v>
      </c>
      <c r="K15" s="667">
        <v>687069</v>
      </c>
      <c r="L15" s="892">
        <v>1.108175806451613</v>
      </c>
      <c r="M15" s="893">
        <v>206911</v>
      </c>
      <c r="N15" s="894">
        <v>3.3206016113208094</v>
      </c>
      <c r="O15" s="895">
        <v>0</v>
      </c>
      <c r="P15" s="896" t="e">
        <v>#DIV/0!</v>
      </c>
      <c r="Q15" s="668">
        <v>13</v>
      </c>
      <c r="R15" s="889">
        <v>0.8666666666666667</v>
      </c>
      <c r="S15" s="668">
        <v>12</v>
      </c>
      <c r="T15" s="889">
        <v>0.8</v>
      </c>
      <c r="U15" s="668">
        <v>11</v>
      </c>
      <c r="V15" s="669">
        <v>0.73333333333333328</v>
      </c>
      <c r="W15" s="807">
        <v>0</v>
      </c>
      <c r="X15" s="808" t="s">
        <v>932</v>
      </c>
      <c r="Y15" s="807">
        <v>0</v>
      </c>
      <c r="Z15" s="808" t="s">
        <v>932</v>
      </c>
      <c r="AA15" s="809">
        <v>209</v>
      </c>
      <c r="AB15" s="810">
        <v>687069</v>
      </c>
      <c r="AC15" s="811">
        <v>0.32874114832535883</v>
      </c>
      <c r="AD15" s="812">
        <v>1</v>
      </c>
      <c r="AE15" s="864">
        <v>780</v>
      </c>
      <c r="AF15" s="859">
        <v>2598572</v>
      </c>
      <c r="AG15" s="868">
        <v>0.33315025641025642</v>
      </c>
      <c r="AH15" s="873">
        <v>1</v>
      </c>
      <c r="AI15" s="880">
        <v>1</v>
      </c>
      <c r="AJ15" s="886">
        <v>1</v>
      </c>
      <c r="AK15" s="877"/>
      <c r="AL15" s="370"/>
    </row>
    <row r="16" spans="1:47" ht="70" customHeight="1">
      <c r="A16" s="936"/>
      <c r="B16" s="670">
        <v>2</v>
      </c>
      <c r="C16" s="632" t="s">
        <v>479</v>
      </c>
      <c r="D16" s="632" t="s">
        <v>664</v>
      </c>
      <c r="E16" s="633">
        <v>33</v>
      </c>
      <c r="F16" s="671">
        <v>130</v>
      </c>
      <c r="G16" s="635">
        <v>0</v>
      </c>
      <c r="H16" s="636">
        <v>0</v>
      </c>
      <c r="I16" s="637">
        <v>0</v>
      </c>
      <c r="J16" s="638">
        <v>40</v>
      </c>
      <c r="K16" s="639">
        <v>1165291</v>
      </c>
      <c r="L16" s="640">
        <v>0.89637769230769226</v>
      </c>
      <c r="M16" s="641">
        <v>835525</v>
      </c>
      <c r="N16" s="642">
        <v>1.3946811884743127</v>
      </c>
      <c r="O16" s="643">
        <v>0</v>
      </c>
      <c r="P16" s="644" t="e">
        <v>#DIV/0!</v>
      </c>
      <c r="Q16" s="645">
        <v>20</v>
      </c>
      <c r="R16" s="646">
        <v>0.60606060606060608</v>
      </c>
      <c r="S16" s="645">
        <v>16</v>
      </c>
      <c r="T16" s="646">
        <v>0.48484848484848486</v>
      </c>
      <c r="U16" s="645">
        <v>11</v>
      </c>
      <c r="V16" s="646">
        <v>0.33333333333333331</v>
      </c>
      <c r="W16" s="796">
        <v>0</v>
      </c>
      <c r="X16" s="797" t="s">
        <v>932</v>
      </c>
      <c r="Y16" s="796">
        <v>0</v>
      </c>
      <c r="Z16" s="797" t="s">
        <v>932</v>
      </c>
      <c r="AA16" s="798">
        <v>432</v>
      </c>
      <c r="AB16" s="799">
        <v>1165291</v>
      </c>
      <c r="AC16" s="800">
        <v>0.26974328703703704</v>
      </c>
      <c r="AD16" s="813">
        <v>2</v>
      </c>
      <c r="AE16" s="862">
        <v>1631</v>
      </c>
      <c r="AF16" s="478">
        <v>3698952</v>
      </c>
      <c r="AG16" s="479">
        <v>0.22679043531575721</v>
      </c>
      <c r="AH16" s="874">
        <v>7</v>
      </c>
      <c r="AI16" s="878">
        <v>0</v>
      </c>
      <c r="AJ16" s="883">
        <v>1</v>
      </c>
      <c r="AK16" s="371"/>
      <c r="AL16" s="370"/>
    </row>
    <row r="17" spans="1:38" ht="70" customHeight="1">
      <c r="A17" s="936"/>
      <c r="B17" s="631">
        <v>3</v>
      </c>
      <c r="C17" s="648" t="s">
        <v>791</v>
      </c>
      <c r="D17" s="648" t="s">
        <v>861</v>
      </c>
      <c r="E17" s="672">
        <v>42</v>
      </c>
      <c r="F17" s="634">
        <v>127</v>
      </c>
      <c r="G17" s="673">
        <v>2</v>
      </c>
      <c r="H17" s="674">
        <v>21674</v>
      </c>
      <c r="I17" s="675">
        <v>1.7066141732283463E-2</v>
      </c>
      <c r="J17" s="676">
        <v>59</v>
      </c>
      <c r="K17" s="677">
        <v>903869</v>
      </c>
      <c r="L17" s="685">
        <v>0.71170787401574798</v>
      </c>
      <c r="M17" s="842">
        <v>878438</v>
      </c>
      <c r="N17" s="843">
        <v>1.0289502503307006</v>
      </c>
      <c r="O17" s="844">
        <v>0</v>
      </c>
      <c r="P17" s="845" t="e">
        <v>#DIV/0!</v>
      </c>
      <c r="Q17" s="683">
        <v>27</v>
      </c>
      <c r="R17" s="686">
        <v>0.6428571428571429</v>
      </c>
      <c r="S17" s="683">
        <v>12</v>
      </c>
      <c r="T17" s="687">
        <v>0.2857142857142857</v>
      </c>
      <c r="U17" s="683">
        <v>10</v>
      </c>
      <c r="V17" s="646">
        <v>0.23809523809523808</v>
      </c>
      <c r="W17" s="796">
        <v>0</v>
      </c>
      <c r="X17" s="797" t="s">
        <v>932</v>
      </c>
      <c r="Y17" s="796">
        <v>0</v>
      </c>
      <c r="Z17" s="797" t="s">
        <v>932</v>
      </c>
      <c r="AA17" s="798">
        <v>416</v>
      </c>
      <c r="AB17" s="799">
        <v>903869</v>
      </c>
      <c r="AC17" s="800">
        <v>0.21727620192307692</v>
      </c>
      <c r="AD17" s="795">
        <v>3</v>
      </c>
      <c r="AE17" s="862">
        <v>1583</v>
      </c>
      <c r="AF17" s="478">
        <v>4869188</v>
      </c>
      <c r="AG17" s="479">
        <v>0.30759241945672772</v>
      </c>
      <c r="AH17" s="871">
        <v>2</v>
      </c>
      <c r="AI17" s="878">
        <v>1</v>
      </c>
      <c r="AJ17" s="883">
        <v>3</v>
      </c>
      <c r="AK17" s="371"/>
      <c r="AL17" s="370"/>
    </row>
    <row r="18" spans="1:38" ht="70" customHeight="1">
      <c r="A18" s="936"/>
      <c r="B18" s="631">
        <v>4</v>
      </c>
      <c r="C18" s="648" t="s">
        <v>387</v>
      </c>
      <c r="D18" s="648" t="s">
        <v>388</v>
      </c>
      <c r="E18" s="672">
        <v>31</v>
      </c>
      <c r="F18" s="634">
        <v>121</v>
      </c>
      <c r="G18" s="673">
        <v>0</v>
      </c>
      <c r="H18" s="674">
        <v>0</v>
      </c>
      <c r="I18" s="675">
        <v>0</v>
      </c>
      <c r="J18" s="676">
        <v>33</v>
      </c>
      <c r="K18" s="677">
        <v>780153</v>
      </c>
      <c r="L18" s="678">
        <v>0.64475454545454547</v>
      </c>
      <c r="M18" s="679">
        <v>586060</v>
      </c>
      <c r="N18" s="680">
        <v>1.3311828140463433</v>
      </c>
      <c r="O18" s="681">
        <v>0</v>
      </c>
      <c r="P18" s="682" t="e">
        <v>#DIV/0!</v>
      </c>
      <c r="Q18" s="683">
        <v>13</v>
      </c>
      <c r="R18" s="684">
        <v>0.41935483870967744</v>
      </c>
      <c r="S18" s="683">
        <v>8</v>
      </c>
      <c r="T18" s="646">
        <v>0.25806451612903225</v>
      </c>
      <c r="U18" s="683">
        <v>6</v>
      </c>
      <c r="V18" s="687">
        <v>0.19354838709677419</v>
      </c>
      <c r="W18" s="796">
        <v>0</v>
      </c>
      <c r="X18" s="797" t="s">
        <v>932</v>
      </c>
      <c r="Y18" s="796">
        <v>0</v>
      </c>
      <c r="Z18" s="797" t="s">
        <v>932</v>
      </c>
      <c r="AA18" s="798">
        <v>398</v>
      </c>
      <c r="AB18" s="799">
        <v>780153</v>
      </c>
      <c r="AC18" s="800">
        <v>0.19601834170854271</v>
      </c>
      <c r="AD18" s="795">
        <v>4</v>
      </c>
      <c r="AE18" s="862">
        <v>1512</v>
      </c>
      <c r="AF18" s="478">
        <v>3483808</v>
      </c>
      <c r="AG18" s="479">
        <v>0.23041058201058201</v>
      </c>
      <c r="AH18" s="871">
        <v>6</v>
      </c>
      <c r="AI18" s="878">
        <v>0</v>
      </c>
      <c r="AJ18" s="883">
        <v>0</v>
      </c>
      <c r="AK18" s="371"/>
      <c r="AL18" s="370"/>
    </row>
    <row r="19" spans="1:38" ht="70" customHeight="1">
      <c r="A19" s="936"/>
      <c r="B19" s="631">
        <v>5</v>
      </c>
      <c r="C19" s="890" t="s">
        <v>836</v>
      </c>
      <c r="D19" s="648" t="s">
        <v>843</v>
      </c>
      <c r="E19" s="672">
        <v>26</v>
      </c>
      <c r="F19" s="634">
        <v>121</v>
      </c>
      <c r="G19" s="673">
        <v>3</v>
      </c>
      <c r="H19" s="674">
        <v>45579</v>
      </c>
      <c r="I19" s="675">
        <v>3.7668595041322313E-2</v>
      </c>
      <c r="J19" s="676">
        <v>59</v>
      </c>
      <c r="K19" s="677">
        <v>728794</v>
      </c>
      <c r="L19" s="685">
        <v>0.60230909090909091</v>
      </c>
      <c r="M19" s="850"/>
      <c r="N19" s="851"/>
      <c r="O19" s="852"/>
      <c r="P19" s="853"/>
      <c r="Q19" s="683">
        <v>17</v>
      </c>
      <c r="R19" s="686">
        <v>0.65384615384615385</v>
      </c>
      <c r="S19" s="683">
        <v>11</v>
      </c>
      <c r="T19" s="687">
        <v>0.42307692307692307</v>
      </c>
      <c r="U19" s="683">
        <v>8</v>
      </c>
      <c r="V19" s="646">
        <v>0.30769230769230771</v>
      </c>
      <c r="W19" s="796" t="e">
        <v>#N/A</v>
      </c>
      <c r="X19" s="797" t="s">
        <v>932</v>
      </c>
      <c r="Y19" s="796" t="e">
        <v>#N/A</v>
      </c>
      <c r="Z19" s="797" t="s">
        <v>932</v>
      </c>
      <c r="AA19" s="798">
        <v>402</v>
      </c>
      <c r="AB19" s="799">
        <v>728794</v>
      </c>
      <c r="AC19" s="800">
        <v>0.18129203980099504</v>
      </c>
      <c r="AD19" s="795">
        <v>5</v>
      </c>
      <c r="AE19" s="862">
        <v>1513</v>
      </c>
      <c r="AF19" s="478">
        <v>4494622</v>
      </c>
      <c r="AG19" s="479">
        <v>0.29706688697951089</v>
      </c>
      <c r="AH19" s="871">
        <v>3</v>
      </c>
      <c r="AI19" s="881"/>
      <c r="AJ19" s="884"/>
      <c r="AK19" s="371"/>
      <c r="AL19" s="370"/>
    </row>
    <row r="20" spans="1:38" ht="70" customHeight="1">
      <c r="A20" s="936"/>
      <c r="B20" s="631">
        <v>6</v>
      </c>
      <c r="C20" s="648" t="s">
        <v>8</v>
      </c>
      <c r="D20" s="648" t="s">
        <v>53</v>
      </c>
      <c r="E20" s="672">
        <v>20</v>
      </c>
      <c r="F20" s="634">
        <v>62</v>
      </c>
      <c r="G20" s="673">
        <v>1</v>
      </c>
      <c r="H20" s="674">
        <v>11494</v>
      </c>
      <c r="I20" s="675">
        <v>1.8538709677419354E-2</v>
      </c>
      <c r="J20" s="676">
        <v>14</v>
      </c>
      <c r="K20" s="677">
        <v>359544</v>
      </c>
      <c r="L20" s="678">
        <v>0.57990967741935484</v>
      </c>
      <c r="M20" s="679">
        <v>946027</v>
      </c>
      <c r="N20" s="680">
        <v>0.38005680598968106</v>
      </c>
      <c r="O20" s="681">
        <v>0</v>
      </c>
      <c r="P20" s="682" t="e">
        <v>#DIV/0!</v>
      </c>
      <c r="Q20" s="683">
        <v>6</v>
      </c>
      <c r="R20" s="684">
        <v>0.3</v>
      </c>
      <c r="S20" s="683">
        <v>5</v>
      </c>
      <c r="T20" s="646">
        <v>0.25</v>
      </c>
      <c r="U20" s="683">
        <v>3</v>
      </c>
      <c r="V20" s="646">
        <v>0.15</v>
      </c>
      <c r="W20" s="796">
        <v>0</v>
      </c>
      <c r="X20" s="797" t="s">
        <v>932</v>
      </c>
      <c r="Y20" s="796">
        <v>0</v>
      </c>
      <c r="Z20" s="797" t="s">
        <v>932</v>
      </c>
      <c r="AA20" s="798">
        <v>209</v>
      </c>
      <c r="AB20" s="799">
        <v>359544</v>
      </c>
      <c r="AC20" s="800">
        <v>0.17203062200956937</v>
      </c>
      <c r="AD20" s="795">
        <v>6</v>
      </c>
      <c r="AE20" s="862">
        <v>780</v>
      </c>
      <c r="AF20" s="478">
        <v>1922543</v>
      </c>
      <c r="AG20" s="479">
        <v>0.2464798717948718</v>
      </c>
      <c r="AH20" s="871">
        <v>4</v>
      </c>
      <c r="AI20" s="878">
        <v>0</v>
      </c>
      <c r="AJ20" s="883">
        <v>0</v>
      </c>
      <c r="AK20" s="371"/>
      <c r="AL20" s="370"/>
    </row>
    <row r="21" spans="1:38" ht="70" customHeight="1">
      <c r="A21" s="936"/>
      <c r="B21" s="631">
        <v>7</v>
      </c>
      <c r="C21" s="648" t="s">
        <v>268</v>
      </c>
      <c r="D21" s="648" t="s">
        <v>81</v>
      </c>
      <c r="E21" s="672">
        <v>20</v>
      </c>
      <c r="F21" s="634">
        <v>69</v>
      </c>
      <c r="G21" s="673">
        <v>2</v>
      </c>
      <c r="H21" s="674">
        <v>17476</v>
      </c>
      <c r="I21" s="675">
        <v>2.5327536231884058E-2</v>
      </c>
      <c r="J21" s="676">
        <v>38</v>
      </c>
      <c r="K21" s="677">
        <v>350536</v>
      </c>
      <c r="L21" s="678">
        <v>0.50802318840579708</v>
      </c>
      <c r="M21" s="679">
        <v>374446</v>
      </c>
      <c r="N21" s="680">
        <v>0.93614566586370263</v>
      </c>
      <c r="O21" s="681">
        <v>0</v>
      </c>
      <c r="P21" s="682" t="e">
        <v>#DIV/0!</v>
      </c>
      <c r="Q21" s="683">
        <v>9</v>
      </c>
      <c r="R21" s="684">
        <v>0.45</v>
      </c>
      <c r="S21" s="683">
        <v>7</v>
      </c>
      <c r="T21" s="646">
        <v>0.35</v>
      </c>
      <c r="U21" s="683">
        <v>5</v>
      </c>
      <c r="V21" s="687">
        <v>0.25</v>
      </c>
      <c r="W21" s="796"/>
      <c r="X21" s="797"/>
      <c r="Y21" s="796"/>
      <c r="Z21" s="797"/>
      <c r="AA21" s="798"/>
      <c r="AB21" s="799"/>
      <c r="AC21" s="800"/>
      <c r="AD21" s="795"/>
      <c r="AE21" s="862">
        <v>860</v>
      </c>
      <c r="AF21" s="478">
        <v>2008144</v>
      </c>
      <c r="AG21" s="479">
        <v>0.23350511627906978</v>
      </c>
      <c r="AH21" s="871">
        <v>5</v>
      </c>
      <c r="AI21" s="878">
        <v>0</v>
      </c>
      <c r="AJ21" s="883">
        <v>0</v>
      </c>
      <c r="AK21" s="371"/>
      <c r="AL21" s="370"/>
    </row>
    <row r="22" spans="1:38" ht="70" customHeight="1">
      <c r="A22" s="936"/>
      <c r="B22" s="631">
        <v>8</v>
      </c>
      <c r="C22" s="648" t="s">
        <v>462</v>
      </c>
      <c r="D22" s="648" t="s">
        <v>425</v>
      </c>
      <c r="E22" s="672">
        <v>33</v>
      </c>
      <c r="F22" s="634">
        <v>110</v>
      </c>
      <c r="G22" s="673">
        <v>0</v>
      </c>
      <c r="H22" s="674">
        <v>0</v>
      </c>
      <c r="I22" s="675">
        <v>0</v>
      </c>
      <c r="J22" s="676">
        <v>37</v>
      </c>
      <c r="K22" s="677">
        <v>443022</v>
      </c>
      <c r="L22" s="678">
        <v>0.40274727272727273</v>
      </c>
      <c r="M22" s="679">
        <v>932202</v>
      </c>
      <c r="N22" s="680">
        <v>0.4752424903615311</v>
      </c>
      <c r="O22" s="681">
        <v>0</v>
      </c>
      <c r="P22" s="682" t="e">
        <v>#DIV/0!</v>
      </c>
      <c r="Q22" s="683">
        <v>21</v>
      </c>
      <c r="R22" s="684">
        <v>0.63636363636363635</v>
      </c>
      <c r="S22" s="683">
        <v>10</v>
      </c>
      <c r="T22" s="646">
        <v>0.30303030303030304</v>
      </c>
      <c r="U22" s="683">
        <v>6</v>
      </c>
      <c r="V22" s="687">
        <v>0.18181818181818182</v>
      </c>
      <c r="W22" s="796"/>
      <c r="X22" s="797"/>
      <c r="Y22" s="796"/>
      <c r="Z22" s="797"/>
      <c r="AA22" s="798"/>
      <c r="AB22" s="799"/>
      <c r="AC22" s="800"/>
      <c r="AD22" s="795"/>
      <c r="AE22" s="862">
        <v>1370</v>
      </c>
      <c r="AF22" s="478">
        <v>2561449</v>
      </c>
      <c r="AG22" s="479">
        <v>0.18696708029197082</v>
      </c>
      <c r="AH22" s="871">
        <v>9</v>
      </c>
      <c r="AI22" s="878">
        <v>0</v>
      </c>
      <c r="AJ22" s="883">
        <v>1</v>
      </c>
      <c r="AK22" s="371"/>
      <c r="AL22" s="370"/>
    </row>
    <row r="23" spans="1:38" ht="70" customHeight="1">
      <c r="A23" s="936"/>
      <c r="B23" s="657">
        <v>9</v>
      </c>
      <c r="C23" s="632" t="s">
        <v>586</v>
      </c>
      <c r="D23" s="688" t="s">
        <v>860</v>
      </c>
      <c r="E23" s="672">
        <v>36</v>
      </c>
      <c r="F23" s="634">
        <v>133</v>
      </c>
      <c r="G23" s="673">
        <v>1</v>
      </c>
      <c r="H23" s="674">
        <v>25786</v>
      </c>
      <c r="I23" s="675">
        <v>1.938796992481203E-2</v>
      </c>
      <c r="J23" s="676">
        <v>48</v>
      </c>
      <c r="K23" s="677">
        <v>523485</v>
      </c>
      <c r="L23" s="678">
        <v>0.39359774436090228</v>
      </c>
      <c r="M23" s="679">
        <v>1064780</v>
      </c>
      <c r="N23" s="680">
        <v>0.49163677003700296</v>
      </c>
      <c r="O23" s="681">
        <v>0</v>
      </c>
      <c r="P23" s="682" t="e">
        <v>#DIV/0!</v>
      </c>
      <c r="Q23" s="683">
        <v>26</v>
      </c>
      <c r="R23" s="684">
        <v>0.72222222222222221</v>
      </c>
      <c r="S23" s="683">
        <v>14</v>
      </c>
      <c r="T23" s="646">
        <v>0.3888888888888889</v>
      </c>
      <c r="U23" s="683">
        <v>7</v>
      </c>
      <c r="V23" s="646">
        <v>0.19444444444444445</v>
      </c>
      <c r="W23" s="796">
        <v>0</v>
      </c>
      <c r="X23" s="797" t="s">
        <v>932</v>
      </c>
      <c r="Y23" s="796">
        <v>0</v>
      </c>
      <c r="Z23" s="797" t="s">
        <v>932</v>
      </c>
      <c r="AA23" s="798">
        <v>443</v>
      </c>
      <c r="AB23" s="799">
        <v>523485</v>
      </c>
      <c r="AC23" s="800">
        <v>0.11816817155756208</v>
      </c>
      <c r="AD23" s="795">
        <v>7</v>
      </c>
      <c r="AE23" s="862">
        <v>1663</v>
      </c>
      <c r="AF23" s="478">
        <v>3112850</v>
      </c>
      <c r="AG23" s="479">
        <v>0.18718280216476249</v>
      </c>
      <c r="AH23" s="871">
        <v>8</v>
      </c>
      <c r="AI23" s="878">
        <v>0</v>
      </c>
      <c r="AJ23" s="883">
        <v>2</v>
      </c>
      <c r="AK23" s="371"/>
      <c r="AL23" s="370"/>
    </row>
    <row r="24" spans="1:38" ht="70" customHeight="1" thickBot="1">
      <c r="A24" s="403"/>
      <c r="B24" s="689" t="s">
        <v>628</v>
      </c>
      <c r="C24" s="689" t="s">
        <v>376</v>
      </c>
      <c r="D24" s="690" t="s">
        <v>616</v>
      </c>
      <c r="E24" s="691">
        <v>592</v>
      </c>
      <c r="F24" s="692">
        <v>2227</v>
      </c>
      <c r="G24" s="693">
        <v>30</v>
      </c>
      <c r="H24" s="694">
        <v>507381</v>
      </c>
      <c r="I24" s="695">
        <v>2.2783161203412661E-2</v>
      </c>
      <c r="J24" s="696">
        <v>826.5</v>
      </c>
      <c r="K24" s="697">
        <v>13648332</v>
      </c>
      <c r="L24" s="698">
        <v>0.61285729681185452</v>
      </c>
      <c r="M24" s="699">
        <v>18190531</v>
      </c>
      <c r="N24" s="700">
        <v>0.75029871310518648</v>
      </c>
      <c r="O24" s="701">
        <v>0</v>
      </c>
      <c r="P24" s="702" t="e">
        <v>#DIV/0!</v>
      </c>
      <c r="Q24" s="703">
        <v>330</v>
      </c>
      <c r="R24" s="704">
        <v>0.55743243243243246</v>
      </c>
      <c r="S24" s="703">
        <v>215</v>
      </c>
      <c r="T24" s="704">
        <v>0.36317567567567566</v>
      </c>
      <c r="U24" s="703">
        <v>150</v>
      </c>
      <c r="V24" s="704">
        <v>0.2533783783783784</v>
      </c>
      <c r="W24" s="814">
        <v>0</v>
      </c>
      <c r="X24" s="815" t="s">
        <v>932</v>
      </c>
      <c r="Y24" s="814">
        <v>0</v>
      </c>
      <c r="Z24" s="815" t="s">
        <v>932</v>
      </c>
      <c r="AA24" s="816">
        <v>7378</v>
      </c>
      <c r="AB24" s="817">
        <v>13648332</v>
      </c>
      <c r="AC24" s="818">
        <v>0.18498687991325563</v>
      </c>
      <c r="AD24" s="819"/>
      <c r="AE24" s="865">
        <v>27838</v>
      </c>
      <c r="AF24" s="860">
        <v>73551179</v>
      </c>
      <c r="AG24" s="404">
        <v>0.26421143401106401</v>
      </c>
      <c r="AH24" s="875"/>
      <c r="AI24" s="882">
        <v>3</v>
      </c>
      <c r="AJ24" s="887">
        <v>15</v>
      </c>
      <c r="AK24" s="371"/>
      <c r="AL24" s="370"/>
    </row>
    <row r="25" spans="1:38" ht="9" customHeight="1" thickTop="1">
      <c r="A25" s="372"/>
      <c r="B25" s="580"/>
      <c r="C25" s="581"/>
      <c r="D25" s="581"/>
      <c r="E25" s="581"/>
      <c r="F25" s="581"/>
      <c r="G25" s="580"/>
      <c r="H25" s="581"/>
      <c r="I25" s="581"/>
      <c r="J25" s="581"/>
      <c r="K25" s="581"/>
      <c r="L25" s="582"/>
      <c r="M25" s="583"/>
      <c r="N25" s="582"/>
      <c r="O25" s="583"/>
      <c r="P25" s="582"/>
      <c r="Q25" s="584"/>
      <c r="R25" s="584"/>
      <c r="S25" s="584"/>
      <c r="T25" s="584"/>
      <c r="U25" s="374"/>
      <c r="V25" s="374"/>
      <c r="W25" s="450"/>
      <c r="X25" s="453"/>
      <c r="Y25" s="451"/>
      <c r="Z25" s="454"/>
      <c r="AA25" s="375"/>
      <c r="AB25" s="373"/>
      <c r="AC25" s="375"/>
      <c r="AD25" s="375"/>
      <c r="AE25" s="375"/>
      <c r="AF25" s="373"/>
      <c r="AG25" s="375"/>
      <c r="AH25" s="375"/>
      <c r="AI25" s="375"/>
      <c r="AJ25" s="375"/>
    </row>
    <row r="26" spans="1:38" s="381" customFormat="1" ht="79.75" customHeight="1" thickBot="1">
      <c r="A26" s="400"/>
      <c r="B26" s="602" t="s">
        <v>629</v>
      </c>
      <c r="C26" s="585" t="s">
        <v>537</v>
      </c>
      <c r="D26" s="586"/>
      <c r="E26" s="587">
        <v>17275</v>
      </c>
      <c r="F26" s="588">
        <v>65644</v>
      </c>
      <c r="G26" s="619">
        <v>873</v>
      </c>
      <c r="H26" s="589">
        <v>12499348</v>
      </c>
      <c r="I26" s="590">
        <v>1.9041112668332215E-2</v>
      </c>
      <c r="J26" s="591">
        <v>26258</v>
      </c>
      <c r="K26" s="592">
        <v>430847552</v>
      </c>
      <c r="L26" s="593">
        <v>0.65629999999999999</v>
      </c>
      <c r="M26" s="594">
        <v>510301120</v>
      </c>
      <c r="N26" s="595">
        <v>0.84430061999471995</v>
      </c>
      <c r="O26" s="596">
        <v>0</v>
      </c>
      <c r="P26" s="597" t="e">
        <v>#DIV/0!</v>
      </c>
      <c r="Q26" s="598">
        <v>10446</v>
      </c>
      <c r="R26" s="599">
        <v>0.60470000000000002</v>
      </c>
      <c r="S26" s="600"/>
      <c r="T26" s="601"/>
      <c r="U26" s="377"/>
      <c r="V26" s="820"/>
      <c r="W26" s="821">
        <v>0</v>
      </c>
      <c r="X26" s="822" t="s">
        <v>932</v>
      </c>
      <c r="Y26" s="821">
        <v>0</v>
      </c>
      <c r="Z26" s="822" t="s">
        <v>932</v>
      </c>
      <c r="AA26" s="823">
        <v>217444</v>
      </c>
      <c r="AB26" s="824">
        <v>430847552</v>
      </c>
      <c r="AC26" s="825">
        <v>0.19814184433693272</v>
      </c>
      <c r="AD26" s="826"/>
      <c r="AE26" s="827">
        <v>820544</v>
      </c>
      <c r="AF26" s="378">
        <v>2167473303</v>
      </c>
      <c r="AG26" s="379">
        <v>0.26415077107382418</v>
      </c>
      <c r="AH26" s="380"/>
      <c r="AI26" s="870"/>
      <c r="AJ26" s="870"/>
      <c r="AL26" s="382"/>
    </row>
    <row r="27" spans="1:38" ht="49.25" customHeight="1" thickTop="1">
      <c r="C27" s="495" t="s">
        <v>857</v>
      </c>
      <c r="E27" s="470">
        <v>87</v>
      </c>
      <c r="F27" s="469">
        <v>444</v>
      </c>
      <c r="G27" s="498">
        <v>6</v>
      </c>
      <c r="H27" s="471">
        <v>182009</v>
      </c>
      <c r="I27" s="499">
        <v>4.0993018018018017E-2</v>
      </c>
      <c r="J27" s="497">
        <v>171</v>
      </c>
      <c r="K27" s="472">
        <v>3257563</v>
      </c>
      <c r="L27" s="496">
        <v>0.73368536036036036</v>
      </c>
      <c r="M27" s="500">
        <v>0</v>
      </c>
      <c r="N27" s="521" t="s">
        <v>932</v>
      </c>
      <c r="O27" s="522">
        <v>0</v>
      </c>
      <c r="P27" s="523" t="e">
        <v>#DIV/0!</v>
      </c>
      <c r="Q27" s="475">
        <v>57</v>
      </c>
      <c r="R27" s="476">
        <v>0.65517241379310343</v>
      </c>
      <c r="S27" s="475">
        <v>40</v>
      </c>
      <c r="T27" s="473">
        <v>0.45977011494252873</v>
      </c>
      <c r="U27" s="475">
        <v>32</v>
      </c>
      <c r="V27" s="474">
        <v>0.36781609195402298</v>
      </c>
      <c r="W27" s="448">
        <v>0</v>
      </c>
      <c r="X27" s="452" t="s">
        <v>932</v>
      </c>
      <c r="Y27" s="449">
        <v>0</v>
      </c>
      <c r="Z27" s="452" t="s">
        <v>932</v>
      </c>
      <c r="AA27" s="501">
        <v>1475</v>
      </c>
      <c r="AB27" s="478">
        <v>3257563</v>
      </c>
      <c r="AC27" s="479">
        <v>0.22085172881355933</v>
      </c>
      <c r="AD27" s="477"/>
    </row>
    <row r="28" spans="1:38" ht="57" customHeight="1">
      <c r="G28" s="480" t="s">
        <v>862</v>
      </c>
      <c r="L28" s="366"/>
      <c r="M28" s="365"/>
      <c r="N28" s="366"/>
      <c r="O28" s="365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E28" s="366"/>
      <c r="AF28" s="366"/>
      <c r="AG28" s="366"/>
    </row>
    <row r="29" spans="1:38" s="361" customFormat="1" ht="30" customHeight="1">
      <c r="C29" s="360"/>
      <c r="D29" s="360"/>
      <c r="E29" s="831"/>
      <c r="F29" s="831"/>
      <c r="H29" s="360"/>
      <c r="I29" s="360"/>
      <c r="J29" s="360"/>
      <c r="K29" s="360"/>
      <c r="L29" s="360"/>
      <c r="M29" s="504"/>
      <c r="N29" s="505"/>
      <c r="O29" s="359"/>
      <c r="P29" s="360"/>
      <c r="Q29" s="360"/>
      <c r="R29" s="360"/>
      <c r="S29" s="360"/>
      <c r="T29" s="360"/>
      <c r="U29" s="360"/>
      <c r="V29" s="360"/>
      <c r="W29" s="360"/>
      <c r="X29" s="360"/>
      <c r="Y29" s="360"/>
      <c r="Z29" s="360"/>
      <c r="AA29" s="360"/>
      <c r="AB29" s="502"/>
      <c r="AC29" s="360"/>
      <c r="AD29" s="360"/>
      <c r="AE29" s="360"/>
      <c r="AF29" s="502"/>
      <c r="AG29" s="360"/>
      <c r="AH29" s="360"/>
      <c r="AI29" s="360"/>
      <c r="AJ29" s="360"/>
      <c r="AK29" s="357"/>
      <c r="AL29" s="503"/>
    </row>
    <row r="30" spans="1:38" ht="43">
      <c r="C30" s="836"/>
      <c r="D30" s="837"/>
      <c r="E30" s="760"/>
      <c r="F30" s="760"/>
      <c r="G30" s="764"/>
      <c r="I30" s="768"/>
      <c r="J30" s="764"/>
      <c r="K30" s="764"/>
      <c r="L30" s="769"/>
      <c r="M30" s="770"/>
      <c r="W30" s="367"/>
      <c r="X30" s="367"/>
    </row>
    <row r="31" spans="1:38" ht="43">
      <c r="C31" s="836"/>
      <c r="D31" s="837"/>
      <c r="E31" s="760"/>
      <c r="F31" s="760"/>
      <c r="G31" s="760"/>
      <c r="I31" s="766"/>
      <c r="J31" s="760"/>
      <c r="K31" s="761"/>
      <c r="L31" s="771"/>
      <c r="M31" s="772"/>
      <c r="W31" s="367"/>
      <c r="X31" s="367"/>
    </row>
    <row r="32" spans="1:38" ht="43">
      <c r="C32" s="760"/>
      <c r="D32" s="761"/>
      <c r="E32" s="760"/>
      <c r="F32" s="760"/>
      <c r="G32" s="760"/>
      <c r="I32" s="766"/>
      <c r="J32" s="760"/>
      <c r="K32" s="761"/>
      <c r="L32" s="771"/>
      <c r="M32" s="772"/>
      <c r="N32" s="767"/>
    </row>
    <row r="33" spans="3:14" ht="43">
      <c r="C33" s="760"/>
      <c r="D33" s="761"/>
      <c r="E33" s="760"/>
      <c r="F33" s="760"/>
      <c r="G33" s="760"/>
      <c r="I33" s="765"/>
      <c r="J33" s="765"/>
      <c r="K33" s="765"/>
      <c r="N33" s="767"/>
    </row>
    <row r="34" spans="3:14" ht="52">
      <c r="C34" s="762"/>
      <c r="D34" s="763"/>
      <c r="E34" s="760"/>
      <c r="F34" s="760"/>
      <c r="G34" s="764"/>
    </row>
    <row r="35" spans="3:14" ht="43">
      <c r="C35" s="836"/>
      <c r="D35" s="837"/>
      <c r="E35" s="760"/>
      <c r="F35" s="760"/>
      <c r="G35" s="760"/>
    </row>
    <row r="36" spans="3:14" ht="43">
      <c r="C36" s="836"/>
      <c r="D36" s="837"/>
      <c r="E36" s="760"/>
      <c r="F36" s="760"/>
      <c r="G36" s="760"/>
    </row>
    <row r="37" spans="3:14" ht="43">
      <c r="C37" s="839"/>
      <c r="D37" s="840"/>
      <c r="E37" s="760"/>
      <c r="F37" s="760"/>
      <c r="G37" s="760"/>
    </row>
    <row r="38" spans="3:14" ht="43">
      <c r="C38" s="839"/>
      <c r="D38" s="840"/>
      <c r="E38" s="760"/>
      <c r="F38" s="760"/>
      <c r="G38" s="760"/>
    </row>
    <row r="39" spans="3:14" ht="52">
      <c r="C39" s="762"/>
      <c r="D39" s="763"/>
      <c r="E39" s="760"/>
      <c r="F39" s="760"/>
      <c r="G39" s="764"/>
    </row>
    <row r="40" spans="3:14" ht="43">
      <c r="C40" s="836"/>
      <c r="D40" s="837"/>
      <c r="E40" s="760"/>
      <c r="F40" s="760"/>
      <c r="G40" s="760"/>
    </row>
    <row r="41" spans="3:14" ht="43">
      <c r="C41" s="839"/>
      <c r="D41" s="840"/>
      <c r="E41" s="760"/>
      <c r="F41" s="760"/>
      <c r="G41" s="760"/>
    </row>
    <row r="42" spans="3:14" ht="43">
      <c r="C42" s="760"/>
      <c r="D42" s="761"/>
      <c r="E42" s="760"/>
      <c r="F42" s="760"/>
      <c r="G42" s="760"/>
    </row>
    <row r="43" spans="3:14" ht="43">
      <c r="C43" s="760"/>
      <c r="D43" s="761"/>
      <c r="E43" s="760"/>
      <c r="F43" s="760"/>
      <c r="G43" s="760"/>
    </row>
    <row r="44" spans="3:14" ht="52">
      <c r="C44" s="762"/>
      <c r="D44" s="763"/>
      <c r="E44" s="760"/>
      <c r="F44" s="760"/>
      <c r="G44" s="764"/>
    </row>
    <row r="45" spans="3:14" ht="43">
      <c r="C45" s="836"/>
      <c r="D45" s="837"/>
      <c r="E45" s="760"/>
      <c r="F45" s="760"/>
      <c r="G45" s="760"/>
    </row>
    <row r="46" spans="3:14" ht="43">
      <c r="C46" s="836"/>
      <c r="D46" s="837"/>
      <c r="E46" s="760"/>
      <c r="F46" s="760"/>
      <c r="G46" s="760"/>
    </row>
    <row r="47" spans="3:14" ht="52">
      <c r="C47" s="762"/>
      <c r="D47" s="763"/>
      <c r="E47" s="760"/>
      <c r="F47" s="760"/>
      <c r="G47" s="760"/>
    </row>
    <row r="48" spans="3:14" ht="43">
      <c r="D48" s="760"/>
      <c r="E48" s="760"/>
      <c r="F48" s="760"/>
      <c r="G48" s="760"/>
    </row>
    <row r="49" spans="4:7" ht="43">
      <c r="D49" s="760"/>
      <c r="E49" s="760"/>
      <c r="F49" s="760"/>
      <c r="G49" s="760"/>
    </row>
    <row r="50" spans="4:7" ht="52">
      <c r="D50" s="763"/>
      <c r="E50" s="760"/>
      <c r="F50" s="838"/>
      <c r="G50" s="760"/>
    </row>
    <row r="51" spans="4:7" ht="43">
      <c r="D51" s="760"/>
      <c r="E51" s="760"/>
      <c r="F51" s="760"/>
      <c r="G51" s="760"/>
    </row>
    <row r="52" spans="4:7" ht="43">
      <c r="D52" s="760"/>
      <c r="E52" s="760"/>
      <c r="F52" s="760"/>
      <c r="G52" s="760"/>
    </row>
    <row r="53" spans="4:7" ht="43">
      <c r="D53" s="760"/>
      <c r="E53" s="760"/>
      <c r="F53" s="760"/>
      <c r="G53" s="760"/>
    </row>
    <row r="54" spans="4:7" ht="43">
      <c r="D54" s="760"/>
      <c r="E54" s="760"/>
      <c r="F54" s="760"/>
      <c r="G54" s="760"/>
    </row>
    <row r="55" spans="4:7" ht="43">
      <c r="D55" s="760"/>
      <c r="E55" s="760"/>
      <c r="F55" s="760"/>
      <c r="G55" s="760"/>
    </row>
    <row r="56" spans="4:7" ht="43">
      <c r="D56" s="760"/>
      <c r="E56" s="760"/>
      <c r="F56" s="760"/>
      <c r="G56" s="760"/>
    </row>
    <row r="57" spans="4:7" ht="43">
      <c r="D57" s="760"/>
      <c r="E57" s="760"/>
      <c r="F57" s="760"/>
      <c r="G57" s="760"/>
    </row>
    <row r="58" spans="4:7" ht="43">
      <c r="D58" s="760"/>
      <c r="E58" s="760"/>
      <c r="F58" s="760"/>
      <c r="G58" s="760"/>
    </row>
    <row r="59" spans="4:7" ht="43">
      <c r="D59" s="760"/>
      <c r="E59" s="760"/>
      <c r="F59" s="760"/>
      <c r="G59" s="760"/>
    </row>
    <row r="60" spans="4:7" ht="43">
      <c r="D60" s="760"/>
      <c r="E60" s="760"/>
      <c r="F60" s="760"/>
      <c r="G60" s="760"/>
    </row>
    <row r="61" spans="4:7" ht="43">
      <c r="D61" s="760"/>
      <c r="E61" s="760"/>
      <c r="F61" s="760"/>
      <c r="G61" s="760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1" type="noConversion"/>
  <conditionalFormatting sqref="L24 L7:L13 L15:L22">
    <cfRule type="cellIs" dxfId="506" priority="34" stopIfTrue="1" operator="greaterThanOrEqual">
      <formula>1</formula>
    </cfRule>
  </conditionalFormatting>
  <conditionalFormatting sqref="AG24 AG7:AG13 AG15:AG22">
    <cfRule type="cellIs" dxfId="505" priority="33" stopIfTrue="1" operator="greaterThanOrEqual">
      <formula>1</formula>
    </cfRule>
  </conditionalFormatting>
  <conditionalFormatting sqref="AH24">
    <cfRule type="cellIs" dxfId="504" priority="32" stopIfTrue="1" operator="greaterThanOrEqual">
      <formula>1</formula>
    </cfRule>
  </conditionalFormatting>
  <conditionalFormatting sqref="AG7:AG13 AG15:AG22 L24 AG24 AC24 L7:L13 L15:L22">
    <cfRule type="cellIs" dxfId="503" priority="31" stopIfTrue="1" operator="greaterThan">
      <formula>1</formula>
    </cfRule>
  </conditionalFormatting>
  <conditionalFormatting sqref="L24 L7:L13 L15:L22">
    <cfRule type="cellIs" dxfId="502" priority="30" stopIfTrue="1" operator="greaterThan">
      <formula>1</formula>
    </cfRule>
  </conditionalFormatting>
  <conditionalFormatting sqref="AH7:AH13 AH15:AH23 B7:B23">
    <cfRule type="cellIs" dxfId="501" priority="29" operator="lessThan">
      <formula>3</formula>
    </cfRule>
  </conditionalFormatting>
  <conditionalFormatting sqref="L23">
    <cfRule type="cellIs" dxfId="500" priority="28" stopIfTrue="1" operator="greaterThanOrEqual">
      <formula>1</formula>
    </cfRule>
  </conditionalFormatting>
  <conditionalFormatting sqref="AG23">
    <cfRule type="cellIs" dxfId="499" priority="27" stopIfTrue="1" operator="greaterThanOrEqual">
      <formula>1</formula>
    </cfRule>
  </conditionalFormatting>
  <conditionalFormatting sqref="AG23 L23">
    <cfRule type="cellIs" dxfId="498" priority="26" stopIfTrue="1" operator="greaterThan">
      <formula>1</formula>
    </cfRule>
  </conditionalFormatting>
  <conditionalFormatting sqref="L23">
    <cfRule type="cellIs" dxfId="497" priority="25" stopIfTrue="1" operator="greaterThan">
      <formula>1</formula>
    </cfRule>
  </conditionalFormatting>
  <conditionalFormatting sqref="L14">
    <cfRule type="cellIs" dxfId="496" priority="24" stopIfTrue="1" operator="greaterThanOrEqual">
      <formula>1</formula>
    </cfRule>
  </conditionalFormatting>
  <conditionalFormatting sqref="AG14">
    <cfRule type="cellIs" dxfId="495" priority="23" stopIfTrue="1" operator="greaterThanOrEqual">
      <formula>1</formula>
    </cfRule>
  </conditionalFormatting>
  <conditionalFormatting sqref="AG14 L14">
    <cfRule type="cellIs" dxfId="494" priority="22" stopIfTrue="1" operator="greaterThan">
      <formula>1</formula>
    </cfRule>
  </conditionalFormatting>
  <conditionalFormatting sqref="L14">
    <cfRule type="cellIs" dxfId="493" priority="21" stopIfTrue="1" operator="greaterThan">
      <formula>1</formula>
    </cfRule>
  </conditionalFormatting>
  <conditionalFormatting sqref="AH14">
    <cfRule type="cellIs" dxfId="492" priority="20" operator="lessThan">
      <formula>3</formula>
    </cfRule>
  </conditionalFormatting>
  <conditionalFormatting sqref="AC24 AC7:AC13 AC15:AC22">
    <cfRule type="cellIs" dxfId="491" priority="19" stopIfTrue="1" operator="greaterThanOrEqual">
      <formula>1</formula>
    </cfRule>
  </conditionalFormatting>
  <conditionalFormatting sqref="AD24">
    <cfRule type="cellIs" dxfId="490" priority="18" stopIfTrue="1" operator="greaterThanOrEqual">
      <formula>1</formula>
    </cfRule>
  </conditionalFormatting>
  <conditionalFormatting sqref="AC7:AC13 AC15:AC22">
    <cfRule type="cellIs" dxfId="489" priority="17" stopIfTrue="1" operator="greaterThan">
      <formula>1</formula>
    </cfRule>
  </conditionalFormatting>
  <conditionalFormatting sqref="AD7:AD13 AD15:AD23">
    <cfRule type="cellIs" dxfId="488" priority="16" operator="lessThan">
      <formula>3</formula>
    </cfRule>
  </conditionalFormatting>
  <conditionalFormatting sqref="AC23">
    <cfRule type="cellIs" dxfId="487" priority="15" stopIfTrue="1" operator="greaterThanOrEqual">
      <formula>1</formula>
    </cfRule>
  </conditionalFormatting>
  <conditionalFormatting sqref="AC23">
    <cfRule type="cellIs" dxfId="486" priority="14" stopIfTrue="1" operator="greaterThan">
      <formula>1</formula>
    </cfRule>
  </conditionalFormatting>
  <conditionalFormatting sqref="AC14">
    <cfRule type="cellIs" dxfId="485" priority="13" stopIfTrue="1" operator="greaterThanOrEqual">
      <formula>1</formula>
    </cfRule>
  </conditionalFormatting>
  <conditionalFormatting sqref="AC14">
    <cfRule type="cellIs" dxfId="484" priority="12" stopIfTrue="1" operator="greaterThan">
      <formula>1</formula>
    </cfRule>
  </conditionalFormatting>
  <conditionalFormatting sqref="AD14">
    <cfRule type="cellIs" dxfId="483" priority="11" operator="lessThan">
      <formula>3</formula>
    </cfRule>
  </conditionalFormatting>
  <conditionalFormatting sqref="L27">
    <cfRule type="cellIs" dxfId="482" priority="10" stopIfTrue="1" operator="greaterThanOrEqual">
      <formula>1</formula>
    </cfRule>
  </conditionalFormatting>
  <conditionalFormatting sqref="L27">
    <cfRule type="cellIs" dxfId="481" priority="9" stopIfTrue="1" operator="greaterThan">
      <formula>1</formula>
    </cfRule>
  </conditionalFormatting>
  <conditionalFormatting sqref="L27">
    <cfRule type="cellIs" dxfId="480" priority="8" stopIfTrue="1" operator="greaterThan">
      <formula>1</formula>
    </cfRule>
  </conditionalFormatting>
  <conditionalFormatting sqref="AD27">
    <cfRule type="cellIs" dxfId="479" priority="7" operator="lessThan">
      <formula>3</formula>
    </cfRule>
  </conditionalFormatting>
  <conditionalFormatting sqref="AC27">
    <cfRule type="cellIs" dxfId="478" priority="6" stopIfTrue="1" operator="greaterThanOrEqual">
      <formula>1</formula>
    </cfRule>
  </conditionalFormatting>
  <conditionalFormatting sqref="AC27">
    <cfRule type="cellIs" dxfId="477" priority="5" stopIfTrue="1" operator="greaterThan">
      <formula>1</formula>
    </cfRule>
  </conditionalFormatting>
  <conditionalFormatting sqref="C7:C23">
    <cfRule type="cellIs" dxfId="476" priority="2" operator="equal">
      <formula>"竹佑二分處"</formula>
    </cfRule>
    <cfRule type="cellIs" dxfId="475" priority="3" operator="equal">
      <formula>"竹佑一分處"</formula>
    </cfRule>
    <cfRule type="cellIs" dxfId="474" priority="4" operator="equal">
      <formula>"竹佑本部"</formula>
    </cfRule>
  </conditionalFormatting>
  <conditionalFormatting sqref="AI7:AJ23">
    <cfRule type="cellIs" dxfId="47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S875"/>
  <sheetViews>
    <sheetView view="pageBreakPreview" zoomScaleNormal="100" zoomScaleSheetLayoutView="100" workbookViewId="0">
      <selection activeCell="C6" sqref="C6"/>
    </sheetView>
  </sheetViews>
  <sheetFormatPr baseColWidth="10" defaultColWidth="9.83203125" defaultRowHeight="20" outlineLevelRow="3" outlineLevelCol="1"/>
  <cols>
    <col min="1" max="1" width="9.83203125" style="576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0" width="12.83203125" style="307" customWidth="1"/>
    <col min="11" max="11" width="12.83203125" style="900" hidden="1" customWidth="1" outlineLevel="1"/>
    <col min="12" max="12" width="8.83203125" style="900" hidden="1" customWidth="1" outlineLevel="1"/>
    <col min="13" max="13" width="12.83203125" style="307" customWidth="1" collapsed="1"/>
    <col min="14" max="14" width="3" style="427" customWidth="1"/>
    <col min="15" max="15" width="9.83203125" style="1"/>
    <col min="16" max="16" width="10.33203125" style="1" bestFit="1" customWidth="1"/>
  </cols>
  <sheetData>
    <row r="1" spans="2:19" ht="25">
      <c r="B1" s="961" t="s">
        <v>919</v>
      </c>
      <c r="C1" s="961"/>
      <c r="D1" s="961"/>
      <c r="E1" s="961"/>
      <c r="F1" s="961"/>
      <c r="G1" s="961"/>
      <c r="H1" s="961"/>
      <c r="I1" s="961"/>
      <c r="O1" s="402"/>
      <c r="Q1" s="75"/>
      <c r="R1" s="51"/>
      <c r="S1" s="51"/>
    </row>
    <row r="2" spans="2:19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901"/>
      <c r="L2" s="902" t="s">
        <v>877</v>
      </c>
      <c r="M2" s="897" t="s">
        <v>877</v>
      </c>
      <c r="N2" s="428"/>
      <c r="O2" s="402" t="s">
        <v>898</v>
      </c>
      <c r="P2" s="291"/>
      <c r="Q2" s="51"/>
      <c r="R2" s="51"/>
      <c r="S2" s="51"/>
    </row>
    <row r="3" spans="2:19" ht="19.5" customHeight="1" thickBot="1">
      <c r="B3" s="962"/>
      <c r="C3" s="962"/>
      <c r="D3" s="4"/>
      <c r="E3" s="963" t="s">
        <v>12</v>
      </c>
      <c r="F3" s="964"/>
      <c r="G3" s="965" t="s">
        <v>289</v>
      </c>
      <c r="H3" s="966"/>
      <c r="I3" s="349" t="s">
        <v>505</v>
      </c>
      <c r="J3" s="899" t="s">
        <v>551</v>
      </c>
      <c r="K3" s="903" t="s">
        <v>677</v>
      </c>
      <c r="L3" s="969" t="s">
        <v>876</v>
      </c>
      <c r="M3" s="970"/>
      <c r="N3" s="773"/>
      <c r="O3" s="402"/>
      <c r="P3" s="292"/>
    </row>
    <row r="4" spans="2:19" ht="17" customHeight="1">
      <c r="B4" s="183" t="s">
        <v>5</v>
      </c>
      <c r="C4" s="184" t="s">
        <v>13</v>
      </c>
      <c r="D4" s="185" t="s">
        <v>14</v>
      </c>
      <c r="E4" s="181" t="s">
        <v>15</v>
      </c>
      <c r="F4" s="182" t="s">
        <v>554</v>
      </c>
      <c r="G4" s="181" t="s">
        <v>15</v>
      </c>
      <c r="H4" s="234" t="s">
        <v>554</v>
      </c>
      <c r="I4" s="350" t="s">
        <v>553</v>
      </c>
      <c r="J4" s="405" t="s">
        <v>550</v>
      </c>
      <c r="K4" s="904" t="s">
        <v>684</v>
      </c>
      <c r="L4" s="905" t="s">
        <v>755</v>
      </c>
      <c r="M4" s="351" t="s">
        <v>666</v>
      </c>
      <c r="N4" s="898" t="s">
        <v>731</v>
      </c>
      <c r="O4" s="1" t="s">
        <v>667</v>
      </c>
    </row>
    <row r="5" spans="2:19" ht="18.25" customHeight="1" outlineLevel="2">
      <c r="B5" s="5" t="s">
        <v>8</v>
      </c>
      <c r="C5" s="6" t="s">
        <v>53</v>
      </c>
      <c r="D5" s="7" t="s">
        <v>54</v>
      </c>
      <c r="E5" s="8">
        <v>0</v>
      </c>
      <c r="F5" s="9">
        <v>0</v>
      </c>
      <c r="G5" s="8">
        <v>0</v>
      </c>
      <c r="H5" s="10">
        <v>10000</v>
      </c>
      <c r="I5" s="310">
        <v>0</v>
      </c>
      <c r="J5" s="406">
        <v>0</v>
      </c>
      <c r="K5" s="319">
        <v>0</v>
      </c>
      <c r="L5" s="424"/>
      <c r="M5" s="410">
        <v>0</v>
      </c>
      <c r="N5" s="429"/>
    </row>
    <row r="6" spans="2:19" ht="18.25" customHeight="1" outlineLevel="2">
      <c r="B6" s="5" t="s">
        <v>8</v>
      </c>
      <c r="C6" s="6" t="s">
        <v>238</v>
      </c>
      <c r="D6" s="7" t="s">
        <v>17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6">
        <v>0</v>
      </c>
      <c r="K6" s="319">
        <v>0</v>
      </c>
      <c r="L6" s="424">
        <v>0</v>
      </c>
      <c r="M6" s="410">
        <v>0</v>
      </c>
      <c r="N6" s="429"/>
    </row>
    <row r="7" spans="2:19" ht="18.25" customHeight="1" outlineLevel="2">
      <c r="B7" s="5" t="s">
        <v>8</v>
      </c>
      <c r="C7" s="6" t="s">
        <v>814</v>
      </c>
      <c r="D7" s="7" t="s">
        <v>17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6">
        <v>0</v>
      </c>
      <c r="K7" s="319">
        <v>0</v>
      </c>
      <c r="L7" s="424">
        <v>1</v>
      </c>
      <c r="M7" s="410">
        <v>0</v>
      </c>
      <c r="N7" s="429"/>
    </row>
    <row r="8" spans="2:19" ht="18.25" customHeight="1" outlineLevel="2">
      <c r="B8" s="5" t="s">
        <v>8</v>
      </c>
      <c r="C8" s="6" t="s">
        <v>55</v>
      </c>
      <c r="D8" s="7" t="s">
        <v>17</v>
      </c>
      <c r="E8" s="8">
        <v>0</v>
      </c>
      <c r="F8" s="9">
        <v>0</v>
      </c>
      <c r="G8" s="8">
        <v>0</v>
      </c>
      <c r="H8" s="10">
        <v>0</v>
      </c>
      <c r="I8" s="310">
        <v>0</v>
      </c>
      <c r="J8" s="406">
        <v>0</v>
      </c>
      <c r="K8" s="319">
        <v>0</v>
      </c>
      <c r="L8" s="424">
        <v>0</v>
      </c>
      <c r="M8" s="410">
        <v>0</v>
      </c>
      <c r="N8" s="429"/>
    </row>
    <row r="9" spans="2:19" ht="18.25" customHeight="1" outlineLevel="1">
      <c r="B9" s="12" t="s">
        <v>8</v>
      </c>
      <c r="C9" s="13" t="s">
        <v>56</v>
      </c>
      <c r="D9" s="14">
        <v>4</v>
      </c>
      <c r="E9" s="15">
        <v>0</v>
      </c>
      <c r="F9" s="16">
        <v>0</v>
      </c>
      <c r="G9" s="15">
        <v>0</v>
      </c>
      <c r="H9" s="17">
        <v>10000</v>
      </c>
      <c r="I9" s="311">
        <v>0</v>
      </c>
      <c r="J9" s="312">
        <v>0</v>
      </c>
      <c r="K9" s="906">
        <v>0</v>
      </c>
      <c r="L9" s="907">
        <v>1</v>
      </c>
      <c r="M9" s="411">
        <v>0</v>
      </c>
      <c r="N9" s="430">
        <v>0</v>
      </c>
      <c r="O9" s="1" t="s">
        <v>167</v>
      </c>
    </row>
    <row r="10" spans="2:19" ht="18.25" customHeight="1" outlineLevel="2">
      <c r="B10" s="5" t="s">
        <v>8</v>
      </c>
      <c r="C10" s="6" t="s">
        <v>638</v>
      </c>
      <c r="D10" s="7" t="s">
        <v>25</v>
      </c>
      <c r="E10" s="8">
        <v>0</v>
      </c>
      <c r="F10" s="9">
        <v>0</v>
      </c>
      <c r="G10" s="8">
        <v>6</v>
      </c>
      <c r="H10" s="10">
        <v>53414</v>
      </c>
      <c r="I10" s="310">
        <v>1</v>
      </c>
      <c r="J10" s="406">
        <v>1</v>
      </c>
      <c r="K10" s="319">
        <v>1</v>
      </c>
      <c r="L10" s="424"/>
      <c r="M10" s="410">
        <v>1</v>
      </c>
      <c r="N10" s="429"/>
    </row>
    <row r="11" spans="2:19" ht="18.25" customHeight="1" outlineLevel="2">
      <c r="B11" s="5" t="s">
        <v>8</v>
      </c>
      <c r="C11" s="6" t="s">
        <v>744</v>
      </c>
      <c r="D11" s="7" t="s">
        <v>17</v>
      </c>
      <c r="E11" s="8">
        <v>0</v>
      </c>
      <c r="F11" s="9">
        <v>0</v>
      </c>
      <c r="G11" s="8">
        <v>0</v>
      </c>
      <c r="H11" s="10">
        <v>0</v>
      </c>
      <c r="I11" s="310">
        <v>0</v>
      </c>
      <c r="J11" s="406">
        <v>0</v>
      </c>
      <c r="K11" s="319">
        <v>0</v>
      </c>
      <c r="L11" s="424">
        <v>0</v>
      </c>
      <c r="M11" s="410">
        <v>0</v>
      </c>
      <c r="N11" s="429"/>
    </row>
    <row r="12" spans="2:19" ht="18.25" customHeight="1" outlineLevel="1">
      <c r="B12" s="12" t="s">
        <v>8</v>
      </c>
      <c r="C12" s="13" t="s">
        <v>638</v>
      </c>
      <c r="D12" s="14">
        <v>2</v>
      </c>
      <c r="E12" s="15">
        <v>0</v>
      </c>
      <c r="F12" s="16">
        <v>0</v>
      </c>
      <c r="G12" s="15">
        <v>6</v>
      </c>
      <c r="H12" s="17">
        <v>53414</v>
      </c>
      <c r="I12" s="311">
        <v>1</v>
      </c>
      <c r="J12" s="312">
        <v>1</v>
      </c>
      <c r="K12" s="906">
        <v>1</v>
      </c>
      <c r="L12" s="907">
        <v>0</v>
      </c>
      <c r="M12" s="411">
        <v>1</v>
      </c>
      <c r="N12" s="430">
        <v>1</v>
      </c>
      <c r="O12" s="1" t="s">
        <v>169</v>
      </c>
    </row>
    <row r="13" spans="2:19" ht="18.25" customHeight="1" outlineLevel="2">
      <c r="B13" s="5" t="s">
        <v>8</v>
      </c>
      <c r="C13" s="6" t="s">
        <v>270</v>
      </c>
      <c r="D13" s="7" t="s">
        <v>47</v>
      </c>
      <c r="E13" s="8">
        <v>0.5</v>
      </c>
      <c r="F13" s="9">
        <v>5747</v>
      </c>
      <c r="G13" s="8">
        <v>3.5</v>
      </c>
      <c r="H13" s="10">
        <v>39427</v>
      </c>
      <c r="I13" s="310">
        <v>1</v>
      </c>
      <c r="J13" s="406">
        <v>1</v>
      </c>
      <c r="K13" s="319">
        <v>1</v>
      </c>
      <c r="L13" s="424"/>
      <c r="M13" s="410">
        <v>1</v>
      </c>
      <c r="N13" s="429"/>
    </row>
    <row r="14" spans="2:19" ht="18.25" customHeight="1" outlineLevel="2">
      <c r="B14" s="5" t="s">
        <v>8</v>
      </c>
      <c r="C14" s="6" t="s">
        <v>730</v>
      </c>
      <c r="D14" s="7" t="s">
        <v>17</v>
      </c>
      <c r="E14" s="8">
        <v>0.5</v>
      </c>
      <c r="F14" s="9">
        <v>5747</v>
      </c>
      <c r="G14" s="8">
        <v>0.5</v>
      </c>
      <c r="H14" s="10">
        <v>5747</v>
      </c>
      <c r="I14" s="310">
        <v>1</v>
      </c>
      <c r="J14" s="406">
        <v>0</v>
      </c>
      <c r="K14" s="319">
        <v>0</v>
      </c>
      <c r="L14" s="424">
        <v>0</v>
      </c>
      <c r="M14" s="410">
        <v>0</v>
      </c>
      <c r="N14" s="429"/>
    </row>
    <row r="15" spans="2:19" ht="18.25" customHeight="1" outlineLevel="2">
      <c r="B15" s="5" t="s">
        <v>8</v>
      </c>
      <c r="C15" s="6" t="s">
        <v>298</v>
      </c>
      <c r="D15" s="7" t="s">
        <v>17</v>
      </c>
      <c r="E15" s="8">
        <v>0</v>
      </c>
      <c r="F15" s="9">
        <v>0</v>
      </c>
      <c r="G15" s="8">
        <v>0</v>
      </c>
      <c r="H15" s="10">
        <v>0</v>
      </c>
      <c r="I15" s="310">
        <v>0</v>
      </c>
      <c r="J15" s="406">
        <v>0</v>
      </c>
      <c r="K15" s="319">
        <v>0</v>
      </c>
      <c r="L15" s="424">
        <v>0</v>
      </c>
      <c r="M15" s="410">
        <v>0</v>
      </c>
      <c r="N15" s="429"/>
    </row>
    <row r="16" spans="2:19" ht="18.25" customHeight="1" outlineLevel="1">
      <c r="B16" s="12" t="s">
        <v>8</v>
      </c>
      <c r="C16" s="13" t="s">
        <v>57</v>
      </c>
      <c r="D16" s="14">
        <v>3</v>
      </c>
      <c r="E16" s="15">
        <v>1</v>
      </c>
      <c r="F16" s="16">
        <v>11494</v>
      </c>
      <c r="G16" s="15">
        <v>4</v>
      </c>
      <c r="H16" s="17">
        <v>45174</v>
      </c>
      <c r="I16" s="311">
        <v>2</v>
      </c>
      <c r="J16" s="312">
        <v>1</v>
      </c>
      <c r="K16" s="906">
        <v>1</v>
      </c>
      <c r="L16" s="907">
        <v>0</v>
      </c>
      <c r="M16" s="411">
        <v>1</v>
      </c>
      <c r="N16" s="430">
        <v>0</v>
      </c>
      <c r="O16" s="1" t="s">
        <v>51</v>
      </c>
    </row>
    <row r="17" spans="2:15" ht="18.25" customHeight="1" outlineLevel="2">
      <c r="B17" s="5" t="s">
        <v>8</v>
      </c>
      <c r="C17" s="18" t="s">
        <v>58</v>
      </c>
      <c r="D17" s="7" t="s">
        <v>25</v>
      </c>
      <c r="E17" s="8">
        <v>0</v>
      </c>
      <c r="F17" s="9">
        <v>0</v>
      </c>
      <c r="G17" s="8">
        <v>0.5</v>
      </c>
      <c r="H17" s="10">
        <v>20969</v>
      </c>
      <c r="I17" s="310">
        <v>1</v>
      </c>
      <c r="J17" s="406">
        <v>1</v>
      </c>
      <c r="K17" s="319">
        <v>0</v>
      </c>
      <c r="L17" s="424"/>
      <c r="M17" s="410">
        <v>0</v>
      </c>
      <c r="N17" s="429"/>
    </row>
    <row r="18" spans="2:15" ht="18.25" customHeight="1" outlineLevel="2">
      <c r="B18" s="5" t="s">
        <v>8</v>
      </c>
      <c r="C18" s="6" t="s">
        <v>799</v>
      </c>
      <c r="D18" s="7" t="s">
        <v>17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6">
        <v>0</v>
      </c>
      <c r="K18" s="319">
        <v>0</v>
      </c>
      <c r="L18" s="424">
        <v>1</v>
      </c>
      <c r="M18" s="410">
        <v>0</v>
      </c>
      <c r="N18" s="429"/>
    </row>
    <row r="19" spans="2:15" ht="18.25" customHeight="1" outlineLevel="2">
      <c r="B19" s="5" t="s">
        <v>8</v>
      </c>
      <c r="C19" s="6" t="s">
        <v>719</v>
      </c>
      <c r="D19" s="7" t="s">
        <v>17</v>
      </c>
      <c r="E19" s="8">
        <v>0</v>
      </c>
      <c r="F19" s="9">
        <v>0</v>
      </c>
      <c r="G19" s="8">
        <v>0.5</v>
      </c>
      <c r="H19" s="10">
        <v>20969</v>
      </c>
      <c r="I19" s="310">
        <v>1</v>
      </c>
      <c r="J19" s="406">
        <v>1</v>
      </c>
      <c r="K19" s="319">
        <v>0</v>
      </c>
      <c r="L19" s="424">
        <v>0</v>
      </c>
      <c r="M19" s="410">
        <v>0</v>
      </c>
      <c r="N19" s="429"/>
    </row>
    <row r="20" spans="2:15" ht="18.25" customHeight="1" outlineLevel="1">
      <c r="B20" s="12" t="s">
        <v>8</v>
      </c>
      <c r="C20" s="13" t="s">
        <v>58</v>
      </c>
      <c r="D20" s="14">
        <v>3</v>
      </c>
      <c r="E20" s="15">
        <v>0</v>
      </c>
      <c r="F20" s="16">
        <v>0</v>
      </c>
      <c r="G20" s="15">
        <v>1</v>
      </c>
      <c r="H20" s="17">
        <v>41938</v>
      </c>
      <c r="I20" s="311">
        <v>2</v>
      </c>
      <c r="J20" s="312">
        <v>2</v>
      </c>
      <c r="K20" s="906">
        <v>0</v>
      </c>
      <c r="L20" s="907">
        <v>1</v>
      </c>
      <c r="M20" s="411">
        <v>0</v>
      </c>
      <c r="N20" s="430">
        <v>0</v>
      </c>
      <c r="O20" s="1" t="s">
        <v>169</v>
      </c>
    </row>
    <row r="21" spans="2:15" ht="18.25" customHeight="1" outlineLevel="2">
      <c r="B21" s="5" t="s">
        <v>8</v>
      </c>
      <c r="C21" s="18" t="s">
        <v>59</v>
      </c>
      <c r="D21" s="7" t="s">
        <v>40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6">
        <v>0</v>
      </c>
      <c r="K21" s="319">
        <v>0</v>
      </c>
      <c r="L21" s="424"/>
      <c r="M21" s="410">
        <v>0</v>
      </c>
      <c r="N21" s="429"/>
    </row>
    <row r="22" spans="2:15" ht="18.25" customHeight="1" outlineLevel="2">
      <c r="B22" s="5" t="s">
        <v>1</v>
      </c>
      <c r="C22" s="18" t="s">
        <v>360</v>
      </c>
      <c r="D22" s="7" t="s">
        <v>27</v>
      </c>
      <c r="E22" s="8">
        <v>0</v>
      </c>
      <c r="F22" s="9">
        <v>0</v>
      </c>
      <c r="G22" s="8">
        <v>0</v>
      </c>
      <c r="H22" s="10">
        <v>0</v>
      </c>
      <c r="I22" s="310">
        <v>0</v>
      </c>
      <c r="J22" s="406">
        <v>0</v>
      </c>
      <c r="K22" s="319">
        <v>0</v>
      </c>
      <c r="L22" s="424">
        <v>0</v>
      </c>
      <c r="M22" s="410">
        <v>0</v>
      </c>
      <c r="N22" s="429"/>
    </row>
    <row r="23" spans="2:15" ht="18.25" customHeight="1" outlineLevel="1">
      <c r="B23" s="12" t="s">
        <v>8</v>
      </c>
      <c r="C23" s="20" t="s">
        <v>59</v>
      </c>
      <c r="D23" s="14">
        <v>2</v>
      </c>
      <c r="E23" s="21">
        <v>0</v>
      </c>
      <c r="F23" s="16">
        <v>0</v>
      </c>
      <c r="G23" s="21">
        <v>0</v>
      </c>
      <c r="H23" s="17">
        <v>0</v>
      </c>
      <c r="I23" s="311">
        <v>0</v>
      </c>
      <c r="J23" s="312">
        <v>0</v>
      </c>
      <c r="K23" s="906">
        <v>0</v>
      </c>
      <c r="L23" s="907">
        <v>0</v>
      </c>
      <c r="M23" s="411">
        <v>0</v>
      </c>
      <c r="N23" s="430">
        <v>0</v>
      </c>
      <c r="O23" s="1" t="s">
        <v>51</v>
      </c>
    </row>
    <row r="24" spans="2:15" ht="18.25" customHeight="1" outlineLevel="2">
      <c r="B24" s="5" t="s">
        <v>8</v>
      </c>
      <c r="C24" s="18" t="s">
        <v>547</v>
      </c>
      <c r="D24" s="7" t="s">
        <v>25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6">
        <v>0</v>
      </c>
      <c r="K24" s="319">
        <v>0</v>
      </c>
      <c r="L24" s="424"/>
      <c r="M24" s="410">
        <v>0</v>
      </c>
      <c r="N24" s="429"/>
    </row>
    <row r="25" spans="2:15" ht="18.25" customHeight="1" outlineLevel="2">
      <c r="B25" s="5" t="s">
        <v>1</v>
      </c>
      <c r="C25" s="18" t="s">
        <v>724</v>
      </c>
      <c r="D25" s="7" t="s">
        <v>27</v>
      </c>
      <c r="E25" s="8">
        <v>0</v>
      </c>
      <c r="F25" s="9">
        <v>0</v>
      </c>
      <c r="G25" s="8">
        <v>0</v>
      </c>
      <c r="H25" s="10">
        <v>0</v>
      </c>
      <c r="I25" s="310">
        <v>0</v>
      </c>
      <c r="J25" s="406">
        <v>0</v>
      </c>
      <c r="K25" s="319">
        <v>0</v>
      </c>
      <c r="L25" s="424">
        <v>0</v>
      </c>
      <c r="M25" s="410">
        <v>0</v>
      </c>
      <c r="N25" s="429"/>
    </row>
    <row r="26" spans="2:15" ht="18.25" customHeight="1" outlineLevel="1">
      <c r="B26" s="12" t="s">
        <v>8</v>
      </c>
      <c r="C26" s="20" t="s">
        <v>547</v>
      </c>
      <c r="D26" s="14">
        <v>2</v>
      </c>
      <c r="E26" s="21">
        <v>0</v>
      </c>
      <c r="F26" s="16">
        <v>0</v>
      </c>
      <c r="G26" s="21">
        <v>0</v>
      </c>
      <c r="H26" s="17">
        <v>0</v>
      </c>
      <c r="I26" s="311">
        <v>0</v>
      </c>
      <c r="J26" s="312">
        <v>0</v>
      </c>
      <c r="K26" s="906">
        <v>0</v>
      </c>
      <c r="L26" s="907">
        <v>0</v>
      </c>
      <c r="M26" s="411">
        <v>0</v>
      </c>
      <c r="N26" s="430">
        <v>0</v>
      </c>
      <c r="O26" s="1" t="s">
        <v>169</v>
      </c>
    </row>
    <row r="27" spans="2:15" ht="18.25" customHeight="1" outlineLevel="2">
      <c r="B27" s="5" t="s">
        <v>1</v>
      </c>
      <c r="C27" s="18" t="s">
        <v>210</v>
      </c>
      <c r="D27" s="7" t="s">
        <v>189</v>
      </c>
      <c r="E27" s="8">
        <v>0</v>
      </c>
      <c r="F27" s="9">
        <v>0</v>
      </c>
      <c r="G27" s="8">
        <v>0</v>
      </c>
      <c r="H27" s="10">
        <v>0</v>
      </c>
      <c r="I27" s="310">
        <v>0</v>
      </c>
      <c r="J27" s="406">
        <v>0</v>
      </c>
      <c r="K27" s="319">
        <v>0</v>
      </c>
      <c r="L27" s="424"/>
      <c r="M27" s="410">
        <v>0</v>
      </c>
      <c r="N27" s="429"/>
    </row>
    <row r="28" spans="2:15" ht="18.25" customHeight="1" outlineLevel="2">
      <c r="B28" s="5" t="s">
        <v>1</v>
      </c>
      <c r="C28" s="18" t="s">
        <v>658</v>
      </c>
      <c r="D28" s="7" t="s">
        <v>27</v>
      </c>
      <c r="E28" s="8">
        <v>0</v>
      </c>
      <c r="F28" s="9">
        <v>0</v>
      </c>
      <c r="G28" s="8">
        <v>0</v>
      </c>
      <c r="H28" s="10">
        <v>0</v>
      </c>
      <c r="I28" s="310">
        <v>0</v>
      </c>
      <c r="J28" s="406">
        <v>0</v>
      </c>
      <c r="K28" s="319">
        <v>0</v>
      </c>
      <c r="L28" s="424">
        <v>0</v>
      </c>
      <c r="M28" s="410">
        <v>0</v>
      </c>
      <c r="N28" s="429"/>
    </row>
    <row r="29" spans="2:15" ht="18.25" customHeight="1" outlineLevel="1">
      <c r="B29" s="12" t="s">
        <v>8</v>
      </c>
      <c r="C29" s="20" t="s">
        <v>210</v>
      </c>
      <c r="D29" s="14">
        <v>2</v>
      </c>
      <c r="E29" s="21">
        <v>0</v>
      </c>
      <c r="F29" s="16">
        <v>0</v>
      </c>
      <c r="G29" s="21">
        <v>0</v>
      </c>
      <c r="H29" s="17">
        <v>0</v>
      </c>
      <c r="I29" s="311">
        <v>0</v>
      </c>
      <c r="J29" s="312">
        <v>0</v>
      </c>
      <c r="K29" s="906">
        <v>0</v>
      </c>
      <c r="L29" s="907">
        <v>0</v>
      </c>
      <c r="M29" s="411">
        <v>0</v>
      </c>
      <c r="N29" s="430">
        <v>0</v>
      </c>
      <c r="O29" s="1" t="s">
        <v>169</v>
      </c>
    </row>
    <row r="30" spans="2:15" ht="18.25" customHeight="1" outlineLevel="2">
      <c r="B30" s="5" t="s">
        <v>8</v>
      </c>
      <c r="C30" s="38" t="s">
        <v>272</v>
      </c>
      <c r="D30" s="7" t="s">
        <v>25</v>
      </c>
      <c r="E30" s="8">
        <v>0</v>
      </c>
      <c r="F30" s="9">
        <v>0</v>
      </c>
      <c r="G30" s="8">
        <v>3</v>
      </c>
      <c r="H30" s="10">
        <v>209018</v>
      </c>
      <c r="I30" s="310">
        <v>1</v>
      </c>
      <c r="J30" s="406">
        <v>1</v>
      </c>
      <c r="K30" s="319">
        <v>1</v>
      </c>
      <c r="L30" s="424"/>
      <c r="M30" s="410">
        <v>1</v>
      </c>
      <c r="N30" s="429"/>
    </row>
    <row r="31" spans="2:15" ht="18.25" customHeight="1" outlineLevel="2">
      <c r="B31" s="5" t="s">
        <v>8</v>
      </c>
      <c r="C31" s="6" t="s">
        <v>650</v>
      </c>
      <c r="D31" s="7" t="s">
        <v>17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6">
        <v>0</v>
      </c>
      <c r="K31" s="319">
        <v>0</v>
      </c>
      <c r="L31" s="424">
        <v>0</v>
      </c>
      <c r="M31" s="410">
        <v>0</v>
      </c>
      <c r="N31" s="429"/>
    </row>
    <row r="32" spans="2:15" ht="18.25" customHeight="1" outlineLevel="1">
      <c r="B32" s="12" t="s">
        <v>8</v>
      </c>
      <c r="C32" s="20" t="s">
        <v>362</v>
      </c>
      <c r="D32" s="14">
        <v>2</v>
      </c>
      <c r="E32" s="21">
        <v>0</v>
      </c>
      <c r="F32" s="16">
        <v>0</v>
      </c>
      <c r="G32" s="21">
        <v>3</v>
      </c>
      <c r="H32" s="17">
        <v>209018</v>
      </c>
      <c r="I32" s="311">
        <v>1</v>
      </c>
      <c r="J32" s="312">
        <v>1</v>
      </c>
      <c r="K32" s="906">
        <v>1</v>
      </c>
      <c r="L32" s="907">
        <v>0</v>
      </c>
      <c r="M32" s="411">
        <v>1</v>
      </c>
      <c r="N32" s="430">
        <v>1</v>
      </c>
      <c r="O32" s="1" t="s">
        <v>169</v>
      </c>
    </row>
    <row r="33" spans="1:16" s="149" customFormat="1" ht="18.25" customHeight="1">
      <c r="A33" s="575" t="s">
        <v>844</v>
      </c>
      <c r="B33" s="967" t="s">
        <v>8</v>
      </c>
      <c r="C33" s="968"/>
      <c r="D33" s="145">
        <v>20</v>
      </c>
      <c r="E33" s="150">
        <v>1</v>
      </c>
      <c r="F33" s="151">
        <v>11494</v>
      </c>
      <c r="G33" s="146">
        <v>14</v>
      </c>
      <c r="H33" s="152">
        <v>359544</v>
      </c>
      <c r="I33" s="314">
        <v>6</v>
      </c>
      <c r="J33" s="315">
        <v>5</v>
      </c>
      <c r="K33" s="908">
        <v>3</v>
      </c>
      <c r="L33" s="909">
        <v>2</v>
      </c>
      <c r="M33" s="412">
        <v>3</v>
      </c>
      <c r="N33" s="431">
        <v>2</v>
      </c>
      <c r="O33" s="248"/>
      <c r="P33" s="248"/>
    </row>
    <row r="34" spans="1:16" ht="18.25" customHeight="1" outlineLevel="2">
      <c r="B34" s="5" t="s">
        <v>304</v>
      </c>
      <c r="C34" s="6" t="s">
        <v>227</v>
      </c>
      <c r="D34" s="7" t="s">
        <v>473</v>
      </c>
      <c r="E34" s="8">
        <v>0</v>
      </c>
      <c r="F34" s="9">
        <v>0</v>
      </c>
      <c r="G34" s="8">
        <v>2</v>
      </c>
      <c r="H34" s="10">
        <v>29055</v>
      </c>
      <c r="I34" s="310">
        <v>1</v>
      </c>
      <c r="J34" s="406">
        <v>1</v>
      </c>
      <c r="K34" s="319">
        <v>1</v>
      </c>
      <c r="L34" s="424"/>
      <c r="M34" s="410">
        <v>1</v>
      </c>
      <c r="N34" s="429"/>
    </row>
    <row r="35" spans="1:16" ht="18.25" customHeight="1" outlineLevel="2">
      <c r="B35" s="5" t="s">
        <v>303</v>
      </c>
      <c r="C35" s="6" t="s">
        <v>767</v>
      </c>
      <c r="D35" s="7" t="s">
        <v>188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6">
        <v>0</v>
      </c>
      <c r="K35" s="319">
        <v>0</v>
      </c>
      <c r="L35" s="910">
        <v>1</v>
      </c>
      <c r="M35" s="410">
        <v>0</v>
      </c>
      <c r="N35" s="429"/>
    </row>
    <row r="36" spans="1:16" ht="18.25" customHeight="1" outlineLevel="2">
      <c r="B36" s="5" t="s">
        <v>303</v>
      </c>
      <c r="C36" s="6" t="s">
        <v>872</v>
      </c>
      <c r="D36" s="7" t="s">
        <v>188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6">
        <v>0</v>
      </c>
      <c r="K36" s="319">
        <v>0</v>
      </c>
      <c r="L36" s="910">
        <v>1</v>
      </c>
      <c r="M36" s="410">
        <v>0</v>
      </c>
      <c r="N36" s="429"/>
    </row>
    <row r="37" spans="1:16" ht="18.25" customHeight="1" outlineLevel="2">
      <c r="B37" s="5" t="s">
        <v>303</v>
      </c>
      <c r="C37" s="6" t="s">
        <v>687</v>
      </c>
      <c r="D37" s="7" t="s">
        <v>188</v>
      </c>
      <c r="E37" s="8">
        <v>0</v>
      </c>
      <c r="F37" s="9">
        <v>0</v>
      </c>
      <c r="G37" s="8">
        <v>1</v>
      </c>
      <c r="H37" s="10">
        <v>9421</v>
      </c>
      <c r="I37" s="310">
        <v>1</v>
      </c>
      <c r="J37" s="406">
        <v>0</v>
      </c>
      <c r="K37" s="319">
        <v>0</v>
      </c>
      <c r="L37" s="910">
        <v>0</v>
      </c>
      <c r="M37" s="410">
        <v>0</v>
      </c>
      <c r="N37" s="429"/>
    </row>
    <row r="38" spans="1:16" ht="18.25" customHeight="1" outlineLevel="2">
      <c r="B38" s="5" t="s">
        <v>303</v>
      </c>
      <c r="C38" s="6" t="s">
        <v>873</v>
      </c>
      <c r="D38" s="7" t="s">
        <v>188</v>
      </c>
      <c r="E38" s="8">
        <v>0</v>
      </c>
      <c r="F38" s="9">
        <v>0</v>
      </c>
      <c r="G38" s="8">
        <v>1</v>
      </c>
      <c r="H38" s="10">
        <v>23378</v>
      </c>
      <c r="I38" s="310">
        <v>1</v>
      </c>
      <c r="J38" s="406">
        <v>1</v>
      </c>
      <c r="K38" s="319">
        <v>0</v>
      </c>
      <c r="L38" s="910">
        <v>1</v>
      </c>
      <c r="M38" s="410">
        <v>1</v>
      </c>
      <c r="N38" s="429"/>
    </row>
    <row r="39" spans="1:16" ht="18.25" customHeight="1" outlineLevel="1">
      <c r="B39" s="12" t="s">
        <v>303</v>
      </c>
      <c r="C39" s="13" t="s">
        <v>62</v>
      </c>
      <c r="D39" s="14">
        <v>5</v>
      </c>
      <c r="E39" s="15">
        <v>0</v>
      </c>
      <c r="F39" s="16">
        <v>0</v>
      </c>
      <c r="G39" s="15">
        <v>4</v>
      </c>
      <c r="H39" s="17">
        <v>61854</v>
      </c>
      <c r="I39" s="311">
        <v>3</v>
      </c>
      <c r="J39" s="312">
        <v>2</v>
      </c>
      <c r="K39" s="906">
        <v>1</v>
      </c>
      <c r="L39" s="907">
        <v>3</v>
      </c>
      <c r="M39" s="411">
        <v>2</v>
      </c>
      <c r="N39" s="430">
        <v>0</v>
      </c>
      <c r="O39" s="1" t="s">
        <v>167</v>
      </c>
    </row>
    <row r="40" spans="1:16" ht="18.25" customHeight="1" outlineLevel="2">
      <c r="B40" s="5" t="s">
        <v>303</v>
      </c>
      <c r="C40" s="39" t="s">
        <v>820</v>
      </c>
      <c r="D40" s="23" t="s">
        <v>169</v>
      </c>
      <c r="E40" s="8">
        <v>0</v>
      </c>
      <c r="F40" s="9">
        <v>0</v>
      </c>
      <c r="G40" s="8">
        <v>1</v>
      </c>
      <c r="H40" s="10">
        <v>740</v>
      </c>
      <c r="I40" s="310">
        <v>1</v>
      </c>
      <c r="J40" s="406">
        <v>0</v>
      </c>
      <c r="K40" s="319">
        <v>0</v>
      </c>
      <c r="L40" s="424"/>
      <c r="M40" s="410">
        <v>0</v>
      </c>
      <c r="N40" s="429"/>
    </row>
    <row r="41" spans="1:16" ht="18.25" customHeight="1" outlineLevel="2">
      <c r="B41" s="5" t="s">
        <v>303</v>
      </c>
      <c r="C41" s="39" t="s">
        <v>821</v>
      </c>
      <c r="D41" s="23" t="s">
        <v>27</v>
      </c>
      <c r="E41" s="8">
        <v>0</v>
      </c>
      <c r="F41" s="9">
        <v>0</v>
      </c>
      <c r="G41" s="8">
        <v>0</v>
      </c>
      <c r="H41" s="10">
        <v>0</v>
      </c>
      <c r="I41" s="310">
        <v>0</v>
      </c>
      <c r="J41" s="406">
        <v>0</v>
      </c>
      <c r="K41" s="319">
        <v>0</v>
      </c>
      <c r="L41" s="910">
        <v>0</v>
      </c>
      <c r="M41" s="410">
        <v>0</v>
      </c>
      <c r="N41" s="429"/>
    </row>
    <row r="42" spans="1:16" ht="18.25" customHeight="1" outlineLevel="1">
      <c r="B42" s="12" t="s">
        <v>303</v>
      </c>
      <c r="C42" s="13" t="s">
        <v>63</v>
      </c>
      <c r="D42" s="14">
        <v>2</v>
      </c>
      <c r="E42" s="15">
        <v>0</v>
      </c>
      <c r="F42" s="16">
        <v>0</v>
      </c>
      <c r="G42" s="15">
        <v>1</v>
      </c>
      <c r="H42" s="17">
        <v>740</v>
      </c>
      <c r="I42" s="311">
        <v>1</v>
      </c>
      <c r="J42" s="312">
        <v>0</v>
      </c>
      <c r="K42" s="906">
        <v>0</v>
      </c>
      <c r="L42" s="907">
        <v>0</v>
      </c>
      <c r="M42" s="411">
        <v>0</v>
      </c>
      <c r="N42" s="430">
        <v>0</v>
      </c>
      <c r="O42" s="1" t="s">
        <v>169</v>
      </c>
    </row>
    <row r="43" spans="1:16" ht="18.25" customHeight="1" outlineLevel="2">
      <c r="B43" s="5" t="s">
        <v>303</v>
      </c>
      <c r="C43" s="6" t="s">
        <v>308</v>
      </c>
      <c r="D43" s="7" t="s">
        <v>189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6">
        <v>0</v>
      </c>
      <c r="K43" s="319">
        <v>0</v>
      </c>
      <c r="L43" s="424"/>
      <c r="M43" s="410">
        <v>0</v>
      </c>
      <c r="N43" s="429"/>
    </row>
    <row r="44" spans="1:16" ht="18.25" customHeight="1" outlineLevel="2">
      <c r="B44" s="5" t="s">
        <v>303</v>
      </c>
      <c r="C44" s="6" t="s">
        <v>630</v>
      </c>
      <c r="D44" s="7" t="s">
        <v>188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6">
        <v>0</v>
      </c>
      <c r="K44" s="319">
        <v>0</v>
      </c>
      <c r="L44" s="424">
        <v>0</v>
      </c>
      <c r="M44" s="410">
        <v>0</v>
      </c>
      <c r="N44" s="429"/>
    </row>
    <row r="45" spans="1:16" ht="18.25" customHeight="1" outlineLevel="1">
      <c r="B45" s="12" t="s">
        <v>303</v>
      </c>
      <c r="C45" s="13" t="s">
        <v>308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1">
        <v>0</v>
      </c>
      <c r="J45" s="312">
        <v>0</v>
      </c>
      <c r="K45" s="906">
        <v>0</v>
      </c>
      <c r="L45" s="907">
        <v>0</v>
      </c>
      <c r="M45" s="411">
        <v>0</v>
      </c>
      <c r="N45" s="430">
        <v>0</v>
      </c>
      <c r="O45" s="1" t="s">
        <v>169</v>
      </c>
    </row>
    <row r="46" spans="1:16" ht="18.25" customHeight="1" outlineLevel="2">
      <c r="B46" s="5" t="s">
        <v>303</v>
      </c>
      <c r="C46" s="39" t="s">
        <v>243</v>
      </c>
      <c r="D46" s="7" t="s">
        <v>189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6">
        <v>0</v>
      </c>
      <c r="K46" s="319">
        <v>0</v>
      </c>
      <c r="L46" s="424"/>
      <c r="M46" s="410">
        <v>0</v>
      </c>
      <c r="N46" s="429"/>
    </row>
    <row r="47" spans="1:16" ht="18.25" customHeight="1" outlineLevel="2">
      <c r="B47" s="5" t="s">
        <v>303</v>
      </c>
      <c r="C47" s="39" t="s">
        <v>286</v>
      </c>
      <c r="D47" s="7" t="s">
        <v>27</v>
      </c>
      <c r="E47" s="8">
        <v>1</v>
      </c>
      <c r="F47" s="9">
        <v>14388</v>
      </c>
      <c r="G47" s="8">
        <v>5</v>
      </c>
      <c r="H47" s="10">
        <v>52909</v>
      </c>
      <c r="I47" s="310">
        <v>1</v>
      </c>
      <c r="J47" s="406">
        <v>1</v>
      </c>
      <c r="K47" s="319">
        <v>1</v>
      </c>
      <c r="L47" s="424">
        <v>0</v>
      </c>
      <c r="M47" s="410">
        <v>1</v>
      </c>
      <c r="N47" s="429"/>
    </row>
    <row r="48" spans="1:16" ht="18.25" customHeight="1" outlineLevel="1">
      <c r="B48" s="12" t="s">
        <v>303</v>
      </c>
      <c r="C48" s="13" t="s">
        <v>243</v>
      </c>
      <c r="D48" s="14">
        <v>2</v>
      </c>
      <c r="E48" s="15">
        <v>1</v>
      </c>
      <c r="F48" s="16">
        <v>14388</v>
      </c>
      <c r="G48" s="15">
        <v>5</v>
      </c>
      <c r="H48" s="17">
        <v>52909</v>
      </c>
      <c r="I48" s="311">
        <v>1</v>
      </c>
      <c r="J48" s="312">
        <v>1</v>
      </c>
      <c r="K48" s="906">
        <v>1</v>
      </c>
      <c r="L48" s="907">
        <v>0</v>
      </c>
      <c r="M48" s="411">
        <v>1</v>
      </c>
      <c r="N48" s="430">
        <v>1</v>
      </c>
      <c r="O48" s="1" t="s">
        <v>169</v>
      </c>
    </row>
    <row r="49" spans="1:16" ht="18.25" customHeight="1" outlineLevel="2">
      <c r="B49" s="5" t="s">
        <v>303</v>
      </c>
      <c r="C49" s="6" t="s">
        <v>66</v>
      </c>
      <c r="D49" s="19" t="s">
        <v>40</v>
      </c>
      <c r="E49" s="8">
        <v>0</v>
      </c>
      <c r="F49" s="9">
        <v>0</v>
      </c>
      <c r="G49" s="8">
        <v>4</v>
      </c>
      <c r="H49" s="10">
        <v>197189</v>
      </c>
      <c r="I49" s="310">
        <v>1</v>
      </c>
      <c r="J49" s="406">
        <v>1</v>
      </c>
      <c r="K49" s="319">
        <v>1</v>
      </c>
      <c r="L49" s="424"/>
      <c r="M49" s="410">
        <v>1</v>
      </c>
      <c r="N49" s="429"/>
    </row>
    <row r="50" spans="1:16" ht="18.25" customHeight="1" outlineLevel="2">
      <c r="B50" s="5" t="s">
        <v>303</v>
      </c>
      <c r="C50" s="6" t="s">
        <v>67</v>
      </c>
      <c r="D50" s="7" t="s">
        <v>17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6">
        <v>0</v>
      </c>
      <c r="K50" s="319">
        <v>0</v>
      </c>
      <c r="L50" s="424">
        <v>0</v>
      </c>
      <c r="M50" s="410">
        <v>0</v>
      </c>
      <c r="N50" s="429"/>
    </row>
    <row r="51" spans="1:16" s="65" customFormat="1" ht="18.25" customHeight="1" outlineLevel="1">
      <c r="A51" s="577"/>
      <c r="B51" s="47" t="s">
        <v>303</v>
      </c>
      <c r="C51" s="61" t="s">
        <v>66</v>
      </c>
      <c r="D51" s="26">
        <v>2</v>
      </c>
      <c r="E51" s="62">
        <v>0</v>
      </c>
      <c r="F51" s="62">
        <v>0</v>
      </c>
      <c r="G51" s="66">
        <v>4</v>
      </c>
      <c r="H51" s="64">
        <v>197189</v>
      </c>
      <c r="I51" s="316">
        <v>1</v>
      </c>
      <c r="J51" s="317">
        <v>1</v>
      </c>
      <c r="K51" s="906">
        <v>1</v>
      </c>
      <c r="L51" s="907">
        <v>0</v>
      </c>
      <c r="M51" s="413">
        <v>1</v>
      </c>
      <c r="N51" s="432">
        <v>0</v>
      </c>
      <c r="O51" s="249" t="s">
        <v>51</v>
      </c>
      <c r="P51" s="249"/>
    </row>
    <row r="52" spans="1:16" ht="18.25" customHeight="1" outlineLevel="2">
      <c r="B52" s="5" t="s">
        <v>303</v>
      </c>
      <c r="C52" s="39" t="s">
        <v>223</v>
      </c>
      <c r="D52" s="23" t="s">
        <v>40</v>
      </c>
      <c r="E52" s="8">
        <v>0</v>
      </c>
      <c r="F52" s="9">
        <v>0</v>
      </c>
      <c r="G52" s="8">
        <v>4</v>
      </c>
      <c r="H52" s="10">
        <v>106032</v>
      </c>
      <c r="I52" s="310">
        <v>1</v>
      </c>
      <c r="J52" s="406">
        <v>1</v>
      </c>
      <c r="K52" s="319">
        <v>1</v>
      </c>
      <c r="L52" s="424"/>
      <c r="M52" s="410">
        <v>1</v>
      </c>
      <c r="N52" s="429"/>
    </row>
    <row r="53" spans="1:16" ht="18.25" customHeight="1" outlineLevel="2">
      <c r="B53" s="5" t="s">
        <v>303</v>
      </c>
      <c r="C53" s="6" t="s">
        <v>826</v>
      </c>
      <c r="D53" s="7" t="s">
        <v>17</v>
      </c>
      <c r="E53" s="8">
        <v>0</v>
      </c>
      <c r="F53" s="9">
        <v>0</v>
      </c>
      <c r="G53" s="8">
        <v>1</v>
      </c>
      <c r="H53" s="10">
        <v>2730</v>
      </c>
      <c r="I53" s="310">
        <v>1</v>
      </c>
      <c r="J53" s="406">
        <v>0</v>
      </c>
      <c r="K53" s="319">
        <v>0</v>
      </c>
      <c r="L53" s="424">
        <v>1</v>
      </c>
      <c r="M53" s="410">
        <v>0</v>
      </c>
      <c r="N53" s="429"/>
    </row>
    <row r="54" spans="1:16" ht="18.25" customHeight="1" outlineLevel="2">
      <c r="B54" s="5" t="s">
        <v>303</v>
      </c>
      <c r="C54" s="6" t="s">
        <v>692</v>
      </c>
      <c r="D54" s="7" t="s">
        <v>17</v>
      </c>
      <c r="E54" s="8">
        <v>0</v>
      </c>
      <c r="F54" s="9">
        <v>0</v>
      </c>
      <c r="G54" s="8">
        <v>1</v>
      </c>
      <c r="H54" s="10">
        <v>3092</v>
      </c>
      <c r="I54" s="310">
        <v>1</v>
      </c>
      <c r="J54" s="406">
        <v>0</v>
      </c>
      <c r="K54" s="319">
        <v>0</v>
      </c>
      <c r="L54" s="424">
        <v>0</v>
      </c>
      <c r="M54" s="410">
        <v>0</v>
      </c>
      <c r="N54" s="429"/>
    </row>
    <row r="55" spans="1:16" s="65" customFormat="1" ht="18.25" customHeight="1" outlineLevel="1">
      <c r="A55" s="577"/>
      <c r="B55" s="47" t="s">
        <v>303</v>
      </c>
      <c r="C55" s="61" t="s">
        <v>258</v>
      </c>
      <c r="D55" s="26">
        <v>3</v>
      </c>
      <c r="E55" s="62">
        <v>0</v>
      </c>
      <c r="F55" s="62">
        <v>0</v>
      </c>
      <c r="G55" s="66">
        <v>6</v>
      </c>
      <c r="H55" s="64">
        <v>111854</v>
      </c>
      <c r="I55" s="316">
        <v>3</v>
      </c>
      <c r="J55" s="317">
        <v>1</v>
      </c>
      <c r="K55" s="906">
        <v>1</v>
      </c>
      <c r="L55" s="907">
        <v>1</v>
      </c>
      <c r="M55" s="413">
        <v>1</v>
      </c>
      <c r="N55" s="432">
        <v>0</v>
      </c>
      <c r="O55" s="249" t="s">
        <v>51</v>
      </c>
      <c r="P55" s="249"/>
    </row>
    <row r="56" spans="1:16" ht="18.25" customHeight="1" outlineLevel="2">
      <c r="B56" s="5" t="s">
        <v>303</v>
      </c>
      <c r="C56" s="6" t="s">
        <v>263</v>
      </c>
      <c r="D56" s="7" t="s">
        <v>22</v>
      </c>
      <c r="E56" s="8">
        <v>0</v>
      </c>
      <c r="F56" s="9">
        <v>0</v>
      </c>
      <c r="G56" s="8">
        <v>2</v>
      </c>
      <c r="H56" s="10">
        <v>33073</v>
      </c>
      <c r="I56" s="310">
        <v>1</v>
      </c>
      <c r="J56" s="406">
        <v>1</v>
      </c>
      <c r="K56" s="319">
        <v>1</v>
      </c>
      <c r="L56" s="424"/>
      <c r="M56" s="410">
        <v>1</v>
      </c>
      <c r="N56" s="429"/>
    </row>
    <row r="57" spans="1:16" s="65" customFormat="1" ht="18.25" customHeight="1" outlineLevel="1">
      <c r="A57" s="577"/>
      <c r="B57" s="47" t="s">
        <v>303</v>
      </c>
      <c r="C57" s="61" t="s">
        <v>263</v>
      </c>
      <c r="D57" s="26">
        <v>1</v>
      </c>
      <c r="E57" s="62">
        <v>0</v>
      </c>
      <c r="F57" s="62">
        <v>0</v>
      </c>
      <c r="G57" s="66">
        <v>2</v>
      </c>
      <c r="H57" s="64">
        <v>33073</v>
      </c>
      <c r="I57" s="316">
        <v>1</v>
      </c>
      <c r="J57" s="317">
        <v>1</v>
      </c>
      <c r="K57" s="906">
        <v>1</v>
      </c>
      <c r="L57" s="907">
        <v>0</v>
      </c>
      <c r="M57" s="413">
        <v>1</v>
      </c>
      <c r="N57" s="432">
        <v>0</v>
      </c>
      <c r="O57" s="249" t="s">
        <v>171</v>
      </c>
      <c r="P57" s="249"/>
    </row>
    <row r="58" spans="1:16" ht="18.25" customHeight="1" outlineLevel="2">
      <c r="B58" s="5" t="s">
        <v>303</v>
      </c>
      <c r="C58" s="6" t="s">
        <v>579</v>
      </c>
      <c r="D58" s="7" t="s">
        <v>25</v>
      </c>
      <c r="E58" s="8">
        <v>0</v>
      </c>
      <c r="F58" s="9">
        <v>0</v>
      </c>
      <c r="G58" s="8">
        <v>3</v>
      </c>
      <c r="H58" s="10">
        <v>144402</v>
      </c>
      <c r="I58" s="310">
        <v>1</v>
      </c>
      <c r="J58" s="406">
        <v>1</v>
      </c>
      <c r="K58" s="319">
        <v>1</v>
      </c>
      <c r="L58" s="424"/>
      <c r="M58" s="410">
        <v>1</v>
      </c>
      <c r="N58" s="429"/>
    </row>
    <row r="59" spans="1:16" ht="18.25" customHeight="1" outlineLevel="2">
      <c r="B59" s="5" t="s">
        <v>303</v>
      </c>
      <c r="C59" s="6" t="s">
        <v>792</v>
      </c>
      <c r="D59" s="7" t="s">
        <v>17</v>
      </c>
      <c r="E59" s="8">
        <v>0</v>
      </c>
      <c r="F59" s="9">
        <v>0</v>
      </c>
      <c r="G59" s="8">
        <v>2</v>
      </c>
      <c r="H59" s="10">
        <v>14772</v>
      </c>
      <c r="I59" s="310">
        <v>1</v>
      </c>
      <c r="J59" s="406">
        <v>1</v>
      </c>
      <c r="K59" s="319">
        <v>0</v>
      </c>
      <c r="L59" s="424">
        <v>1</v>
      </c>
      <c r="M59" s="410">
        <v>0</v>
      </c>
      <c r="N59" s="429"/>
    </row>
    <row r="60" spans="1:16" s="65" customFormat="1" ht="18.25" customHeight="1" outlineLevel="1">
      <c r="A60" s="577"/>
      <c r="B60" s="47" t="s">
        <v>303</v>
      </c>
      <c r="C60" s="61" t="s">
        <v>579</v>
      </c>
      <c r="D60" s="26">
        <v>2</v>
      </c>
      <c r="E60" s="62">
        <v>0</v>
      </c>
      <c r="F60" s="62">
        <v>0</v>
      </c>
      <c r="G60" s="66">
        <v>5</v>
      </c>
      <c r="H60" s="64">
        <v>159174</v>
      </c>
      <c r="I60" s="316">
        <v>2</v>
      </c>
      <c r="J60" s="317">
        <v>2</v>
      </c>
      <c r="K60" s="906">
        <v>1</v>
      </c>
      <c r="L60" s="907">
        <v>1</v>
      </c>
      <c r="M60" s="413">
        <v>1</v>
      </c>
      <c r="N60" s="432">
        <v>1</v>
      </c>
      <c r="O60" s="249" t="s">
        <v>169</v>
      </c>
      <c r="P60" s="249"/>
    </row>
    <row r="61" spans="1:16" ht="18.25" customHeight="1" outlineLevel="2">
      <c r="B61" s="5" t="s">
        <v>303</v>
      </c>
      <c r="C61" s="6" t="s">
        <v>696</v>
      </c>
      <c r="D61" s="7" t="s">
        <v>25</v>
      </c>
      <c r="E61" s="8">
        <v>0</v>
      </c>
      <c r="F61" s="9">
        <v>0</v>
      </c>
      <c r="G61" s="8">
        <v>0</v>
      </c>
      <c r="H61" s="10">
        <v>0</v>
      </c>
      <c r="I61" s="310">
        <v>0</v>
      </c>
      <c r="J61" s="406">
        <v>0</v>
      </c>
      <c r="K61" s="319">
        <v>0</v>
      </c>
      <c r="L61" s="424"/>
      <c r="M61" s="410">
        <v>0</v>
      </c>
      <c r="N61" s="429"/>
    </row>
    <row r="62" spans="1:16" ht="18.25" customHeight="1" outlineLevel="2">
      <c r="B62" s="5" t="s">
        <v>303</v>
      </c>
      <c r="C62" s="6" t="s">
        <v>686</v>
      </c>
      <c r="D62" s="7" t="s">
        <v>17</v>
      </c>
      <c r="E62" s="8">
        <v>0</v>
      </c>
      <c r="F62" s="9">
        <v>0</v>
      </c>
      <c r="G62" s="8">
        <v>2</v>
      </c>
      <c r="H62" s="10">
        <v>2600</v>
      </c>
      <c r="I62" s="310">
        <v>1</v>
      </c>
      <c r="J62" s="406">
        <v>0</v>
      </c>
      <c r="K62" s="319">
        <v>0</v>
      </c>
      <c r="L62" s="424">
        <v>0</v>
      </c>
      <c r="M62" s="410">
        <v>0</v>
      </c>
      <c r="N62" s="429"/>
    </row>
    <row r="63" spans="1:16" s="65" customFormat="1" ht="18.25" customHeight="1" outlineLevel="1">
      <c r="A63" s="577"/>
      <c r="B63" s="47" t="s">
        <v>303</v>
      </c>
      <c r="C63" s="61" t="s">
        <v>696</v>
      </c>
      <c r="D63" s="26">
        <v>2</v>
      </c>
      <c r="E63" s="62">
        <v>0</v>
      </c>
      <c r="F63" s="62">
        <v>0</v>
      </c>
      <c r="G63" s="66">
        <v>2</v>
      </c>
      <c r="H63" s="64">
        <v>2600</v>
      </c>
      <c r="I63" s="316">
        <v>1</v>
      </c>
      <c r="J63" s="317">
        <v>0</v>
      </c>
      <c r="K63" s="906">
        <v>0</v>
      </c>
      <c r="L63" s="907">
        <v>0</v>
      </c>
      <c r="M63" s="413">
        <v>0</v>
      </c>
      <c r="N63" s="432">
        <v>0</v>
      </c>
      <c r="O63" s="249" t="s">
        <v>169</v>
      </c>
      <c r="P63" s="249"/>
    </row>
    <row r="64" spans="1:16" ht="18.25" customHeight="1" outlineLevel="2">
      <c r="B64" s="5" t="s">
        <v>303</v>
      </c>
      <c r="C64" s="6" t="s">
        <v>264</v>
      </c>
      <c r="D64" s="23" t="s">
        <v>22</v>
      </c>
      <c r="E64" s="8">
        <v>0</v>
      </c>
      <c r="F64" s="9">
        <v>0</v>
      </c>
      <c r="G64" s="8">
        <v>0</v>
      </c>
      <c r="H64" s="10">
        <v>0</v>
      </c>
      <c r="I64" s="310">
        <v>0</v>
      </c>
      <c r="J64" s="406">
        <v>0</v>
      </c>
      <c r="K64" s="319">
        <v>0</v>
      </c>
      <c r="L64" s="424"/>
      <c r="M64" s="410">
        <v>0</v>
      </c>
      <c r="N64" s="429"/>
    </row>
    <row r="65" spans="1:16" ht="18.25" customHeight="1" outlineLevel="2">
      <c r="B65" s="5" t="s">
        <v>303</v>
      </c>
      <c r="C65" s="6" t="s">
        <v>342</v>
      </c>
      <c r="D65" s="7" t="s">
        <v>17</v>
      </c>
      <c r="E65" s="8">
        <v>0</v>
      </c>
      <c r="F65" s="9">
        <v>0</v>
      </c>
      <c r="G65" s="8">
        <v>0</v>
      </c>
      <c r="H65" s="10">
        <v>0</v>
      </c>
      <c r="I65" s="310">
        <v>0</v>
      </c>
      <c r="J65" s="406">
        <v>0</v>
      </c>
      <c r="K65" s="319">
        <v>0</v>
      </c>
      <c r="L65" s="424">
        <v>0</v>
      </c>
      <c r="M65" s="410">
        <v>0</v>
      </c>
      <c r="N65" s="429"/>
    </row>
    <row r="66" spans="1:16" s="65" customFormat="1" ht="18.25" customHeight="1" outlineLevel="1">
      <c r="A66" s="577"/>
      <c r="B66" s="47" t="s">
        <v>303</v>
      </c>
      <c r="C66" s="61" t="s">
        <v>264</v>
      </c>
      <c r="D66" s="26">
        <v>2</v>
      </c>
      <c r="E66" s="62">
        <v>0</v>
      </c>
      <c r="F66" s="62">
        <v>0</v>
      </c>
      <c r="G66" s="66">
        <v>0</v>
      </c>
      <c r="H66" s="64">
        <v>0</v>
      </c>
      <c r="I66" s="316">
        <v>0</v>
      </c>
      <c r="J66" s="407">
        <v>0</v>
      </c>
      <c r="K66" s="319">
        <v>0</v>
      </c>
      <c r="L66" s="424">
        <v>0</v>
      </c>
      <c r="M66" s="414">
        <v>0</v>
      </c>
      <c r="N66" s="433">
        <v>0</v>
      </c>
      <c r="O66" s="249" t="s">
        <v>171</v>
      </c>
      <c r="P66" s="249"/>
    </row>
    <row r="67" spans="1:16" ht="18.25" customHeight="1" outlineLevel="2">
      <c r="B67" s="5" t="s">
        <v>303</v>
      </c>
      <c r="C67" s="6" t="s">
        <v>68</v>
      </c>
      <c r="D67" s="7" t="s">
        <v>25</v>
      </c>
      <c r="E67" s="8">
        <v>0</v>
      </c>
      <c r="F67" s="9">
        <v>0</v>
      </c>
      <c r="G67" s="8">
        <v>2</v>
      </c>
      <c r="H67" s="10">
        <v>14837</v>
      </c>
      <c r="I67" s="310">
        <v>1</v>
      </c>
      <c r="J67" s="406">
        <v>0</v>
      </c>
      <c r="K67" s="319">
        <v>0</v>
      </c>
      <c r="L67" s="424"/>
      <c r="M67" s="410">
        <v>0</v>
      </c>
      <c r="N67" s="429"/>
    </row>
    <row r="68" spans="1:16" ht="18.25" customHeight="1" outlineLevel="2">
      <c r="B68" s="5" t="s">
        <v>303</v>
      </c>
      <c r="C68" s="6" t="s">
        <v>812</v>
      </c>
      <c r="D68" s="7" t="s">
        <v>17</v>
      </c>
      <c r="E68" s="8">
        <v>0</v>
      </c>
      <c r="F68" s="9">
        <v>0</v>
      </c>
      <c r="G68" s="8">
        <v>1</v>
      </c>
      <c r="H68" s="10">
        <v>0</v>
      </c>
      <c r="I68" s="310">
        <v>1</v>
      </c>
      <c r="J68" s="406">
        <v>0</v>
      </c>
      <c r="K68" s="319">
        <v>0</v>
      </c>
      <c r="L68" s="424">
        <v>1</v>
      </c>
      <c r="M68" s="410">
        <v>0</v>
      </c>
      <c r="N68" s="429"/>
    </row>
    <row r="69" spans="1:16" s="65" customFormat="1" ht="18.25" customHeight="1" outlineLevel="1">
      <c r="A69" s="577"/>
      <c r="B69" s="47" t="s">
        <v>303</v>
      </c>
      <c r="C69" s="61" t="s">
        <v>68</v>
      </c>
      <c r="D69" s="26">
        <v>2</v>
      </c>
      <c r="E69" s="62">
        <v>0</v>
      </c>
      <c r="F69" s="63">
        <v>0</v>
      </c>
      <c r="G69" s="62">
        <v>3</v>
      </c>
      <c r="H69" s="64">
        <v>14837</v>
      </c>
      <c r="I69" s="316">
        <v>2</v>
      </c>
      <c r="J69" s="317">
        <v>0</v>
      </c>
      <c r="K69" s="906">
        <v>0</v>
      </c>
      <c r="L69" s="907">
        <v>1</v>
      </c>
      <c r="M69" s="413">
        <v>0</v>
      </c>
      <c r="N69" s="432">
        <v>0</v>
      </c>
      <c r="O69" s="249" t="s">
        <v>169</v>
      </c>
      <c r="P69" s="249"/>
    </row>
    <row r="70" spans="1:16" ht="18.25" customHeight="1" outlineLevel="2">
      <c r="B70" s="5" t="s">
        <v>303</v>
      </c>
      <c r="C70" s="6" t="s">
        <v>766</v>
      </c>
      <c r="D70" s="7" t="s">
        <v>25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6">
        <v>0</v>
      </c>
      <c r="K70" s="319">
        <v>0</v>
      </c>
      <c r="L70" s="424"/>
      <c r="M70" s="410">
        <v>0</v>
      </c>
      <c r="N70" s="429"/>
    </row>
    <row r="71" spans="1:16" s="65" customFormat="1" ht="18.25" customHeight="1" outlineLevel="1">
      <c r="A71" s="577"/>
      <c r="B71" s="47" t="s">
        <v>303</v>
      </c>
      <c r="C71" s="61" t="s">
        <v>766</v>
      </c>
      <c r="D71" s="26">
        <v>1</v>
      </c>
      <c r="E71" s="62">
        <v>0</v>
      </c>
      <c r="F71" s="63">
        <v>0</v>
      </c>
      <c r="G71" s="62">
        <v>0</v>
      </c>
      <c r="H71" s="64">
        <v>0</v>
      </c>
      <c r="I71" s="316">
        <v>0</v>
      </c>
      <c r="J71" s="317">
        <v>0</v>
      </c>
      <c r="K71" s="906">
        <v>0</v>
      </c>
      <c r="L71" s="907">
        <v>0</v>
      </c>
      <c r="M71" s="413">
        <v>0</v>
      </c>
      <c r="N71" s="432">
        <v>0</v>
      </c>
      <c r="O71" s="249" t="s">
        <v>169</v>
      </c>
      <c r="P71" s="249"/>
    </row>
    <row r="72" spans="1:16" ht="18.25" customHeight="1" outlineLevel="2">
      <c r="B72" s="41" t="s">
        <v>303</v>
      </c>
      <c r="C72" s="39" t="s">
        <v>256</v>
      </c>
      <c r="D72" s="23" t="s">
        <v>40</v>
      </c>
      <c r="E72" s="42">
        <v>0</v>
      </c>
      <c r="F72" s="43">
        <v>0</v>
      </c>
      <c r="G72" s="42">
        <v>1</v>
      </c>
      <c r="H72" s="44">
        <v>7384</v>
      </c>
      <c r="I72" s="313">
        <v>1</v>
      </c>
      <c r="J72" s="406">
        <v>0</v>
      </c>
      <c r="K72" s="319">
        <v>0</v>
      </c>
      <c r="L72" s="424"/>
      <c r="M72" s="410">
        <v>0</v>
      </c>
      <c r="N72" s="429"/>
    </row>
    <row r="73" spans="1:16" ht="18.25" customHeight="1" outlineLevel="2">
      <c r="B73" s="5" t="s">
        <v>303</v>
      </c>
      <c r="C73" s="39" t="s">
        <v>804</v>
      </c>
      <c r="D73" s="7" t="s">
        <v>17</v>
      </c>
      <c r="E73" s="8">
        <v>0</v>
      </c>
      <c r="F73" s="9">
        <v>0</v>
      </c>
      <c r="G73" s="8">
        <v>4</v>
      </c>
      <c r="H73" s="10">
        <v>17331</v>
      </c>
      <c r="I73" s="310">
        <v>1</v>
      </c>
      <c r="J73" s="406">
        <v>1</v>
      </c>
      <c r="K73" s="319">
        <v>0</v>
      </c>
      <c r="L73" s="424">
        <v>1</v>
      </c>
      <c r="M73" s="410">
        <v>1</v>
      </c>
      <c r="N73" s="429"/>
    </row>
    <row r="74" spans="1:16" ht="18.25" customHeight="1" outlineLevel="2">
      <c r="B74" s="5" t="s">
        <v>303</v>
      </c>
      <c r="C74" s="39" t="s">
        <v>530</v>
      </c>
      <c r="D74" s="7" t="s">
        <v>17</v>
      </c>
      <c r="E74" s="8">
        <v>0</v>
      </c>
      <c r="F74" s="9">
        <v>0</v>
      </c>
      <c r="G74" s="8">
        <v>1</v>
      </c>
      <c r="H74" s="10">
        <v>8923</v>
      </c>
      <c r="I74" s="310">
        <v>1</v>
      </c>
      <c r="J74" s="406">
        <v>0</v>
      </c>
      <c r="K74" s="319">
        <v>0</v>
      </c>
      <c r="L74" s="424">
        <v>0</v>
      </c>
      <c r="M74" s="410">
        <v>0</v>
      </c>
      <c r="N74" s="429"/>
    </row>
    <row r="75" spans="1:16" ht="18.25" customHeight="1" outlineLevel="2">
      <c r="B75" s="5" t="s">
        <v>303</v>
      </c>
      <c r="C75" s="39" t="s">
        <v>326</v>
      </c>
      <c r="D75" s="7" t="s">
        <v>17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6">
        <v>0</v>
      </c>
      <c r="K75" s="319">
        <v>0</v>
      </c>
      <c r="L75" s="424">
        <v>0</v>
      </c>
      <c r="M75" s="410">
        <v>0</v>
      </c>
      <c r="N75" s="429"/>
    </row>
    <row r="76" spans="1:16" ht="18.25" customHeight="1" outlineLevel="2">
      <c r="B76" s="5" t="s">
        <v>303</v>
      </c>
      <c r="C76" s="6" t="s">
        <v>363</v>
      </c>
      <c r="D76" s="7" t="s">
        <v>17</v>
      </c>
      <c r="E76" s="8">
        <v>1</v>
      </c>
      <c r="F76" s="9">
        <v>7286</v>
      </c>
      <c r="G76" s="8">
        <v>2</v>
      </c>
      <c r="H76" s="10">
        <v>9013</v>
      </c>
      <c r="I76" s="310">
        <v>1</v>
      </c>
      <c r="J76" s="406">
        <v>0</v>
      </c>
      <c r="K76" s="319">
        <v>0</v>
      </c>
      <c r="L76" s="424">
        <v>0</v>
      </c>
      <c r="M76" s="410">
        <v>0</v>
      </c>
      <c r="N76" s="429"/>
    </row>
    <row r="77" spans="1:16" ht="18.25" customHeight="1" outlineLevel="2">
      <c r="B77" s="5" t="s">
        <v>303</v>
      </c>
      <c r="C77" s="39" t="s">
        <v>302</v>
      </c>
      <c r="D77" s="7" t="s">
        <v>17</v>
      </c>
      <c r="E77" s="8">
        <v>0</v>
      </c>
      <c r="F77" s="9">
        <v>0</v>
      </c>
      <c r="G77" s="8">
        <v>1</v>
      </c>
      <c r="H77" s="10">
        <v>8770</v>
      </c>
      <c r="I77" s="310">
        <v>1</v>
      </c>
      <c r="J77" s="406">
        <v>0</v>
      </c>
      <c r="K77" s="319">
        <v>0</v>
      </c>
      <c r="L77" s="424">
        <v>0</v>
      </c>
      <c r="M77" s="410">
        <v>0</v>
      </c>
      <c r="N77" s="429"/>
    </row>
    <row r="78" spans="1:16" ht="18.25" customHeight="1" outlineLevel="2">
      <c r="B78" s="5" t="s">
        <v>303</v>
      </c>
      <c r="C78" s="39" t="s">
        <v>65</v>
      </c>
      <c r="D78" s="7" t="s">
        <v>17</v>
      </c>
      <c r="E78" s="8">
        <v>0</v>
      </c>
      <c r="F78" s="9">
        <v>0</v>
      </c>
      <c r="G78" s="8">
        <v>5</v>
      </c>
      <c r="H78" s="10">
        <v>81883</v>
      </c>
      <c r="I78" s="310">
        <v>1</v>
      </c>
      <c r="J78" s="406">
        <v>1</v>
      </c>
      <c r="K78" s="319">
        <v>1</v>
      </c>
      <c r="L78" s="424">
        <v>0</v>
      </c>
      <c r="M78" s="410">
        <v>1</v>
      </c>
      <c r="N78" s="429"/>
    </row>
    <row r="79" spans="1:16" s="65" customFormat="1" ht="18.25" customHeight="1" outlineLevel="1">
      <c r="A79" s="577"/>
      <c r="B79" s="47" t="s">
        <v>303</v>
      </c>
      <c r="C79" s="61" t="s">
        <v>64</v>
      </c>
      <c r="D79" s="26">
        <v>7</v>
      </c>
      <c r="E79" s="62">
        <v>1</v>
      </c>
      <c r="F79" s="63">
        <v>7286</v>
      </c>
      <c r="G79" s="62">
        <v>14</v>
      </c>
      <c r="H79" s="64">
        <v>133304</v>
      </c>
      <c r="I79" s="316">
        <v>6</v>
      </c>
      <c r="J79" s="317">
        <v>2</v>
      </c>
      <c r="K79" s="906">
        <v>1</v>
      </c>
      <c r="L79" s="907">
        <v>1</v>
      </c>
      <c r="M79" s="413">
        <v>2</v>
      </c>
      <c r="N79" s="432">
        <v>0</v>
      </c>
      <c r="O79" s="249" t="s">
        <v>51</v>
      </c>
      <c r="P79" s="249"/>
    </row>
    <row r="80" spans="1:16" ht="18.25" customHeight="1" outlineLevel="2">
      <c r="B80" s="5" t="s">
        <v>303</v>
      </c>
      <c r="C80" s="38" t="s">
        <v>698</v>
      </c>
      <c r="D80" s="23" t="s">
        <v>891</v>
      </c>
      <c r="E80" s="8">
        <v>0</v>
      </c>
      <c r="F80" s="9">
        <v>0</v>
      </c>
      <c r="G80" s="8">
        <v>1</v>
      </c>
      <c r="H80" s="10">
        <v>13716</v>
      </c>
      <c r="I80" s="313">
        <v>1</v>
      </c>
      <c r="J80" s="406">
        <v>0</v>
      </c>
      <c r="K80" s="319">
        <v>0</v>
      </c>
      <c r="L80" s="424"/>
      <c r="M80" s="410">
        <v>0</v>
      </c>
      <c r="N80" s="438"/>
    </row>
    <row r="81" spans="1:16" ht="18.25" customHeight="1" outlineLevel="2">
      <c r="B81" s="5" t="s">
        <v>303</v>
      </c>
      <c r="C81" s="39" t="s">
        <v>642</v>
      </c>
      <c r="D81" s="7" t="s">
        <v>17</v>
      </c>
      <c r="E81" s="8">
        <v>0</v>
      </c>
      <c r="F81" s="9">
        <v>0</v>
      </c>
      <c r="G81" s="8">
        <v>0</v>
      </c>
      <c r="H81" s="10">
        <v>0</v>
      </c>
      <c r="I81" s="310">
        <v>0</v>
      </c>
      <c r="J81" s="406">
        <v>0</v>
      </c>
      <c r="K81" s="319">
        <v>0</v>
      </c>
      <c r="L81" s="424">
        <v>0</v>
      </c>
      <c r="M81" s="410">
        <v>0</v>
      </c>
      <c r="N81" s="429"/>
    </row>
    <row r="82" spans="1:16" s="65" customFormat="1" ht="18.25" customHeight="1" outlineLevel="1">
      <c r="A82" s="577"/>
      <c r="B82" s="47" t="s">
        <v>303</v>
      </c>
      <c r="C82" s="61" t="s">
        <v>698</v>
      </c>
      <c r="D82" s="26">
        <v>2</v>
      </c>
      <c r="E82" s="62">
        <v>0</v>
      </c>
      <c r="F82" s="63">
        <v>0</v>
      </c>
      <c r="G82" s="62">
        <v>1</v>
      </c>
      <c r="H82" s="64">
        <v>13716</v>
      </c>
      <c r="I82" s="316">
        <v>1</v>
      </c>
      <c r="J82" s="317">
        <v>0</v>
      </c>
      <c r="K82" s="906">
        <v>0</v>
      </c>
      <c r="L82" s="907">
        <v>0</v>
      </c>
      <c r="M82" s="413">
        <v>0</v>
      </c>
      <c r="N82" s="432">
        <v>0</v>
      </c>
      <c r="O82" s="249" t="s">
        <v>171</v>
      </c>
      <c r="P82" s="249"/>
    </row>
    <row r="83" spans="1:16" ht="18.25" customHeight="1" outlineLevel="2">
      <c r="B83" s="5" t="s">
        <v>303</v>
      </c>
      <c r="C83" s="38" t="s">
        <v>280</v>
      </c>
      <c r="D83" s="7" t="s">
        <v>22</v>
      </c>
      <c r="E83" s="8">
        <v>0</v>
      </c>
      <c r="F83" s="9">
        <v>0</v>
      </c>
      <c r="G83" s="8">
        <v>3</v>
      </c>
      <c r="H83" s="10">
        <v>20947</v>
      </c>
      <c r="I83" s="310">
        <v>1</v>
      </c>
      <c r="J83" s="406">
        <v>1</v>
      </c>
      <c r="K83" s="319">
        <v>0</v>
      </c>
      <c r="L83" s="424"/>
      <c r="M83" s="410">
        <v>0</v>
      </c>
      <c r="N83" s="429"/>
    </row>
    <row r="84" spans="1:16" ht="18.25" customHeight="1" outlineLevel="2">
      <c r="B84" s="5" t="s">
        <v>303</v>
      </c>
      <c r="C84" s="38" t="s">
        <v>721</v>
      </c>
      <c r="D84" s="7" t="s">
        <v>17</v>
      </c>
      <c r="E84" s="8">
        <v>0</v>
      </c>
      <c r="F84" s="9">
        <v>0</v>
      </c>
      <c r="G84" s="8">
        <v>0</v>
      </c>
      <c r="H84" s="10">
        <v>0</v>
      </c>
      <c r="I84" s="310">
        <v>0</v>
      </c>
      <c r="J84" s="406">
        <v>0</v>
      </c>
      <c r="K84" s="319">
        <v>0</v>
      </c>
      <c r="L84" s="424">
        <v>0</v>
      </c>
      <c r="M84" s="410">
        <v>0</v>
      </c>
      <c r="N84" s="429"/>
    </row>
    <row r="85" spans="1:16" s="65" customFormat="1" ht="18.25" customHeight="1" outlineLevel="1">
      <c r="A85" s="577"/>
      <c r="B85" s="47" t="s">
        <v>303</v>
      </c>
      <c r="C85" s="61" t="s">
        <v>354</v>
      </c>
      <c r="D85" s="26">
        <v>2</v>
      </c>
      <c r="E85" s="62">
        <v>0</v>
      </c>
      <c r="F85" s="63">
        <v>0</v>
      </c>
      <c r="G85" s="62">
        <v>3</v>
      </c>
      <c r="H85" s="64">
        <v>20947</v>
      </c>
      <c r="I85" s="316">
        <v>1</v>
      </c>
      <c r="J85" s="317">
        <v>1</v>
      </c>
      <c r="K85" s="906">
        <v>0</v>
      </c>
      <c r="L85" s="907">
        <v>0</v>
      </c>
      <c r="M85" s="413">
        <v>0</v>
      </c>
      <c r="N85" s="432">
        <v>0</v>
      </c>
      <c r="O85" s="249" t="s">
        <v>171</v>
      </c>
      <c r="P85" s="249"/>
    </row>
    <row r="86" spans="1:16" ht="18.25" customHeight="1" outlineLevel="2">
      <c r="B86" s="5" t="s">
        <v>303</v>
      </c>
      <c r="C86" s="11" t="s">
        <v>247</v>
      </c>
      <c r="D86" s="7" t="s">
        <v>40</v>
      </c>
      <c r="E86" s="8">
        <v>0</v>
      </c>
      <c r="F86" s="9">
        <v>0</v>
      </c>
      <c r="G86" s="8">
        <v>3</v>
      </c>
      <c r="H86" s="10">
        <v>65994</v>
      </c>
      <c r="I86" s="310">
        <v>1</v>
      </c>
      <c r="J86" s="406">
        <v>1</v>
      </c>
      <c r="K86" s="319">
        <v>1</v>
      </c>
      <c r="L86" s="424"/>
      <c r="M86" s="410">
        <v>1</v>
      </c>
      <c r="N86" s="429"/>
    </row>
    <row r="87" spans="1:16" ht="18.25" customHeight="1" outlineLevel="2">
      <c r="B87" s="5" t="s">
        <v>303</v>
      </c>
      <c r="C87" s="74" t="s">
        <v>728</v>
      </c>
      <c r="D87" s="45"/>
      <c r="E87" s="8">
        <v>0</v>
      </c>
      <c r="F87" s="9">
        <v>0</v>
      </c>
      <c r="G87" s="8">
        <v>0</v>
      </c>
      <c r="H87" s="10">
        <v>0</v>
      </c>
      <c r="I87" s="318"/>
      <c r="J87" s="408"/>
      <c r="K87" s="319"/>
      <c r="L87" s="424"/>
      <c r="M87" s="415"/>
      <c r="N87" s="438"/>
    </row>
    <row r="88" spans="1:16" s="65" customFormat="1" ht="18.25" customHeight="1" outlineLevel="1">
      <c r="A88" s="577"/>
      <c r="B88" s="47" t="s">
        <v>303</v>
      </c>
      <c r="C88" s="61" t="s">
        <v>252</v>
      </c>
      <c r="D88" s="26">
        <v>1</v>
      </c>
      <c r="E88" s="62">
        <v>0</v>
      </c>
      <c r="F88" s="63">
        <v>0</v>
      </c>
      <c r="G88" s="62">
        <v>3</v>
      </c>
      <c r="H88" s="64">
        <v>65994</v>
      </c>
      <c r="I88" s="316">
        <v>1</v>
      </c>
      <c r="J88" s="317">
        <v>1</v>
      </c>
      <c r="K88" s="906">
        <v>1</v>
      </c>
      <c r="L88" s="907">
        <v>0</v>
      </c>
      <c r="M88" s="413">
        <v>1</v>
      </c>
      <c r="N88" s="432">
        <v>0</v>
      </c>
      <c r="O88" s="249" t="s">
        <v>51</v>
      </c>
      <c r="P88" s="249"/>
    </row>
    <row r="89" spans="1:16" ht="18.25" customHeight="1" outlineLevel="2">
      <c r="B89" s="5" t="s">
        <v>303</v>
      </c>
      <c r="C89" s="11" t="s">
        <v>494</v>
      </c>
      <c r="D89" s="7" t="s">
        <v>22</v>
      </c>
      <c r="E89" s="8">
        <v>0</v>
      </c>
      <c r="F89" s="9">
        <v>0</v>
      </c>
      <c r="G89" s="8">
        <v>2</v>
      </c>
      <c r="H89" s="10">
        <v>10131</v>
      </c>
      <c r="I89" s="310">
        <v>1</v>
      </c>
      <c r="J89" s="406">
        <v>0</v>
      </c>
      <c r="K89" s="319">
        <v>0</v>
      </c>
      <c r="L89" s="424"/>
      <c r="M89" s="410">
        <v>0</v>
      </c>
      <c r="N89" s="429"/>
    </row>
    <row r="90" spans="1:16" ht="18.25" customHeight="1" outlineLevel="2">
      <c r="B90" s="5" t="s">
        <v>303</v>
      </c>
      <c r="C90" s="6" t="s">
        <v>926</v>
      </c>
      <c r="D90" s="7" t="s">
        <v>17</v>
      </c>
      <c r="E90" s="8">
        <v>0</v>
      </c>
      <c r="F90" s="9">
        <v>0</v>
      </c>
      <c r="G90" s="8">
        <v>0</v>
      </c>
      <c r="H90" s="10">
        <v>0</v>
      </c>
      <c r="I90" s="310">
        <v>0</v>
      </c>
      <c r="J90" s="406">
        <v>0</v>
      </c>
      <c r="K90" s="319">
        <v>0</v>
      </c>
      <c r="L90" s="424">
        <v>1</v>
      </c>
      <c r="M90" s="410">
        <v>0</v>
      </c>
      <c r="N90" s="429"/>
    </row>
    <row r="91" spans="1:16" ht="18.25" customHeight="1" outlineLevel="2">
      <c r="B91" s="5" t="s">
        <v>303</v>
      </c>
      <c r="C91" s="6" t="s">
        <v>681</v>
      </c>
      <c r="D91" s="7" t="s">
        <v>17</v>
      </c>
      <c r="E91" s="8">
        <v>0</v>
      </c>
      <c r="F91" s="9">
        <v>0</v>
      </c>
      <c r="G91" s="8">
        <v>1</v>
      </c>
      <c r="H91" s="10">
        <v>9824</v>
      </c>
      <c r="I91" s="310">
        <v>1</v>
      </c>
      <c r="J91" s="406">
        <v>0</v>
      </c>
      <c r="K91" s="319">
        <v>0</v>
      </c>
      <c r="L91" s="424">
        <v>0</v>
      </c>
      <c r="M91" s="410">
        <v>0</v>
      </c>
      <c r="N91" s="429"/>
    </row>
    <row r="92" spans="1:16" s="65" customFormat="1" ht="18.25" customHeight="1" outlineLevel="1">
      <c r="A92" s="577"/>
      <c r="B92" s="47" t="s">
        <v>303</v>
      </c>
      <c r="C92" s="61" t="s">
        <v>494</v>
      </c>
      <c r="D92" s="26">
        <v>3</v>
      </c>
      <c r="E92" s="62">
        <v>0</v>
      </c>
      <c r="F92" s="63">
        <v>0</v>
      </c>
      <c r="G92" s="62">
        <v>3</v>
      </c>
      <c r="H92" s="64">
        <v>19955</v>
      </c>
      <c r="I92" s="316">
        <v>2</v>
      </c>
      <c r="J92" s="317">
        <v>0</v>
      </c>
      <c r="K92" s="906">
        <v>0</v>
      </c>
      <c r="L92" s="907">
        <v>1</v>
      </c>
      <c r="M92" s="413">
        <v>0</v>
      </c>
      <c r="N92" s="432">
        <v>0</v>
      </c>
      <c r="O92" s="249" t="s">
        <v>171</v>
      </c>
      <c r="P92" s="249"/>
    </row>
    <row r="93" spans="1:16" ht="18.25" customHeight="1" outlineLevel="2">
      <c r="B93" s="5" t="s">
        <v>303</v>
      </c>
      <c r="C93" s="506" t="s">
        <v>915</v>
      </c>
      <c r="D93" s="23" t="s">
        <v>25</v>
      </c>
      <c r="E93" s="8">
        <v>0</v>
      </c>
      <c r="F93" s="9">
        <v>0</v>
      </c>
      <c r="G93" s="8">
        <v>3</v>
      </c>
      <c r="H93" s="10">
        <v>15723</v>
      </c>
      <c r="I93" s="310">
        <v>1</v>
      </c>
      <c r="J93" s="406">
        <v>0</v>
      </c>
      <c r="K93" s="319">
        <v>0</v>
      </c>
      <c r="L93" s="424"/>
      <c r="M93" s="410">
        <v>0</v>
      </c>
      <c r="N93" s="438"/>
    </row>
    <row r="94" spans="1:16" s="65" customFormat="1" ht="18.25" customHeight="1" outlineLevel="1">
      <c r="A94" s="577"/>
      <c r="B94" s="47" t="s">
        <v>303</v>
      </c>
      <c r="C94" s="61" t="s">
        <v>283</v>
      </c>
      <c r="D94" s="26">
        <v>1</v>
      </c>
      <c r="E94" s="62">
        <v>0</v>
      </c>
      <c r="F94" s="63">
        <v>0</v>
      </c>
      <c r="G94" s="62">
        <v>3</v>
      </c>
      <c r="H94" s="64">
        <v>15723</v>
      </c>
      <c r="I94" s="316">
        <v>1</v>
      </c>
      <c r="J94" s="317">
        <v>0</v>
      </c>
      <c r="K94" s="906">
        <v>0</v>
      </c>
      <c r="L94" s="907">
        <v>0</v>
      </c>
      <c r="M94" s="413">
        <v>0</v>
      </c>
      <c r="N94" s="432">
        <v>0</v>
      </c>
      <c r="O94" s="249" t="s">
        <v>169</v>
      </c>
      <c r="P94" s="249"/>
    </row>
    <row r="95" spans="1:16" s="149" customFormat="1" ht="18.25" customHeight="1">
      <c r="A95" s="575" t="s">
        <v>845</v>
      </c>
      <c r="B95" s="967" t="s">
        <v>305</v>
      </c>
      <c r="C95" s="968"/>
      <c r="D95" s="145">
        <v>42</v>
      </c>
      <c r="E95" s="146">
        <v>2</v>
      </c>
      <c r="F95" s="147">
        <v>21674</v>
      </c>
      <c r="G95" s="146">
        <v>59</v>
      </c>
      <c r="H95" s="148">
        <v>903869</v>
      </c>
      <c r="I95" s="314">
        <v>27</v>
      </c>
      <c r="J95" s="315">
        <v>12</v>
      </c>
      <c r="K95" s="908">
        <v>8</v>
      </c>
      <c r="L95" s="909">
        <v>8</v>
      </c>
      <c r="M95" s="412">
        <v>10</v>
      </c>
      <c r="N95" s="431">
        <v>2</v>
      </c>
      <c r="O95" s="248"/>
      <c r="P95" s="248"/>
    </row>
    <row r="96" spans="1:16" ht="18.25" customHeight="1" outlineLevel="3">
      <c r="A96" s="785"/>
      <c r="B96" s="5" t="s">
        <v>7</v>
      </c>
      <c r="C96" s="545" t="s">
        <v>74</v>
      </c>
      <c r="D96" s="7" t="s">
        <v>239</v>
      </c>
      <c r="E96" s="8">
        <v>0</v>
      </c>
      <c r="F96" s="9">
        <v>0</v>
      </c>
      <c r="G96" s="8">
        <v>0</v>
      </c>
      <c r="H96" s="10">
        <v>0</v>
      </c>
      <c r="I96" s="310">
        <v>0</v>
      </c>
      <c r="J96" s="406">
        <v>0</v>
      </c>
      <c r="K96" s="319">
        <v>0</v>
      </c>
      <c r="L96" s="424"/>
      <c r="M96" s="410">
        <v>0</v>
      </c>
      <c r="N96" s="787" t="s">
        <v>885</v>
      </c>
    </row>
    <row r="97" spans="1:19" s="65" customFormat="1" ht="18.25" customHeight="1" outlineLevel="2">
      <c r="A97" s="786"/>
      <c r="B97" s="47" t="s">
        <v>7</v>
      </c>
      <c r="C97" s="61" t="s">
        <v>75</v>
      </c>
      <c r="D97" s="26">
        <v>1</v>
      </c>
      <c r="E97" s="62">
        <v>0</v>
      </c>
      <c r="F97" s="63">
        <v>0</v>
      </c>
      <c r="G97" s="62">
        <v>0</v>
      </c>
      <c r="H97" s="64">
        <v>0</v>
      </c>
      <c r="I97" s="316">
        <v>0</v>
      </c>
      <c r="J97" s="317">
        <v>0</v>
      </c>
      <c r="K97" s="906">
        <v>0</v>
      </c>
      <c r="L97" s="907">
        <v>0</v>
      </c>
      <c r="M97" s="413">
        <v>0</v>
      </c>
      <c r="N97" s="787" t="s">
        <v>885</v>
      </c>
      <c r="O97" s="249" t="s">
        <v>242</v>
      </c>
      <c r="P97" s="249"/>
    </row>
    <row r="98" spans="1:19" s="1" customFormat="1" ht="18.25" customHeight="1" outlineLevel="3">
      <c r="A98" s="785"/>
      <c r="B98" s="5" t="s">
        <v>185</v>
      </c>
      <c r="C98" s="545" t="s">
        <v>77</v>
      </c>
      <c r="D98" s="7" t="s">
        <v>47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6">
        <v>0</v>
      </c>
      <c r="K98" s="319">
        <v>0</v>
      </c>
      <c r="L98" s="424"/>
      <c r="M98" s="410">
        <v>0</v>
      </c>
      <c r="N98" s="787" t="s">
        <v>885</v>
      </c>
      <c r="Q98"/>
      <c r="R98"/>
      <c r="S98"/>
    </row>
    <row r="99" spans="1:19" s="1" customFormat="1" ht="18.25" customHeight="1" outlineLevel="3">
      <c r="A99" s="785"/>
      <c r="B99" s="5" t="s">
        <v>185</v>
      </c>
      <c r="C99" s="547" t="s">
        <v>78</v>
      </c>
      <c r="D99" s="19" t="s">
        <v>39</v>
      </c>
      <c r="E99" s="8">
        <v>0</v>
      </c>
      <c r="F99" s="9">
        <v>0</v>
      </c>
      <c r="G99" s="8">
        <v>2</v>
      </c>
      <c r="H99" s="10">
        <v>2896</v>
      </c>
      <c r="I99" s="310">
        <v>1</v>
      </c>
      <c r="J99" s="406">
        <v>0</v>
      </c>
      <c r="K99" s="319">
        <v>0</v>
      </c>
      <c r="L99" s="424">
        <v>0</v>
      </c>
      <c r="M99" s="410">
        <v>0</v>
      </c>
      <c r="N99" s="787" t="s">
        <v>885</v>
      </c>
      <c r="Q99"/>
      <c r="R99"/>
      <c r="S99"/>
    </row>
    <row r="100" spans="1:19" s="1" customFormat="1" ht="18.25" customHeight="1" outlineLevel="3">
      <c r="A100" s="785"/>
      <c r="B100" s="5" t="s">
        <v>185</v>
      </c>
      <c r="C100" s="547" t="s">
        <v>541</v>
      </c>
      <c r="D100" s="19" t="s">
        <v>39</v>
      </c>
      <c r="E100" s="8">
        <v>0</v>
      </c>
      <c r="F100" s="9">
        <v>0</v>
      </c>
      <c r="G100" s="8">
        <v>1</v>
      </c>
      <c r="H100" s="10">
        <v>80562</v>
      </c>
      <c r="I100" s="310">
        <v>1</v>
      </c>
      <c r="J100" s="406">
        <v>1</v>
      </c>
      <c r="K100" s="319">
        <v>1</v>
      </c>
      <c r="L100" s="424">
        <v>0</v>
      </c>
      <c r="M100" s="410">
        <v>1</v>
      </c>
      <c r="N100" s="787" t="s">
        <v>885</v>
      </c>
      <c r="Q100"/>
      <c r="R100"/>
      <c r="S100"/>
    </row>
    <row r="101" spans="1:19" s="1" customFormat="1" ht="18.25" customHeight="1" outlineLevel="2">
      <c r="A101" s="785"/>
      <c r="B101" s="12" t="s">
        <v>185</v>
      </c>
      <c r="C101" s="13" t="s">
        <v>79</v>
      </c>
      <c r="D101" s="14">
        <v>3</v>
      </c>
      <c r="E101" s="15">
        <v>0</v>
      </c>
      <c r="F101" s="16">
        <v>0</v>
      </c>
      <c r="G101" s="15">
        <v>3</v>
      </c>
      <c r="H101" s="17">
        <v>83458</v>
      </c>
      <c r="I101" s="311">
        <v>2</v>
      </c>
      <c r="J101" s="312">
        <v>1</v>
      </c>
      <c r="K101" s="906">
        <v>1</v>
      </c>
      <c r="L101" s="907">
        <v>0</v>
      </c>
      <c r="M101" s="411">
        <v>1</v>
      </c>
      <c r="N101" s="787" t="s">
        <v>885</v>
      </c>
      <c r="O101" s="1" t="s">
        <v>51</v>
      </c>
      <c r="Q101"/>
      <c r="R101"/>
      <c r="S101"/>
    </row>
    <row r="102" spans="1:19" s="1" customFormat="1" ht="18.25" customHeight="1" outlineLevel="3">
      <c r="A102" s="785"/>
      <c r="B102" s="5" t="s">
        <v>185</v>
      </c>
      <c r="C102" s="545" t="s">
        <v>496</v>
      </c>
      <c r="D102" s="19" t="s">
        <v>497</v>
      </c>
      <c r="E102" s="8">
        <v>0</v>
      </c>
      <c r="F102" s="9">
        <v>0</v>
      </c>
      <c r="G102" s="8">
        <v>0</v>
      </c>
      <c r="H102" s="10">
        <v>6000</v>
      </c>
      <c r="I102" s="310">
        <v>0</v>
      </c>
      <c r="J102" s="406">
        <v>0</v>
      </c>
      <c r="K102" s="319">
        <v>0</v>
      </c>
      <c r="L102" s="424"/>
      <c r="M102" s="410">
        <v>0</v>
      </c>
      <c r="N102" s="787" t="s">
        <v>885</v>
      </c>
      <c r="Q102"/>
      <c r="R102"/>
      <c r="S102"/>
    </row>
    <row r="103" spans="1:19" s="1" customFormat="1" ht="18.25" customHeight="1" outlineLevel="2">
      <c r="A103" s="785"/>
      <c r="B103" s="12" t="s">
        <v>185</v>
      </c>
      <c r="C103" s="13" t="s">
        <v>496</v>
      </c>
      <c r="D103" s="14">
        <v>1</v>
      </c>
      <c r="E103" s="15">
        <v>0</v>
      </c>
      <c r="F103" s="15">
        <v>0</v>
      </c>
      <c r="G103" s="15">
        <v>0</v>
      </c>
      <c r="H103" s="21">
        <v>6000</v>
      </c>
      <c r="I103" s="311">
        <v>0</v>
      </c>
      <c r="J103" s="312">
        <v>0</v>
      </c>
      <c r="K103" s="906">
        <v>0</v>
      </c>
      <c r="L103" s="907">
        <v>0</v>
      </c>
      <c r="M103" s="411">
        <v>0</v>
      </c>
      <c r="N103" s="787" t="s">
        <v>885</v>
      </c>
      <c r="O103" s="1" t="s">
        <v>355</v>
      </c>
      <c r="Q103"/>
      <c r="R103"/>
      <c r="S103"/>
    </row>
    <row r="104" spans="1:19" s="1" customFormat="1" ht="18.25" customHeight="1" outlineLevel="3">
      <c r="A104" s="785"/>
      <c r="B104" s="5" t="s">
        <v>185</v>
      </c>
      <c r="C104" s="545" t="s">
        <v>80</v>
      </c>
      <c r="D104" s="19" t="s">
        <v>237</v>
      </c>
      <c r="E104" s="8">
        <v>0</v>
      </c>
      <c r="F104" s="9">
        <v>0</v>
      </c>
      <c r="G104" s="8">
        <v>1</v>
      </c>
      <c r="H104" s="10">
        <v>155526</v>
      </c>
      <c r="I104" s="310">
        <v>1</v>
      </c>
      <c r="J104" s="406">
        <v>1</v>
      </c>
      <c r="K104" s="319">
        <v>1</v>
      </c>
      <c r="L104" s="424"/>
      <c r="M104" s="410">
        <v>1</v>
      </c>
      <c r="N104" s="787" t="s">
        <v>885</v>
      </c>
      <c r="Q104"/>
      <c r="R104"/>
      <c r="S104"/>
    </row>
    <row r="105" spans="1:19" s="1" customFormat="1" ht="18.25" customHeight="1" outlineLevel="2">
      <c r="A105" s="785"/>
      <c r="B105" s="12" t="s">
        <v>185</v>
      </c>
      <c r="C105" s="13" t="s">
        <v>80</v>
      </c>
      <c r="D105" s="14">
        <v>1</v>
      </c>
      <c r="E105" s="15">
        <v>0</v>
      </c>
      <c r="F105" s="15">
        <v>0</v>
      </c>
      <c r="G105" s="15">
        <v>1</v>
      </c>
      <c r="H105" s="21">
        <v>155526</v>
      </c>
      <c r="I105" s="311">
        <v>1</v>
      </c>
      <c r="J105" s="312">
        <v>1</v>
      </c>
      <c r="K105" s="906">
        <v>1</v>
      </c>
      <c r="L105" s="907">
        <v>0</v>
      </c>
      <c r="M105" s="411">
        <v>1</v>
      </c>
      <c r="N105" s="787" t="s">
        <v>885</v>
      </c>
      <c r="O105" s="1" t="s">
        <v>669</v>
      </c>
      <c r="Q105"/>
      <c r="R105"/>
      <c r="S105"/>
    </row>
    <row r="106" spans="1:19" s="1" customFormat="1" ht="18.25" customHeight="1" outlineLevel="3">
      <c r="A106" s="785"/>
      <c r="B106" s="5" t="s">
        <v>185</v>
      </c>
      <c r="C106" s="545" t="s">
        <v>91</v>
      </c>
      <c r="D106" s="7" t="s">
        <v>22</v>
      </c>
      <c r="E106" s="8">
        <v>0</v>
      </c>
      <c r="F106" s="9">
        <v>0</v>
      </c>
      <c r="G106" s="8">
        <v>0</v>
      </c>
      <c r="H106" s="10">
        <v>0</v>
      </c>
      <c r="I106" s="310">
        <v>0</v>
      </c>
      <c r="J106" s="406">
        <v>0</v>
      </c>
      <c r="K106" s="319">
        <v>0</v>
      </c>
      <c r="L106" s="424"/>
      <c r="M106" s="410">
        <v>0</v>
      </c>
      <c r="N106" s="787" t="s">
        <v>885</v>
      </c>
      <c r="Q106"/>
      <c r="R106"/>
      <c r="S106"/>
    </row>
    <row r="107" spans="1:19" s="1" customFormat="1" ht="18.25" customHeight="1" outlineLevel="3">
      <c r="A107" s="785"/>
      <c r="B107" s="5" t="s">
        <v>185</v>
      </c>
      <c r="C107" s="545" t="s">
        <v>209</v>
      </c>
      <c r="D107" s="23" t="s">
        <v>17</v>
      </c>
      <c r="E107" s="8">
        <v>0</v>
      </c>
      <c r="F107" s="9">
        <v>0</v>
      </c>
      <c r="G107" s="8">
        <v>2</v>
      </c>
      <c r="H107" s="10">
        <v>17186</v>
      </c>
      <c r="I107" s="310">
        <v>1</v>
      </c>
      <c r="J107" s="406">
        <v>1</v>
      </c>
      <c r="K107" s="319">
        <v>0</v>
      </c>
      <c r="L107" s="424">
        <v>0</v>
      </c>
      <c r="M107" s="410">
        <v>0</v>
      </c>
      <c r="N107" s="787" t="s">
        <v>885</v>
      </c>
      <c r="Q107"/>
      <c r="R107"/>
      <c r="S107"/>
    </row>
    <row r="108" spans="1:19" s="1" customFormat="1" ht="18.25" customHeight="1" outlineLevel="2">
      <c r="A108" s="785"/>
      <c r="B108" s="47" t="s">
        <v>185</v>
      </c>
      <c r="C108" s="13" t="s">
        <v>91</v>
      </c>
      <c r="D108" s="14">
        <v>2</v>
      </c>
      <c r="E108" s="15">
        <v>0</v>
      </c>
      <c r="F108" s="16">
        <v>0</v>
      </c>
      <c r="G108" s="15">
        <v>2</v>
      </c>
      <c r="H108" s="17">
        <v>17186</v>
      </c>
      <c r="I108" s="311">
        <v>1</v>
      </c>
      <c r="J108" s="312">
        <v>1</v>
      </c>
      <c r="K108" s="906">
        <v>0</v>
      </c>
      <c r="L108" s="907">
        <v>0</v>
      </c>
      <c r="M108" s="411">
        <v>0</v>
      </c>
      <c r="N108" s="787" t="s">
        <v>885</v>
      </c>
      <c r="O108" s="1" t="s">
        <v>171</v>
      </c>
      <c r="Q108"/>
      <c r="R108"/>
      <c r="S108"/>
    </row>
    <row r="109" spans="1:19" s="1" customFormat="1" ht="18.25" customHeight="1" outlineLevel="3">
      <c r="A109" s="785"/>
      <c r="B109" s="5" t="s">
        <v>185</v>
      </c>
      <c r="C109" s="545" t="s">
        <v>92</v>
      </c>
      <c r="D109" s="7" t="s">
        <v>22</v>
      </c>
      <c r="E109" s="8">
        <v>0</v>
      </c>
      <c r="F109" s="9">
        <v>0</v>
      </c>
      <c r="G109" s="8">
        <v>2</v>
      </c>
      <c r="H109" s="10">
        <v>22753</v>
      </c>
      <c r="I109" s="310">
        <v>1</v>
      </c>
      <c r="J109" s="406">
        <v>1</v>
      </c>
      <c r="K109" s="319">
        <v>0</v>
      </c>
      <c r="L109" s="424"/>
      <c r="M109" s="410">
        <v>0</v>
      </c>
      <c r="N109" s="787" t="s">
        <v>885</v>
      </c>
      <c r="Q109"/>
      <c r="R109"/>
      <c r="S109"/>
    </row>
    <row r="110" spans="1:19" s="1" customFormat="1" ht="18.25" customHeight="1" outlineLevel="3">
      <c r="A110" s="785"/>
      <c r="B110" s="5" t="s">
        <v>185</v>
      </c>
      <c r="C110" s="545" t="s">
        <v>761</v>
      </c>
      <c r="D110" s="7" t="s">
        <v>17</v>
      </c>
      <c r="E110" s="8">
        <v>0</v>
      </c>
      <c r="F110" s="9">
        <v>0</v>
      </c>
      <c r="G110" s="8">
        <v>0</v>
      </c>
      <c r="H110" s="10">
        <v>0</v>
      </c>
      <c r="I110" s="310">
        <v>0</v>
      </c>
      <c r="J110" s="406">
        <v>0</v>
      </c>
      <c r="K110" s="319">
        <v>0</v>
      </c>
      <c r="L110" s="424">
        <v>1</v>
      </c>
      <c r="M110" s="410">
        <v>0</v>
      </c>
      <c r="N110" s="787" t="s">
        <v>885</v>
      </c>
      <c r="Q110"/>
      <c r="R110"/>
      <c r="S110"/>
    </row>
    <row r="111" spans="1:19" s="1" customFormat="1" ht="18.25" customHeight="1" outlineLevel="3">
      <c r="A111" s="785"/>
      <c r="B111" s="5" t="s">
        <v>185</v>
      </c>
      <c r="C111" s="545" t="s">
        <v>274</v>
      </c>
      <c r="D111" s="7" t="s">
        <v>17</v>
      </c>
      <c r="E111" s="8">
        <v>0</v>
      </c>
      <c r="F111" s="9">
        <v>0</v>
      </c>
      <c r="G111" s="8">
        <v>1</v>
      </c>
      <c r="H111" s="10">
        <v>10880</v>
      </c>
      <c r="I111" s="310">
        <v>1</v>
      </c>
      <c r="J111" s="406">
        <v>1</v>
      </c>
      <c r="K111" s="319">
        <v>0</v>
      </c>
      <c r="L111" s="424">
        <v>0</v>
      </c>
      <c r="M111" s="410">
        <v>0</v>
      </c>
      <c r="N111" s="787" t="s">
        <v>885</v>
      </c>
      <c r="Q111"/>
      <c r="R111"/>
      <c r="S111"/>
    </row>
    <row r="112" spans="1:19" s="1" customFormat="1" ht="18.25" customHeight="1" outlineLevel="2">
      <c r="A112" s="785"/>
      <c r="B112" s="47" t="s">
        <v>185</v>
      </c>
      <c r="C112" s="13" t="s">
        <v>92</v>
      </c>
      <c r="D112" s="14">
        <v>3</v>
      </c>
      <c r="E112" s="15">
        <v>0</v>
      </c>
      <c r="F112" s="16">
        <v>0</v>
      </c>
      <c r="G112" s="15">
        <v>3</v>
      </c>
      <c r="H112" s="17">
        <v>33633</v>
      </c>
      <c r="I112" s="311">
        <v>2</v>
      </c>
      <c r="J112" s="312">
        <v>2</v>
      </c>
      <c r="K112" s="906">
        <v>0</v>
      </c>
      <c r="L112" s="907">
        <v>1</v>
      </c>
      <c r="M112" s="411">
        <v>0</v>
      </c>
      <c r="N112" s="787" t="s">
        <v>885</v>
      </c>
      <c r="O112" s="1" t="s">
        <v>171</v>
      </c>
      <c r="Q112"/>
      <c r="R112"/>
      <c r="S112"/>
    </row>
    <row r="113" spans="1:19" s="1" customFormat="1" ht="18.25" customHeight="1" outlineLevel="3">
      <c r="A113" s="785"/>
      <c r="B113" s="5" t="s">
        <v>185</v>
      </c>
      <c r="C113" s="545" t="s">
        <v>323</v>
      </c>
      <c r="D113" s="7" t="s">
        <v>40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6">
        <v>0</v>
      </c>
      <c r="K113" s="319">
        <v>0</v>
      </c>
      <c r="L113" s="424"/>
      <c r="M113" s="410">
        <v>0</v>
      </c>
      <c r="N113" s="787" t="s">
        <v>885</v>
      </c>
      <c r="Q113"/>
      <c r="R113"/>
      <c r="S113"/>
    </row>
    <row r="114" spans="1:19" s="1" customFormat="1" ht="18.25" customHeight="1" outlineLevel="3">
      <c r="A114" s="785"/>
      <c r="B114" s="5" t="s">
        <v>185</v>
      </c>
      <c r="C114" s="545" t="s">
        <v>266</v>
      </c>
      <c r="D114" s="23" t="s">
        <v>17</v>
      </c>
      <c r="E114" s="8">
        <v>0</v>
      </c>
      <c r="F114" s="9">
        <v>0</v>
      </c>
      <c r="G114" s="8">
        <v>2</v>
      </c>
      <c r="H114" s="10">
        <v>28309</v>
      </c>
      <c r="I114" s="310">
        <v>1</v>
      </c>
      <c r="J114" s="406">
        <v>1</v>
      </c>
      <c r="K114" s="319">
        <v>1</v>
      </c>
      <c r="L114" s="424">
        <v>0</v>
      </c>
      <c r="M114" s="410">
        <v>1</v>
      </c>
      <c r="N114" s="787" t="s">
        <v>885</v>
      </c>
      <c r="Q114"/>
      <c r="R114"/>
      <c r="S114"/>
    </row>
    <row r="115" spans="1:19" s="1" customFormat="1" ht="18.25" customHeight="1" outlineLevel="2">
      <c r="A115" s="785"/>
      <c r="B115" s="47" t="s">
        <v>185</v>
      </c>
      <c r="C115" s="13" t="s">
        <v>323</v>
      </c>
      <c r="D115" s="14">
        <v>2</v>
      </c>
      <c r="E115" s="15">
        <v>0</v>
      </c>
      <c r="F115" s="16">
        <v>0</v>
      </c>
      <c r="G115" s="15">
        <v>2</v>
      </c>
      <c r="H115" s="17">
        <v>28309</v>
      </c>
      <c r="I115" s="311">
        <v>1</v>
      </c>
      <c r="J115" s="312">
        <v>1</v>
      </c>
      <c r="K115" s="906">
        <v>1</v>
      </c>
      <c r="L115" s="907">
        <v>0</v>
      </c>
      <c r="M115" s="411">
        <v>1</v>
      </c>
      <c r="N115" s="787" t="s">
        <v>885</v>
      </c>
      <c r="O115" s="1" t="s">
        <v>51</v>
      </c>
      <c r="Q115"/>
      <c r="R115"/>
      <c r="S115"/>
    </row>
    <row r="116" spans="1:19" ht="18.25" customHeight="1" outlineLevel="3">
      <c r="A116" s="785"/>
      <c r="B116" s="5" t="s">
        <v>185</v>
      </c>
      <c r="C116" s="545" t="s">
        <v>19</v>
      </c>
      <c r="D116" s="7" t="s">
        <v>20</v>
      </c>
      <c r="E116" s="8">
        <v>0</v>
      </c>
      <c r="F116" s="9">
        <v>0</v>
      </c>
      <c r="G116" s="8">
        <v>8</v>
      </c>
      <c r="H116" s="10">
        <v>74871</v>
      </c>
      <c r="I116" s="310">
        <v>1</v>
      </c>
      <c r="J116" s="406">
        <v>1</v>
      </c>
      <c r="K116" s="319">
        <v>1</v>
      </c>
      <c r="L116" s="424"/>
      <c r="M116" s="410">
        <v>1</v>
      </c>
      <c r="N116" s="787" t="s">
        <v>885</v>
      </c>
    </row>
    <row r="117" spans="1:19" ht="18.25" customHeight="1" outlineLevel="3">
      <c r="A117" s="785"/>
      <c r="B117" s="5" t="s">
        <v>185</v>
      </c>
      <c r="C117" s="545" t="s">
        <v>760</v>
      </c>
      <c r="D117" s="7" t="s">
        <v>17</v>
      </c>
      <c r="E117" s="8">
        <v>0</v>
      </c>
      <c r="F117" s="9">
        <v>0</v>
      </c>
      <c r="G117" s="8">
        <v>4</v>
      </c>
      <c r="H117" s="10">
        <v>96226</v>
      </c>
      <c r="I117" s="310">
        <v>1</v>
      </c>
      <c r="J117" s="406">
        <v>1</v>
      </c>
      <c r="K117" s="319">
        <v>1</v>
      </c>
      <c r="L117" s="424">
        <v>1</v>
      </c>
      <c r="M117" s="410">
        <v>1</v>
      </c>
      <c r="N117" s="787" t="s">
        <v>885</v>
      </c>
    </row>
    <row r="118" spans="1:19" ht="18.25" customHeight="1" outlineLevel="3">
      <c r="A118" s="785"/>
      <c r="B118" s="5" t="s">
        <v>185</v>
      </c>
      <c r="C118" s="545" t="s">
        <v>21</v>
      </c>
      <c r="D118" s="7" t="s">
        <v>17</v>
      </c>
      <c r="E118" s="8">
        <v>0</v>
      </c>
      <c r="F118" s="9">
        <v>0</v>
      </c>
      <c r="G118" s="8">
        <v>1</v>
      </c>
      <c r="H118" s="10">
        <v>6808</v>
      </c>
      <c r="I118" s="310">
        <v>1</v>
      </c>
      <c r="J118" s="406">
        <v>0</v>
      </c>
      <c r="K118" s="319">
        <v>0</v>
      </c>
      <c r="L118" s="424">
        <v>0</v>
      </c>
      <c r="M118" s="410">
        <v>0</v>
      </c>
      <c r="N118" s="787" t="s">
        <v>885</v>
      </c>
    </row>
    <row r="119" spans="1:19" s="65" customFormat="1" ht="18.25" customHeight="1" outlineLevel="2">
      <c r="A119" s="786"/>
      <c r="B119" s="47" t="s">
        <v>7</v>
      </c>
      <c r="C119" s="61" t="s">
        <v>19</v>
      </c>
      <c r="D119" s="26">
        <v>3</v>
      </c>
      <c r="E119" s="62">
        <v>0</v>
      </c>
      <c r="F119" s="63">
        <v>0</v>
      </c>
      <c r="G119" s="62">
        <v>13</v>
      </c>
      <c r="H119" s="64">
        <v>177905</v>
      </c>
      <c r="I119" s="316">
        <v>3</v>
      </c>
      <c r="J119" s="317">
        <v>2</v>
      </c>
      <c r="K119" s="906">
        <v>2</v>
      </c>
      <c r="L119" s="907">
        <v>1</v>
      </c>
      <c r="M119" s="413">
        <v>2</v>
      </c>
      <c r="N119" s="787" t="s">
        <v>885</v>
      </c>
      <c r="O119" s="249" t="s">
        <v>169</v>
      </c>
      <c r="P119" s="249"/>
    </row>
    <row r="120" spans="1:19" ht="18.25" customHeight="1" outlineLevel="3">
      <c r="A120" s="785"/>
      <c r="B120" s="5" t="s">
        <v>185</v>
      </c>
      <c r="C120" s="545" t="s">
        <v>254</v>
      </c>
      <c r="D120" s="23" t="s">
        <v>40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6">
        <v>0</v>
      </c>
      <c r="K120" s="319">
        <v>0</v>
      </c>
      <c r="L120" s="424"/>
      <c r="M120" s="410">
        <v>0</v>
      </c>
      <c r="N120" s="787" t="s">
        <v>885</v>
      </c>
    </row>
    <row r="121" spans="1:19" ht="18.25" customHeight="1" outlineLevel="3">
      <c r="A121" s="785"/>
      <c r="B121" s="5" t="s">
        <v>185</v>
      </c>
      <c r="C121" s="545" t="s">
        <v>824</v>
      </c>
      <c r="D121" s="23" t="s">
        <v>17</v>
      </c>
      <c r="E121" s="8">
        <v>0</v>
      </c>
      <c r="F121" s="9">
        <v>0</v>
      </c>
      <c r="G121" s="8">
        <v>7</v>
      </c>
      <c r="H121" s="10">
        <v>109378</v>
      </c>
      <c r="I121" s="310">
        <v>1</v>
      </c>
      <c r="J121" s="406">
        <v>1</v>
      </c>
      <c r="K121" s="319">
        <v>1</v>
      </c>
      <c r="L121" s="424">
        <v>1</v>
      </c>
      <c r="M121" s="410">
        <v>1</v>
      </c>
      <c r="N121" s="787" t="s">
        <v>885</v>
      </c>
    </row>
    <row r="122" spans="1:19" ht="18.25" customHeight="1" outlineLevel="3">
      <c r="A122" s="785"/>
      <c r="B122" s="5" t="s">
        <v>185</v>
      </c>
      <c r="C122" s="545" t="s">
        <v>265</v>
      </c>
      <c r="D122" s="23" t="s">
        <v>17</v>
      </c>
      <c r="E122" s="8">
        <v>0</v>
      </c>
      <c r="F122" s="9">
        <v>0</v>
      </c>
      <c r="G122" s="8">
        <v>9</v>
      </c>
      <c r="H122" s="10">
        <v>333602</v>
      </c>
      <c r="I122" s="310">
        <v>1</v>
      </c>
      <c r="J122" s="406">
        <v>1</v>
      </c>
      <c r="K122" s="319">
        <v>1</v>
      </c>
      <c r="L122" s="424">
        <v>0</v>
      </c>
      <c r="M122" s="410">
        <v>1</v>
      </c>
      <c r="N122" s="787" t="s">
        <v>885</v>
      </c>
    </row>
    <row r="123" spans="1:19" ht="18.25" customHeight="1" outlineLevel="3">
      <c r="A123" s="785"/>
      <c r="B123" s="5" t="s">
        <v>185</v>
      </c>
      <c r="C123" s="545" t="s">
        <v>382</v>
      </c>
      <c r="D123" s="7" t="s">
        <v>17</v>
      </c>
      <c r="E123" s="8">
        <v>0</v>
      </c>
      <c r="F123" s="9">
        <v>0</v>
      </c>
      <c r="G123" s="8">
        <v>1</v>
      </c>
      <c r="H123" s="10">
        <v>9966</v>
      </c>
      <c r="I123" s="310">
        <v>1</v>
      </c>
      <c r="J123" s="406">
        <v>0</v>
      </c>
      <c r="K123" s="319">
        <v>0</v>
      </c>
      <c r="L123" s="424">
        <v>0</v>
      </c>
      <c r="M123" s="410">
        <v>0</v>
      </c>
      <c r="N123" s="787" t="s">
        <v>885</v>
      </c>
    </row>
    <row r="124" spans="1:19" ht="18.25" customHeight="1" outlineLevel="2">
      <c r="A124" s="785"/>
      <c r="B124" s="12" t="s">
        <v>185</v>
      </c>
      <c r="C124" s="13" t="s">
        <v>254</v>
      </c>
      <c r="D124" s="14">
        <v>4</v>
      </c>
      <c r="E124" s="15">
        <v>0</v>
      </c>
      <c r="F124" s="16">
        <v>0</v>
      </c>
      <c r="G124" s="15">
        <v>17</v>
      </c>
      <c r="H124" s="17">
        <v>452946</v>
      </c>
      <c r="I124" s="311">
        <v>3</v>
      </c>
      <c r="J124" s="312">
        <v>2</v>
      </c>
      <c r="K124" s="906">
        <v>2</v>
      </c>
      <c r="L124" s="907">
        <v>1</v>
      </c>
      <c r="M124" s="411">
        <v>2</v>
      </c>
      <c r="N124" s="787" t="s">
        <v>885</v>
      </c>
      <c r="O124" s="1" t="s">
        <v>51</v>
      </c>
    </row>
    <row r="125" spans="1:19" ht="18.25" customHeight="1" outlineLevel="3">
      <c r="A125" s="785"/>
      <c r="B125" s="5" t="s">
        <v>185</v>
      </c>
      <c r="C125" s="545" t="s">
        <v>700</v>
      </c>
      <c r="D125" s="23" t="s">
        <v>237</v>
      </c>
      <c r="E125" s="8">
        <v>0</v>
      </c>
      <c r="F125" s="9">
        <v>0</v>
      </c>
      <c r="G125" s="8">
        <v>3</v>
      </c>
      <c r="H125" s="10">
        <v>17947</v>
      </c>
      <c r="I125" s="310">
        <v>1</v>
      </c>
      <c r="J125" s="406">
        <v>0</v>
      </c>
      <c r="K125" s="319">
        <v>0</v>
      </c>
      <c r="L125" s="424"/>
      <c r="M125" s="410">
        <v>0</v>
      </c>
      <c r="N125" s="787" t="s">
        <v>885</v>
      </c>
    </row>
    <row r="126" spans="1:19" ht="18.25" customHeight="1" outlineLevel="2">
      <c r="A126" s="785"/>
      <c r="B126" s="12" t="s">
        <v>185</v>
      </c>
      <c r="C126" s="13" t="s">
        <v>700</v>
      </c>
      <c r="D126" s="14">
        <v>1</v>
      </c>
      <c r="E126" s="15">
        <v>0</v>
      </c>
      <c r="F126" s="16">
        <v>0</v>
      </c>
      <c r="G126" s="15">
        <v>3</v>
      </c>
      <c r="H126" s="17">
        <v>17947</v>
      </c>
      <c r="I126" s="311">
        <v>1</v>
      </c>
      <c r="J126" s="312">
        <v>0</v>
      </c>
      <c r="K126" s="906">
        <v>0</v>
      </c>
      <c r="L126" s="907">
        <v>0</v>
      </c>
      <c r="M126" s="411">
        <v>0</v>
      </c>
      <c r="N126" s="787" t="s">
        <v>885</v>
      </c>
      <c r="O126" s="1" t="s">
        <v>669</v>
      </c>
    </row>
    <row r="127" spans="1:19" ht="18.25" customHeight="1" outlineLevel="3">
      <c r="A127" s="785"/>
      <c r="B127" s="5" t="s">
        <v>185</v>
      </c>
      <c r="C127" s="545" t="s">
        <v>733</v>
      </c>
      <c r="D127" s="23" t="s">
        <v>189</v>
      </c>
      <c r="E127" s="8">
        <v>1</v>
      </c>
      <c r="F127" s="9">
        <v>11000</v>
      </c>
      <c r="G127" s="8">
        <v>1.5</v>
      </c>
      <c r="H127" s="10">
        <v>19250</v>
      </c>
      <c r="I127" s="310">
        <v>1</v>
      </c>
      <c r="J127" s="406">
        <v>0</v>
      </c>
      <c r="K127" s="319">
        <v>0</v>
      </c>
      <c r="L127" s="424"/>
      <c r="M127" s="410">
        <v>0</v>
      </c>
      <c r="N127" s="787" t="s">
        <v>885</v>
      </c>
    </row>
    <row r="128" spans="1:19" ht="18.25" customHeight="1" outlineLevel="3">
      <c r="A128" s="785"/>
      <c r="B128" s="5" t="s">
        <v>185</v>
      </c>
      <c r="C128" s="545" t="s">
        <v>870</v>
      </c>
      <c r="D128" s="23" t="s">
        <v>17</v>
      </c>
      <c r="E128" s="8">
        <v>0</v>
      </c>
      <c r="F128" s="9">
        <v>0</v>
      </c>
      <c r="G128" s="8">
        <v>4.5</v>
      </c>
      <c r="H128" s="10">
        <v>72029</v>
      </c>
      <c r="I128" s="310">
        <v>1</v>
      </c>
      <c r="J128" s="406">
        <v>1</v>
      </c>
      <c r="K128" s="319">
        <v>1</v>
      </c>
      <c r="L128" s="424">
        <v>1</v>
      </c>
      <c r="M128" s="410">
        <v>1</v>
      </c>
      <c r="N128" s="787" t="s">
        <v>885</v>
      </c>
    </row>
    <row r="129" spans="1:19" s="1" customFormat="1" ht="18.25" customHeight="1" outlineLevel="2">
      <c r="A129" s="785"/>
      <c r="B129" s="12" t="s">
        <v>185</v>
      </c>
      <c r="C129" s="13" t="s">
        <v>733</v>
      </c>
      <c r="D129" s="14">
        <v>2</v>
      </c>
      <c r="E129" s="15">
        <v>1</v>
      </c>
      <c r="F129" s="16">
        <v>11000</v>
      </c>
      <c r="G129" s="15">
        <v>6</v>
      </c>
      <c r="H129" s="17">
        <v>91279</v>
      </c>
      <c r="I129" s="311">
        <v>2</v>
      </c>
      <c r="J129" s="312">
        <v>1</v>
      </c>
      <c r="K129" s="906">
        <v>1</v>
      </c>
      <c r="L129" s="907">
        <v>1</v>
      </c>
      <c r="M129" s="411">
        <v>1</v>
      </c>
      <c r="N129" s="787" t="s">
        <v>885</v>
      </c>
      <c r="O129" s="1" t="s">
        <v>169</v>
      </c>
      <c r="Q129"/>
      <c r="R129"/>
      <c r="S129"/>
    </row>
    <row r="130" spans="1:19" ht="18.25" customHeight="1" outlineLevel="3">
      <c r="A130" s="785"/>
      <c r="B130" s="5" t="s">
        <v>7</v>
      </c>
      <c r="C130" s="545" t="s">
        <v>205</v>
      </c>
      <c r="D130" s="7" t="s">
        <v>369</v>
      </c>
      <c r="E130" s="8">
        <v>0</v>
      </c>
      <c r="F130" s="9">
        <v>0</v>
      </c>
      <c r="G130" s="8">
        <v>1</v>
      </c>
      <c r="H130" s="10">
        <v>12128</v>
      </c>
      <c r="I130" s="310">
        <v>1</v>
      </c>
      <c r="J130" s="406">
        <v>0</v>
      </c>
      <c r="K130" s="319">
        <v>0</v>
      </c>
      <c r="L130" s="424"/>
      <c r="M130" s="410">
        <v>0</v>
      </c>
      <c r="N130" s="787" t="s">
        <v>885</v>
      </c>
    </row>
    <row r="131" spans="1:19" ht="18.25" customHeight="1" outlineLevel="2">
      <c r="A131" s="785"/>
      <c r="B131" s="12" t="s">
        <v>7</v>
      </c>
      <c r="C131" s="13" t="s">
        <v>205</v>
      </c>
      <c r="D131" s="14">
        <v>1</v>
      </c>
      <c r="E131" s="15">
        <v>0</v>
      </c>
      <c r="F131" s="16">
        <v>0</v>
      </c>
      <c r="G131" s="15">
        <v>1</v>
      </c>
      <c r="H131" s="17">
        <v>12128</v>
      </c>
      <c r="I131" s="311">
        <v>1</v>
      </c>
      <c r="J131" s="312">
        <v>0</v>
      </c>
      <c r="K131" s="906">
        <v>0</v>
      </c>
      <c r="L131" s="907">
        <v>0</v>
      </c>
      <c r="M131" s="411">
        <v>0</v>
      </c>
      <c r="N131" s="787" t="s">
        <v>885</v>
      </c>
      <c r="O131" s="1" t="s">
        <v>670</v>
      </c>
    </row>
    <row r="132" spans="1:19" s="1" customFormat="1" ht="18.25" customHeight="1" outlineLevel="3">
      <c r="A132" s="785"/>
      <c r="B132" s="5" t="s">
        <v>7</v>
      </c>
      <c r="C132" s="545" t="s">
        <v>467</v>
      </c>
      <c r="D132" s="7" t="s">
        <v>40</v>
      </c>
      <c r="E132" s="8">
        <v>0</v>
      </c>
      <c r="F132" s="9">
        <v>0</v>
      </c>
      <c r="G132" s="8">
        <v>6</v>
      </c>
      <c r="H132" s="10">
        <v>193840</v>
      </c>
      <c r="I132" s="310">
        <v>1</v>
      </c>
      <c r="J132" s="406">
        <v>1</v>
      </c>
      <c r="K132" s="319">
        <v>1</v>
      </c>
      <c r="L132" s="424"/>
      <c r="M132" s="410">
        <v>1</v>
      </c>
      <c r="N132" s="787" t="s">
        <v>885</v>
      </c>
      <c r="Q132"/>
      <c r="R132"/>
      <c r="S132"/>
    </row>
    <row r="133" spans="1:19" s="1" customFormat="1" ht="18.25" customHeight="1" outlineLevel="3">
      <c r="A133" s="785"/>
      <c r="B133" s="5" t="s">
        <v>7</v>
      </c>
      <c r="C133" s="545" t="s">
        <v>364</v>
      </c>
      <c r="D133" s="23" t="s">
        <v>17</v>
      </c>
      <c r="E133" s="8">
        <v>0</v>
      </c>
      <c r="F133" s="9">
        <v>0</v>
      </c>
      <c r="G133" s="8">
        <v>0</v>
      </c>
      <c r="H133" s="10">
        <v>0</v>
      </c>
      <c r="I133" s="310">
        <v>0</v>
      </c>
      <c r="J133" s="406">
        <v>0</v>
      </c>
      <c r="K133" s="319">
        <v>0</v>
      </c>
      <c r="L133" s="424">
        <v>0</v>
      </c>
      <c r="M133" s="410">
        <v>0</v>
      </c>
      <c r="N133" s="787" t="s">
        <v>885</v>
      </c>
      <c r="Q133"/>
      <c r="R133"/>
      <c r="S133"/>
    </row>
    <row r="134" spans="1:19" s="1" customFormat="1" ht="18.25" customHeight="1" outlineLevel="2">
      <c r="A134" s="785"/>
      <c r="B134" s="12" t="s">
        <v>7</v>
      </c>
      <c r="C134" s="13" t="s">
        <v>466</v>
      </c>
      <c r="D134" s="14">
        <v>2</v>
      </c>
      <c r="E134" s="15">
        <v>0</v>
      </c>
      <c r="F134" s="16">
        <v>0</v>
      </c>
      <c r="G134" s="15">
        <v>6</v>
      </c>
      <c r="H134" s="17">
        <v>193840</v>
      </c>
      <c r="I134" s="311">
        <v>1</v>
      </c>
      <c r="J134" s="312">
        <v>1</v>
      </c>
      <c r="K134" s="906">
        <v>1</v>
      </c>
      <c r="L134" s="907">
        <v>0</v>
      </c>
      <c r="M134" s="411">
        <v>1</v>
      </c>
      <c r="N134" s="787" t="s">
        <v>885</v>
      </c>
      <c r="O134" s="1" t="s">
        <v>51</v>
      </c>
      <c r="Q134"/>
      <c r="R134"/>
      <c r="S134"/>
    </row>
    <row r="135" spans="1:19" s="1" customFormat="1" ht="18.25" customHeight="1" outlineLevel="3">
      <c r="A135" s="785"/>
      <c r="B135" s="5" t="s">
        <v>7</v>
      </c>
      <c r="C135" s="545" t="s">
        <v>117</v>
      </c>
      <c r="D135" s="7" t="s">
        <v>237</v>
      </c>
      <c r="E135" s="8">
        <v>0</v>
      </c>
      <c r="F135" s="9">
        <v>0</v>
      </c>
      <c r="G135" s="8">
        <v>3</v>
      </c>
      <c r="H135" s="10">
        <v>57422</v>
      </c>
      <c r="I135" s="310">
        <v>1</v>
      </c>
      <c r="J135" s="406">
        <v>1</v>
      </c>
      <c r="K135" s="319">
        <v>1</v>
      </c>
      <c r="L135" s="424"/>
      <c r="M135" s="410">
        <v>1</v>
      </c>
      <c r="N135" s="787" t="s">
        <v>885</v>
      </c>
      <c r="Q135"/>
      <c r="R135"/>
      <c r="S135"/>
    </row>
    <row r="136" spans="1:19" s="1" customFormat="1" ht="18.25" customHeight="1" outlineLevel="2">
      <c r="A136" s="785"/>
      <c r="B136" s="12" t="s">
        <v>7</v>
      </c>
      <c r="C136" s="13" t="s">
        <v>117</v>
      </c>
      <c r="D136" s="14">
        <v>1</v>
      </c>
      <c r="E136" s="15">
        <v>0</v>
      </c>
      <c r="F136" s="16">
        <v>0</v>
      </c>
      <c r="G136" s="15">
        <v>3</v>
      </c>
      <c r="H136" s="17">
        <v>57422</v>
      </c>
      <c r="I136" s="311">
        <v>1</v>
      </c>
      <c r="J136" s="312">
        <v>1</v>
      </c>
      <c r="K136" s="906">
        <v>1</v>
      </c>
      <c r="L136" s="907">
        <v>0</v>
      </c>
      <c r="M136" s="411">
        <v>1</v>
      </c>
      <c r="N136" s="787" t="s">
        <v>885</v>
      </c>
      <c r="O136" s="1" t="s">
        <v>669</v>
      </c>
      <c r="Q136"/>
      <c r="R136"/>
      <c r="S136"/>
    </row>
    <row r="137" spans="1:19" s="1" customFormat="1" ht="18.25" customHeight="1" outlineLevel="3">
      <c r="A137" s="785"/>
      <c r="B137" s="5" t="s">
        <v>7</v>
      </c>
      <c r="C137" s="545" t="s">
        <v>346</v>
      </c>
      <c r="D137" s="7" t="s">
        <v>40</v>
      </c>
      <c r="E137" s="8">
        <v>0</v>
      </c>
      <c r="F137" s="9">
        <v>0</v>
      </c>
      <c r="G137" s="8">
        <v>0</v>
      </c>
      <c r="H137" s="10">
        <v>0</v>
      </c>
      <c r="I137" s="310">
        <v>0</v>
      </c>
      <c r="J137" s="406">
        <v>0</v>
      </c>
      <c r="K137" s="319">
        <v>0</v>
      </c>
      <c r="L137" s="424"/>
      <c r="M137" s="410">
        <v>0</v>
      </c>
      <c r="N137" s="787" t="s">
        <v>885</v>
      </c>
      <c r="Q137"/>
      <c r="R137"/>
      <c r="S137"/>
    </row>
    <row r="138" spans="1:19" s="1" customFormat="1" ht="18.25" customHeight="1" outlineLevel="3">
      <c r="A138" s="785"/>
      <c r="B138" s="5" t="s">
        <v>7</v>
      </c>
      <c r="C138" s="545" t="s">
        <v>371</v>
      </c>
      <c r="D138" s="23" t="s">
        <v>17</v>
      </c>
      <c r="E138" s="8">
        <v>0</v>
      </c>
      <c r="F138" s="9">
        <v>0</v>
      </c>
      <c r="G138" s="8">
        <v>1</v>
      </c>
      <c r="H138" s="10">
        <v>69519</v>
      </c>
      <c r="I138" s="310">
        <v>1</v>
      </c>
      <c r="J138" s="406">
        <v>1</v>
      </c>
      <c r="K138" s="319">
        <v>1</v>
      </c>
      <c r="L138" s="424">
        <v>0</v>
      </c>
      <c r="M138" s="410">
        <v>1</v>
      </c>
      <c r="N138" s="787" t="s">
        <v>885</v>
      </c>
      <c r="Q138"/>
      <c r="R138"/>
      <c r="S138"/>
    </row>
    <row r="139" spans="1:19" s="1" customFormat="1" ht="18.25" customHeight="1" outlineLevel="3">
      <c r="A139" s="785"/>
      <c r="B139" s="5" t="s">
        <v>7</v>
      </c>
      <c r="C139" s="545" t="s">
        <v>122</v>
      </c>
      <c r="D139" s="23" t="s">
        <v>17</v>
      </c>
      <c r="E139" s="8">
        <v>1</v>
      </c>
      <c r="F139" s="9">
        <v>106065</v>
      </c>
      <c r="G139" s="8">
        <v>4</v>
      </c>
      <c r="H139" s="10">
        <v>246229</v>
      </c>
      <c r="I139" s="310">
        <v>1</v>
      </c>
      <c r="J139" s="406">
        <v>1</v>
      </c>
      <c r="K139" s="319">
        <v>1</v>
      </c>
      <c r="L139" s="424">
        <v>0</v>
      </c>
      <c r="M139" s="410">
        <v>1</v>
      </c>
      <c r="N139" s="787" t="s">
        <v>885</v>
      </c>
      <c r="Q139"/>
      <c r="R139"/>
      <c r="S139"/>
    </row>
    <row r="140" spans="1:19" s="1" customFormat="1" ht="18.25" customHeight="1" outlineLevel="2">
      <c r="A140" s="785"/>
      <c r="B140" s="12" t="s">
        <v>7</v>
      </c>
      <c r="C140" s="13" t="s">
        <v>347</v>
      </c>
      <c r="D140" s="14">
        <v>3</v>
      </c>
      <c r="E140" s="15">
        <v>1</v>
      </c>
      <c r="F140" s="16">
        <v>106065</v>
      </c>
      <c r="G140" s="15">
        <v>5</v>
      </c>
      <c r="H140" s="17">
        <v>315748</v>
      </c>
      <c r="I140" s="311">
        <v>2</v>
      </c>
      <c r="J140" s="312">
        <v>2</v>
      </c>
      <c r="K140" s="906">
        <v>2</v>
      </c>
      <c r="L140" s="907">
        <v>0</v>
      </c>
      <c r="M140" s="411">
        <v>2</v>
      </c>
      <c r="N140" s="787" t="s">
        <v>885</v>
      </c>
      <c r="O140" s="1" t="s">
        <v>51</v>
      </c>
      <c r="Q140"/>
      <c r="R140"/>
      <c r="S140"/>
    </row>
    <row r="141" spans="1:19" s="1" customFormat="1" ht="18.25" customHeight="1" outlineLevel="2">
      <c r="A141" s="576" t="s">
        <v>885</v>
      </c>
      <c r="B141" s="551" t="s">
        <v>835</v>
      </c>
      <c r="C141" s="552" t="s">
        <v>75</v>
      </c>
      <c r="D141" s="553">
        <v>30</v>
      </c>
      <c r="E141" s="554">
        <v>2</v>
      </c>
      <c r="F141" s="555">
        <v>117065</v>
      </c>
      <c r="G141" s="554">
        <v>65</v>
      </c>
      <c r="H141" s="556">
        <v>1643327</v>
      </c>
      <c r="I141" s="557">
        <v>21</v>
      </c>
      <c r="J141" s="558">
        <v>15</v>
      </c>
      <c r="K141" s="906">
        <v>12</v>
      </c>
      <c r="L141" s="907">
        <v>4</v>
      </c>
      <c r="M141" s="559">
        <v>12</v>
      </c>
      <c r="N141" s="787" t="s">
        <v>885</v>
      </c>
      <c r="Q141"/>
      <c r="R141"/>
      <c r="S141"/>
    </row>
    <row r="142" spans="1:19" ht="18.25" customHeight="1" outlineLevel="3">
      <c r="A142" s="785"/>
      <c r="B142" s="5" t="s">
        <v>7</v>
      </c>
      <c r="C142" s="548" t="s">
        <v>116</v>
      </c>
      <c r="D142" s="19" t="s">
        <v>40</v>
      </c>
      <c r="E142" s="8">
        <v>0</v>
      </c>
      <c r="F142" s="9">
        <v>0</v>
      </c>
      <c r="G142" s="8">
        <v>7</v>
      </c>
      <c r="H142" s="10">
        <v>56881</v>
      </c>
      <c r="I142" s="310">
        <v>1</v>
      </c>
      <c r="J142" s="406">
        <v>1</v>
      </c>
      <c r="K142" s="319">
        <v>1</v>
      </c>
      <c r="L142" s="424"/>
      <c r="M142" s="410">
        <v>1</v>
      </c>
      <c r="N142" s="788" t="s">
        <v>886</v>
      </c>
    </row>
    <row r="143" spans="1:19" ht="18.25" customHeight="1" outlineLevel="3">
      <c r="A143" s="785"/>
      <c r="B143" s="5" t="s">
        <v>7</v>
      </c>
      <c r="C143" s="549" t="s">
        <v>889</v>
      </c>
      <c r="D143" s="7" t="s">
        <v>17</v>
      </c>
      <c r="E143" s="8">
        <v>0</v>
      </c>
      <c r="F143" s="9">
        <v>0</v>
      </c>
      <c r="G143" s="8">
        <v>0</v>
      </c>
      <c r="H143" s="10">
        <v>0</v>
      </c>
      <c r="I143" s="310">
        <v>0</v>
      </c>
      <c r="J143" s="406">
        <v>0</v>
      </c>
      <c r="K143" s="319">
        <v>0</v>
      </c>
      <c r="L143" s="424">
        <v>1</v>
      </c>
      <c r="M143" s="410">
        <v>0</v>
      </c>
      <c r="N143" s="788" t="s">
        <v>856</v>
      </c>
    </row>
    <row r="144" spans="1:19" ht="18.25" customHeight="1" outlineLevel="3">
      <c r="A144" s="785"/>
      <c r="B144" s="5" t="s">
        <v>7</v>
      </c>
      <c r="C144" s="549" t="s">
        <v>800</v>
      </c>
      <c r="D144" s="7" t="s">
        <v>17</v>
      </c>
      <c r="E144" s="8">
        <v>0</v>
      </c>
      <c r="F144" s="9">
        <v>0</v>
      </c>
      <c r="G144" s="8">
        <v>1</v>
      </c>
      <c r="H144" s="10">
        <v>14784</v>
      </c>
      <c r="I144" s="310">
        <v>1</v>
      </c>
      <c r="J144" s="406">
        <v>1</v>
      </c>
      <c r="K144" s="319">
        <v>0</v>
      </c>
      <c r="L144" s="424">
        <v>1</v>
      </c>
      <c r="M144" s="410">
        <v>0</v>
      </c>
      <c r="N144" s="788" t="s">
        <v>886</v>
      </c>
    </row>
    <row r="145" spans="1:19" ht="18.25" customHeight="1" outlineLevel="3">
      <c r="A145" s="785"/>
      <c r="B145" s="5" t="s">
        <v>7</v>
      </c>
      <c r="C145" s="549" t="s">
        <v>770</v>
      </c>
      <c r="D145" s="7" t="s">
        <v>17</v>
      </c>
      <c r="E145" s="8">
        <v>0</v>
      </c>
      <c r="F145" s="9">
        <v>0</v>
      </c>
      <c r="G145" s="8">
        <v>4.5</v>
      </c>
      <c r="H145" s="10">
        <v>10613</v>
      </c>
      <c r="I145" s="310">
        <v>1</v>
      </c>
      <c r="J145" s="406">
        <v>1</v>
      </c>
      <c r="K145" s="319">
        <v>0</v>
      </c>
      <c r="L145" s="424">
        <v>1</v>
      </c>
      <c r="M145" s="410">
        <v>0</v>
      </c>
      <c r="N145" s="788" t="s">
        <v>886</v>
      </c>
    </row>
    <row r="146" spans="1:19" ht="18.25" customHeight="1" outlineLevel="3">
      <c r="A146" s="785"/>
      <c r="B146" s="5" t="s">
        <v>7</v>
      </c>
      <c r="C146" s="549" t="s">
        <v>279</v>
      </c>
      <c r="D146" s="7" t="s">
        <v>17</v>
      </c>
      <c r="E146" s="8">
        <v>0</v>
      </c>
      <c r="F146" s="9">
        <v>0</v>
      </c>
      <c r="G146" s="8">
        <v>0.5</v>
      </c>
      <c r="H146" s="10">
        <v>8171</v>
      </c>
      <c r="I146" s="310">
        <v>1</v>
      </c>
      <c r="J146" s="406">
        <v>0</v>
      </c>
      <c r="K146" s="319">
        <v>0</v>
      </c>
      <c r="L146" s="424">
        <v>0</v>
      </c>
      <c r="M146" s="410">
        <v>0</v>
      </c>
      <c r="N146" s="788" t="s">
        <v>886</v>
      </c>
    </row>
    <row r="147" spans="1:19" s="65" customFormat="1" ht="18.25" customHeight="1" outlineLevel="2">
      <c r="A147" s="786"/>
      <c r="B147" s="47" t="s">
        <v>7</v>
      </c>
      <c r="C147" s="61" t="s">
        <v>116</v>
      </c>
      <c r="D147" s="26">
        <v>5</v>
      </c>
      <c r="E147" s="62">
        <v>0</v>
      </c>
      <c r="F147" s="63">
        <v>0</v>
      </c>
      <c r="G147" s="62">
        <v>13</v>
      </c>
      <c r="H147" s="64">
        <v>90449</v>
      </c>
      <c r="I147" s="316">
        <v>4</v>
      </c>
      <c r="J147" s="317">
        <v>3</v>
      </c>
      <c r="K147" s="906">
        <v>1</v>
      </c>
      <c r="L147" s="907">
        <v>3</v>
      </c>
      <c r="M147" s="413">
        <v>1</v>
      </c>
      <c r="N147" s="788" t="s">
        <v>886</v>
      </c>
      <c r="O147" s="249" t="s">
        <v>51</v>
      </c>
      <c r="P147" s="249"/>
    </row>
    <row r="148" spans="1:19" ht="18.25" customHeight="1" outlineLevel="3">
      <c r="A148" s="785"/>
      <c r="B148" s="5" t="s">
        <v>185</v>
      </c>
      <c r="C148" s="548" t="s">
        <v>115</v>
      </c>
      <c r="D148" s="19" t="s">
        <v>221</v>
      </c>
      <c r="E148" s="8">
        <v>0</v>
      </c>
      <c r="F148" s="9">
        <v>0</v>
      </c>
      <c r="G148" s="8">
        <v>0</v>
      </c>
      <c r="H148" s="10">
        <v>0</v>
      </c>
      <c r="I148" s="310">
        <v>0</v>
      </c>
      <c r="J148" s="406">
        <v>0</v>
      </c>
      <c r="K148" s="319">
        <v>0</v>
      </c>
      <c r="L148" s="424"/>
      <c r="M148" s="410">
        <v>0</v>
      </c>
      <c r="N148" s="788" t="s">
        <v>886</v>
      </c>
    </row>
    <row r="149" spans="1:19" ht="18.25" customHeight="1" outlineLevel="3">
      <c r="A149" s="785"/>
      <c r="B149" s="5" t="s">
        <v>7</v>
      </c>
      <c r="C149" s="549" t="s">
        <v>337</v>
      </c>
      <c r="D149" s="7" t="s">
        <v>17</v>
      </c>
      <c r="E149" s="8">
        <v>3</v>
      </c>
      <c r="F149" s="9">
        <v>45579</v>
      </c>
      <c r="G149" s="8">
        <v>7</v>
      </c>
      <c r="H149" s="10">
        <v>156289</v>
      </c>
      <c r="I149" s="310">
        <v>1</v>
      </c>
      <c r="J149" s="406">
        <v>1</v>
      </c>
      <c r="K149" s="319">
        <v>1</v>
      </c>
      <c r="L149" s="424">
        <v>0</v>
      </c>
      <c r="M149" s="410">
        <v>1</v>
      </c>
      <c r="N149" s="788" t="s">
        <v>886</v>
      </c>
    </row>
    <row r="150" spans="1:19" s="65" customFormat="1" ht="18.25" customHeight="1" outlineLevel="2">
      <c r="A150" s="786"/>
      <c r="B150" s="47" t="s">
        <v>7</v>
      </c>
      <c r="C150" s="61" t="s">
        <v>115</v>
      </c>
      <c r="D150" s="26">
        <v>2</v>
      </c>
      <c r="E150" s="62">
        <v>3</v>
      </c>
      <c r="F150" s="63">
        <v>45579</v>
      </c>
      <c r="G150" s="62">
        <v>7</v>
      </c>
      <c r="H150" s="64">
        <v>156289</v>
      </c>
      <c r="I150" s="316">
        <v>1</v>
      </c>
      <c r="J150" s="407">
        <v>1</v>
      </c>
      <c r="K150" s="319">
        <v>1</v>
      </c>
      <c r="L150" s="424">
        <v>0</v>
      </c>
      <c r="M150" s="414">
        <v>1</v>
      </c>
      <c r="N150" s="788" t="s">
        <v>886</v>
      </c>
      <c r="O150" s="249" t="s">
        <v>51</v>
      </c>
      <c r="P150" s="249"/>
    </row>
    <row r="151" spans="1:19" ht="18.25" customHeight="1" outlineLevel="3">
      <c r="A151" s="785"/>
      <c r="B151" s="5" t="s">
        <v>185</v>
      </c>
      <c r="C151" s="548" t="s">
        <v>562</v>
      </c>
      <c r="D151" s="19" t="s">
        <v>189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6">
        <v>0</v>
      </c>
      <c r="K151" s="319">
        <v>0</v>
      </c>
      <c r="L151" s="424"/>
      <c r="M151" s="410">
        <v>0</v>
      </c>
      <c r="N151" s="788" t="s">
        <v>886</v>
      </c>
    </row>
    <row r="152" spans="1:19" ht="18.25" customHeight="1" outlineLevel="3">
      <c r="A152" s="785"/>
      <c r="B152" s="5" t="s">
        <v>7</v>
      </c>
      <c r="C152" s="549" t="s">
        <v>548</v>
      </c>
      <c r="D152" s="7" t="s">
        <v>17</v>
      </c>
      <c r="E152" s="8">
        <v>0</v>
      </c>
      <c r="F152" s="9">
        <v>0</v>
      </c>
      <c r="G152" s="8">
        <v>2</v>
      </c>
      <c r="H152" s="10">
        <v>14014</v>
      </c>
      <c r="I152" s="310">
        <v>1</v>
      </c>
      <c r="J152" s="406">
        <v>1</v>
      </c>
      <c r="K152" s="319">
        <v>0</v>
      </c>
      <c r="L152" s="424">
        <v>0</v>
      </c>
      <c r="M152" s="410">
        <v>0</v>
      </c>
      <c r="N152" s="788" t="s">
        <v>886</v>
      </c>
    </row>
    <row r="153" spans="1:19" s="65" customFormat="1" ht="18.25" customHeight="1" outlineLevel="2">
      <c r="A153" s="786"/>
      <c r="B153" s="47" t="s">
        <v>7</v>
      </c>
      <c r="C153" s="61" t="s">
        <v>562</v>
      </c>
      <c r="D153" s="26">
        <v>2</v>
      </c>
      <c r="E153" s="62">
        <v>0</v>
      </c>
      <c r="F153" s="63">
        <v>0</v>
      </c>
      <c r="G153" s="62">
        <v>2</v>
      </c>
      <c r="H153" s="64">
        <v>14014</v>
      </c>
      <c r="I153" s="316">
        <v>1</v>
      </c>
      <c r="J153" s="407">
        <v>1</v>
      </c>
      <c r="K153" s="319">
        <v>0</v>
      </c>
      <c r="L153" s="424">
        <v>0</v>
      </c>
      <c r="M153" s="414">
        <v>0</v>
      </c>
      <c r="N153" s="788" t="s">
        <v>886</v>
      </c>
      <c r="O153" s="249" t="s">
        <v>169</v>
      </c>
      <c r="P153" s="249"/>
    </row>
    <row r="154" spans="1:19" s="1" customFormat="1" ht="18.25" customHeight="1" outlineLevel="3">
      <c r="A154" s="785"/>
      <c r="B154" s="5" t="s">
        <v>7</v>
      </c>
      <c r="C154" s="548" t="s">
        <v>561</v>
      </c>
      <c r="D154" s="7" t="s">
        <v>25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6">
        <v>0</v>
      </c>
      <c r="K154" s="319">
        <v>0</v>
      </c>
      <c r="L154" s="424"/>
      <c r="M154" s="410">
        <v>0</v>
      </c>
      <c r="N154" s="788" t="s">
        <v>886</v>
      </c>
      <c r="Q154"/>
      <c r="R154"/>
      <c r="S154"/>
    </row>
    <row r="155" spans="1:19" s="1" customFormat="1" ht="18.25" customHeight="1" outlineLevel="3">
      <c r="A155" s="785"/>
      <c r="B155" s="5" t="s">
        <v>7</v>
      </c>
      <c r="C155" s="548" t="s">
        <v>576</v>
      </c>
      <c r="D155" s="23" t="s">
        <v>17</v>
      </c>
      <c r="E155" s="8">
        <v>0</v>
      </c>
      <c r="F155" s="9">
        <v>0</v>
      </c>
      <c r="G155" s="8">
        <v>1</v>
      </c>
      <c r="H155" s="10">
        <v>2158</v>
      </c>
      <c r="I155" s="310">
        <v>1</v>
      </c>
      <c r="J155" s="406">
        <v>0</v>
      </c>
      <c r="K155" s="319">
        <v>0</v>
      </c>
      <c r="L155" s="424">
        <v>0</v>
      </c>
      <c r="M155" s="410">
        <v>0</v>
      </c>
      <c r="N155" s="788" t="s">
        <v>886</v>
      </c>
      <c r="Q155"/>
      <c r="R155"/>
      <c r="S155"/>
    </row>
    <row r="156" spans="1:19" s="1" customFormat="1" ht="18.25" customHeight="1" outlineLevel="2">
      <c r="A156" s="785"/>
      <c r="B156" s="12" t="s">
        <v>7</v>
      </c>
      <c r="C156" s="13" t="s">
        <v>561</v>
      </c>
      <c r="D156" s="14">
        <v>2</v>
      </c>
      <c r="E156" s="15">
        <v>0</v>
      </c>
      <c r="F156" s="16">
        <v>0</v>
      </c>
      <c r="G156" s="15">
        <v>1</v>
      </c>
      <c r="H156" s="17">
        <v>2158</v>
      </c>
      <c r="I156" s="311">
        <v>1</v>
      </c>
      <c r="J156" s="312">
        <v>0</v>
      </c>
      <c r="K156" s="906">
        <v>0</v>
      </c>
      <c r="L156" s="907">
        <v>0</v>
      </c>
      <c r="M156" s="411">
        <v>0</v>
      </c>
      <c r="N156" s="788" t="s">
        <v>886</v>
      </c>
      <c r="O156" s="1" t="s">
        <v>169</v>
      </c>
      <c r="Q156"/>
      <c r="R156"/>
      <c r="S156"/>
    </row>
    <row r="157" spans="1:19" s="1" customFormat="1" ht="18.25" customHeight="1" outlineLevel="3">
      <c r="A157" s="785"/>
      <c r="B157" s="5" t="s">
        <v>7</v>
      </c>
      <c r="C157" s="548" t="s">
        <v>335</v>
      </c>
      <c r="D157" s="7" t="s">
        <v>25</v>
      </c>
      <c r="E157" s="8">
        <v>0</v>
      </c>
      <c r="F157" s="9">
        <v>0</v>
      </c>
      <c r="G157" s="8">
        <v>1</v>
      </c>
      <c r="H157" s="10">
        <v>9900</v>
      </c>
      <c r="I157" s="310">
        <v>1</v>
      </c>
      <c r="J157" s="406">
        <v>0</v>
      </c>
      <c r="K157" s="319">
        <v>0</v>
      </c>
      <c r="L157" s="424"/>
      <c r="M157" s="410">
        <v>0</v>
      </c>
      <c r="N157" s="788" t="s">
        <v>886</v>
      </c>
      <c r="Q157"/>
      <c r="R157"/>
      <c r="S157"/>
    </row>
    <row r="158" spans="1:19" s="1" customFormat="1" ht="18.25" customHeight="1" outlineLevel="2">
      <c r="A158" s="785"/>
      <c r="B158" s="12" t="s">
        <v>7</v>
      </c>
      <c r="C158" s="13" t="s">
        <v>335</v>
      </c>
      <c r="D158" s="14">
        <v>1</v>
      </c>
      <c r="E158" s="15">
        <v>0</v>
      </c>
      <c r="F158" s="16">
        <v>0</v>
      </c>
      <c r="G158" s="15">
        <v>1</v>
      </c>
      <c r="H158" s="17">
        <v>9900</v>
      </c>
      <c r="I158" s="311">
        <v>1</v>
      </c>
      <c r="J158" s="312">
        <v>0</v>
      </c>
      <c r="K158" s="906">
        <v>0</v>
      </c>
      <c r="L158" s="907">
        <v>0</v>
      </c>
      <c r="M158" s="411">
        <v>0</v>
      </c>
      <c r="N158" s="788" t="s">
        <v>886</v>
      </c>
      <c r="O158" s="1" t="s">
        <v>169</v>
      </c>
      <c r="Q158"/>
      <c r="R158"/>
      <c r="S158"/>
    </row>
    <row r="159" spans="1:19" s="1" customFormat="1" ht="18.25" customHeight="1" outlineLevel="3">
      <c r="A159" s="785"/>
      <c r="B159" s="5" t="s">
        <v>7</v>
      </c>
      <c r="C159" s="549" t="s">
        <v>76</v>
      </c>
      <c r="D159" s="23" t="s">
        <v>25</v>
      </c>
      <c r="E159" s="8">
        <v>0</v>
      </c>
      <c r="F159" s="9">
        <v>0</v>
      </c>
      <c r="G159" s="8">
        <v>9</v>
      </c>
      <c r="H159" s="10">
        <v>131086</v>
      </c>
      <c r="I159" s="310">
        <v>1</v>
      </c>
      <c r="J159" s="406">
        <v>1</v>
      </c>
      <c r="K159" s="319">
        <v>1</v>
      </c>
      <c r="L159" s="424"/>
      <c r="M159" s="410">
        <v>1</v>
      </c>
      <c r="N159" s="788" t="s">
        <v>886</v>
      </c>
      <c r="Q159"/>
      <c r="R159"/>
      <c r="S159"/>
    </row>
    <row r="160" spans="1:19" s="1" customFormat="1" ht="18.25" customHeight="1" outlineLevel="3">
      <c r="A160" s="785"/>
      <c r="B160" s="5" t="s">
        <v>7</v>
      </c>
      <c r="C160" s="549" t="s">
        <v>913</v>
      </c>
      <c r="D160" s="7" t="s">
        <v>17</v>
      </c>
      <c r="E160" s="8">
        <v>0</v>
      </c>
      <c r="F160" s="9">
        <v>0</v>
      </c>
      <c r="G160" s="8">
        <v>2</v>
      </c>
      <c r="H160" s="10">
        <v>28339</v>
      </c>
      <c r="I160" s="310">
        <v>1</v>
      </c>
      <c r="J160" s="406">
        <v>1</v>
      </c>
      <c r="K160" s="319">
        <v>1</v>
      </c>
      <c r="L160" s="424">
        <v>1</v>
      </c>
      <c r="M160" s="410">
        <v>1</v>
      </c>
      <c r="N160" s="788" t="s">
        <v>886</v>
      </c>
      <c r="Q160"/>
      <c r="R160"/>
      <c r="S160"/>
    </row>
    <row r="161" spans="1:19" s="1" customFormat="1" ht="18.25" customHeight="1" outlineLevel="2">
      <c r="A161" s="785"/>
      <c r="B161" s="12" t="s">
        <v>7</v>
      </c>
      <c r="C161" s="13" t="s">
        <v>76</v>
      </c>
      <c r="D161" s="14">
        <v>2</v>
      </c>
      <c r="E161" s="15">
        <v>0</v>
      </c>
      <c r="F161" s="16">
        <v>0</v>
      </c>
      <c r="G161" s="15">
        <v>11</v>
      </c>
      <c r="H161" s="17">
        <v>159425</v>
      </c>
      <c r="I161" s="311">
        <v>2</v>
      </c>
      <c r="J161" s="312">
        <v>2</v>
      </c>
      <c r="K161" s="906">
        <v>2</v>
      </c>
      <c r="L161" s="907">
        <v>1</v>
      </c>
      <c r="M161" s="411">
        <v>2</v>
      </c>
      <c r="N161" s="788" t="s">
        <v>886</v>
      </c>
      <c r="O161" s="1" t="s">
        <v>169</v>
      </c>
      <c r="Q161"/>
      <c r="R161"/>
      <c r="S161"/>
    </row>
    <row r="162" spans="1:19" ht="18.25" customHeight="1" outlineLevel="3">
      <c r="A162" s="785"/>
      <c r="B162" s="5" t="s">
        <v>7</v>
      </c>
      <c r="C162" s="548" t="s">
        <v>797</v>
      </c>
      <c r="D162" s="7" t="s">
        <v>307</v>
      </c>
      <c r="E162" s="8">
        <v>0</v>
      </c>
      <c r="F162" s="9">
        <v>0</v>
      </c>
      <c r="G162" s="8">
        <v>2</v>
      </c>
      <c r="H162" s="10">
        <v>50765</v>
      </c>
      <c r="I162" s="310">
        <v>1</v>
      </c>
      <c r="J162" s="406">
        <v>1</v>
      </c>
      <c r="K162" s="319">
        <v>1</v>
      </c>
      <c r="L162" s="424"/>
      <c r="M162" s="410">
        <v>1</v>
      </c>
      <c r="N162" s="788" t="s">
        <v>886</v>
      </c>
    </row>
    <row r="163" spans="1:19" ht="18.25" customHeight="1" outlineLevel="2">
      <c r="A163" s="785"/>
      <c r="B163" s="12" t="s">
        <v>7</v>
      </c>
      <c r="C163" s="13" t="s">
        <v>797</v>
      </c>
      <c r="D163" s="14">
        <v>1</v>
      </c>
      <c r="E163" s="15">
        <v>0</v>
      </c>
      <c r="F163" s="16">
        <v>0</v>
      </c>
      <c r="G163" s="15">
        <v>2</v>
      </c>
      <c r="H163" s="17">
        <v>50765</v>
      </c>
      <c r="I163" s="311">
        <v>1</v>
      </c>
      <c r="J163" s="312">
        <v>1</v>
      </c>
      <c r="K163" s="906">
        <v>1</v>
      </c>
      <c r="L163" s="907">
        <v>0</v>
      </c>
      <c r="M163" s="411">
        <v>1</v>
      </c>
      <c r="N163" s="788" t="s">
        <v>886</v>
      </c>
      <c r="O163" s="1" t="s">
        <v>670</v>
      </c>
    </row>
    <row r="164" spans="1:19" ht="18.25" customHeight="1" outlineLevel="3">
      <c r="A164" s="785"/>
      <c r="B164" s="5" t="s">
        <v>7</v>
      </c>
      <c r="C164" s="548" t="s">
        <v>113</v>
      </c>
      <c r="D164" s="7" t="s">
        <v>40</v>
      </c>
      <c r="E164" s="8">
        <v>0</v>
      </c>
      <c r="F164" s="9">
        <v>0</v>
      </c>
      <c r="G164" s="8">
        <v>4.5</v>
      </c>
      <c r="H164" s="10">
        <v>29734</v>
      </c>
      <c r="I164" s="310">
        <v>1</v>
      </c>
      <c r="J164" s="406">
        <v>1</v>
      </c>
      <c r="K164" s="319">
        <v>1</v>
      </c>
      <c r="L164" s="424"/>
      <c r="M164" s="410">
        <v>1</v>
      </c>
      <c r="N164" s="788" t="s">
        <v>886</v>
      </c>
    </row>
    <row r="165" spans="1:19" ht="18.25" customHeight="1" outlineLevel="3">
      <c r="A165" s="785"/>
      <c r="B165" s="5" t="s">
        <v>7</v>
      </c>
      <c r="C165" s="548" t="s">
        <v>816</v>
      </c>
      <c r="D165" s="7" t="s">
        <v>17</v>
      </c>
      <c r="E165" s="8">
        <v>0</v>
      </c>
      <c r="F165" s="9">
        <v>0</v>
      </c>
      <c r="G165" s="8">
        <v>1.5</v>
      </c>
      <c r="H165" s="10">
        <v>9284</v>
      </c>
      <c r="I165" s="310">
        <v>1</v>
      </c>
      <c r="J165" s="406">
        <v>0</v>
      </c>
      <c r="K165" s="319">
        <v>0</v>
      </c>
      <c r="L165" s="424">
        <v>1</v>
      </c>
      <c r="M165" s="410">
        <v>0</v>
      </c>
      <c r="N165" s="788" t="s">
        <v>886</v>
      </c>
    </row>
    <row r="166" spans="1:19" s="65" customFormat="1" ht="18.25" customHeight="1" outlineLevel="2">
      <c r="A166" s="786"/>
      <c r="B166" s="47" t="s">
        <v>7</v>
      </c>
      <c r="C166" s="61" t="s">
        <v>113</v>
      </c>
      <c r="D166" s="26">
        <v>2</v>
      </c>
      <c r="E166" s="62">
        <v>0</v>
      </c>
      <c r="F166" s="63">
        <v>0</v>
      </c>
      <c r="G166" s="62">
        <v>6</v>
      </c>
      <c r="H166" s="64">
        <v>39018</v>
      </c>
      <c r="I166" s="316">
        <v>2</v>
      </c>
      <c r="J166" s="317">
        <v>1</v>
      </c>
      <c r="K166" s="906">
        <v>1</v>
      </c>
      <c r="L166" s="907">
        <v>1</v>
      </c>
      <c r="M166" s="413">
        <v>1</v>
      </c>
      <c r="N166" s="788" t="s">
        <v>886</v>
      </c>
      <c r="O166" s="249" t="s">
        <v>51</v>
      </c>
      <c r="P166" s="249"/>
    </row>
    <row r="167" spans="1:19" ht="18.25" customHeight="1" outlineLevel="3">
      <c r="A167" s="785"/>
      <c r="B167" s="5" t="s">
        <v>7</v>
      </c>
      <c r="C167" s="548" t="s">
        <v>261</v>
      </c>
      <c r="D167" s="7" t="s">
        <v>25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6">
        <v>0</v>
      </c>
      <c r="K167" s="319">
        <v>0</v>
      </c>
      <c r="L167" s="424"/>
      <c r="M167" s="410">
        <v>0</v>
      </c>
      <c r="N167" s="788" t="s">
        <v>886</v>
      </c>
    </row>
    <row r="168" spans="1:19" ht="18.25" customHeight="1" outlineLevel="3">
      <c r="A168" s="785"/>
      <c r="B168" s="5" t="s">
        <v>7</v>
      </c>
      <c r="C168" s="548" t="s">
        <v>875</v>
      </c>
      <c r="D168" s="7" t="s">
        <v>17</v>
      </c>
      <c r="E168" s="8">
        <v>0</v>
      </c>
      <c r="F168" s="9">
        <v>0</v>
      </c>
      <c r="G168" s="8">
        <v>7</v>
      </c>
      <c r="H168" s="10">
        <v>111801</v>
      </c>
      <c r="I168" s="310">
        <v>1</v>
      </c>
      <c r="J168" s="406">
        <v>1</v>
      </c>
      <c r="K168" s="319">
        <v>1</v>
      </c>
      <c r="L168" s="424">
        <v>0</v>
      </c>
      <c r="M168" s="410">
        <v>1</v>
      </c>
      <c r="N168" s="788" t="s">
        <v>886</v>
      </c>
    </row>
    <row r="169" spans="1:19" s="65" customFormat="1" ht="18.25" customHeight="1" outlineLevel="2">
      <c r="A169" s="786"/>
      <c r="B169" s="47" t="s">
        <v>7</v>
      </c>
      <c r="C169" s="61" t="s">
        <v>261</v>
      </c>
      <c r="D169" s="26">
        <v>2</v>
      </c>
      <c r="E169" s="62">
        <v>0</v>
      </c>
      <c r="F169" s="63">
        <v>0</v>
      </c>
      <c r="G169" s="62">
        <v>7</v>
      </c>
      <c r="H169" s="64">
        <v>111801</v>
      </c>
      <c r="I169" s="316">
        <v>1</v>
      </c>
      <c r="J169" s="317">
        <v>1</v>
      </c>
      <c r="K169" s="906">
        <v>1</v>
      </c>
      <c r="L169" s="907">
        <v>0</v>
      </c>
      <c r="M169" s="413">
        <v>1</v>
      </c>
      <c r="N169" s="788" t="s">
        <v>886</v>
      </c>
      <c r="O169" s="249" t="s">
        <v>169</v>
      </c>
      <c r="P169" s="249"/>
    </row>
    <row r="170" spans="1:19" ht="18.25" customHeight="1" outlineLevel="3">
      <c r="A170" s="785"/>
      <c r="B170" s="5" t="s">
        <v>7</v>
      </c>
      <c r="C170" s="548" t="s">
        <v>114</v>
      </c>
      <c r="D170" s="7" t="s">
        <v>40</v>
      </c>
      <c r="E170" s="8">
        <v>0</v>
      </c>
      <c r="F170" s="9">
        <v>0</v>
      </c>
      <c r="G170" s="8">
        <v>0</v>
      </c>
      <c r="H170" s="10">
        <v>0</v>
      </c>
      <c r="I170" s="310">
        <v>0</v>
      </c>
      <c r="J170" s="406">
        <v>0</v>
      </c>
      <c r="K170" s="319">
        <v>0</v>
      </c>
      <c r="L170" s="424"/>
      <c r="M170" s="410">
        <v>0</v>
      </c>
      <c r="N170" s="788" t="s">
        <v>886</v>
      </c>
    </row>
    <row r="171" spans="1:19" ht="18.25" customHeight="1" outlineLevel="3">
      <c r="A171" s="785"/>
      <c r="B171" s="5" t="s">
        <v>7</v>
      </c>
      <c r="C171" s="548" t="s">
        <v>515</v>
      </c>
      <c r="D171" s="7" t="s">
        <v>188</v>
      </c>
      <c r="E171" s="8">
        <v>0</v>
      </c>
      <c r="F171" s="9">
        <v>0</v>
      </c>
      <c r="G171" s="8">
        <v>6</v>
      </c>
      <c r="H171" s="10">
        <v>76380</v>
      </c>
      <c r="I171" s="310">
        <v>1</v>
      </c>
      <c r="J171" s="406">
        <v>1</v>
      </c>
      <c r="K171" s="319">
        <v>1</v>
      </c>
      <c r="L171" s="424">
        <v>0</v>
      </c>
      <c r="M171" s="410">
        <v>1</v>
      </c>
      <c r="N171" s="788" t="s">
        <v>886</v>
      </c>
    </row>
    <row r="172" spans="1:19" ht="18.25" customHeight="1" outlineLevel="3">
      <c r="A172" s="785"/>
      <c r="B172" s="5" t="s">
        <v>7</v>
      </c>
      <c r="C172" s="548" t="s">
        <v>246</v>
      </c>
      <c r="D172" s="7" t="s">
        <v>188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6">
        <v>0</v>
      </c>
      <c r="K172" s="319">
        <v>0</v>
      </c>
      <c r="L172" s="424">
        <v>0</v>
      </c>
      <c r="M172" s="410">
        <v>0</v>
      </c>
      <c r="N172" s="788" t="s">
        <v>886</v>
      </c>
    </row>
    <row r="173" spans="1:19" s="65" customFormat="1" ht="18.25" customHeight="1" outlineLevel="2">
      <c r="A173" s="786"/>
      <c r="B173" s="47" t="s">
        <v>7</v>
      </c>
      <c r="C173" s="61" t="s">
        <v>114</v>
      </c>
      <c r="D173" s="26">
        <v>3</v>
      </c>
      <c r="E173" s="62">
        <v>0</v>
      </c>
      <c r="F173" s="63">
        <v>0</v>
      </c>
      <c r="G173" s="62">
        <v>6</v>
      </c>
      <c r="H173" s="64">
        <v>76380</v>
      </c>
      <c r="I173" s="316">
        <v>1</v>
      </c>
      <c r="J173" s="317">
        <v>1</v>
      </c>
      <c r="K173" s="906">
        <v>1</v>
      </c>
      <c r="L173" s="907">
        <v>0</v>
      </c>
      <c r="M173" s="413">
        <v>1</v>
      </c>
      <c r="N173" s="788" t="s">
        <v>886</v>
      </c>
      <c r="O173" s="249" t="s">
        <v>51</v>
      </c>
      <c r="P173" s="249"/>
    </row>
    <row r="174" spans="1:19" ht="18.25" customHeight="1" outlineLevel="3">
      <c r="A174" s="785"/>
      <c r="B174" s="5" t="s">
        <v>7</v>
      </c>
      <c r="C174" s="548" t="s">
        <v>729</v>
      </c>
      <c r="D174" s="7" t="s">
        <v>25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6">
        <v>0</v>
      </c>
      <c r="K174" s="319">
        <v>0</v>
      </c>
      <c r="L174" s="424"/>
      <c r="M174" s="410">
        <v>0</v>
      </c>
      <c r="N174" s="788" t="s">
        <v>886</v>
      </c>
    </row>
    <row r="175" spans="1:19" ht="18.25" customHeight="1" outlineLevel="3">
      <c r="A175" s="785"/>
      <c r="B175" s="5" t="s">
        <v>7</v>
      </c>
      <c r="C175" s="548" t="s">
        <v>718</v>
      </c>
      <c r="D175" s="7" t="s">
        <v>188</v>
      </c>
      <c r="E175" s="8">
        <v>0</v>
      </c>
      <c r="F175" s="9">
        <v>0</v>
      </c>
      <c r="G175" s="8">
        <v>2</v>
      </c>
      <c r="H175" s="10">
        <v>9475</v>
      </c>
      <c r="I175" s="310">
        <v>1</v>
      </c>
      <c r="J175" s="406">
        <v>0</v>
      </c>
      <c r="K175" s="319">
        <v>0</v>
      </c>
      <c r="L175" s="424">
        <v>0</v>
      </c>
      <c r="M175" s="410">
        <v>0</v>
      </c>
      <c r="N175" s="788" t="s">
        <v>886</v>
      </c>
    </row>
    <row r="176" spans="1:19" s="65" customFormat="1" ht="18.25" customHeight="1" outlineLevel="2">
      <c r="A176" s="786"/>
      <c r="B176" s="47" t="s">
        <v>7</v>
      </c>
      <c r="C176" s="61" t="s">
        <v>729</v>
      </c>
      <c r="D176" s="26">
        <v>2</v>
      </c>
      <c r="E176" s="62">
        <v>0</v>
      </c>
      <c r="F176" s="63">
        <v>0</v>
      </c>
      <c r="G176" s="62">
        <v>2</v>
      </c>
      <c r="H176" s="64">
        <v>9475</v>
      </c>
      <c r="I176" s="316">
        <v>1</v>
      </c>
      <c r="J176" s="317">
        <v>0</v>
      </c>
      <c r="K176" s="906">
        <v>0</v>
      </c>
      <c r="L176" s="907">
        <v>0</v>
      </c>
      <c r="M176" s="413">
        <v>0</v>
      </c>
      <c r="N176" s="788" t="s">
        <v>886</v>
      </c>
      <c r="O176" s="249" t="s">
        <v>169</v>
      </c>
      <c r="P176" s="249"/>
    </row>
    <row r="177" spans="1:19" s="1" customFormat="1" ht="18.25" customHeight="1" outlineLevel="3">
      <c r="A177" s="785"/>
      <c r="B177" s="5" t="s">
        <v>7</v>
      </c>
      <c r="C177" s="548" t="s">
        <v>120</v>
      </c>
      <c r="D177" s="7" t="s">
        <v>22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6">
        <v>0</v>
      </c>
      <c r="K177" s="319">
        <v>0</v>
      </c>
      <c r="L177" s="424"/>
      <c r="M177" s="410">
        <v>0</v>
      </c>
      <c r="N177" s="788" t="s">
        <v>886</v>
      </c>
      <c r="Q177"/>
      <c r="R177"/>
      <c r="S177"/>
    </row>
    <row r="178" spans="1:19" s="1" customFormat="1" ht="18.25" customHeight="1" outlineLevel="3">
      <c r="A178" s="785"/>
      <c r="B178" s="5" t="s">
        <v>7</v>
      </c>
      <c r="C178" s="548" t="s">
        <v>121</v>
      </c>
      <c r="D178" s="7" t="s">
        <v>17</v>
      </c>
      <c r="E178" s="8">
        <v>0</v>
      </c>
      <c r="F178" s="9">
        <v>0</v>
      </c>
      <c r="G178" s="8">
        <v>1</v>
      </c>
      <c r="H178" s="10">
        <v>9120</v>
      </c>
      <c r="I178" s="310">
        <v>1</v>
      </c>
      <c r="J178" s="406">
        <v>0</v>
      </c>
      <c r="K178" s="319">
        <v>0</v>
      </c>
      <c r="L178" s="424">
        <v>0</v>
      </c>
      <c r="M178" s="410">
        <v>0</v>
      </c>
      <c r="N178" s="788" t="s">
        <v>886</v>
      </c>
      <c r="Q178"/>
      <c r="R178"/>
      <c r="S178"/>
    </row>
    <row r="179" spans="1:19" s="1" customFormat="1" ht="18.25" customHeight="1" outlineLevel="2">
      <c r="A179" s="785"/>
      <c r="B179" s="12" t="s">
        <v>7</v>
      </c>
      <c r="C179" s="13" t="s">
        <v>120</v>
      </c>
      <c r="D179" s="14">
        <v>2</v>
      </c>
      <c r="E179" s="15">
        <v>0</v>
      </c>
      <c r="F179" s="16">
        <v>0</v>
      </c>
      <c r="G179" s="15">
        <v>1</v>
      </c>
      <c r="H179" s="17">
        <v>9120</v>
      </c>
      <c r="I179" s="311">
        <v>1</v>
      </c>
      <c r="J179" s="312">
        <v>0</v>
      </c>
      <c r="K179" s="906">
        <v>0</v>
      </c>
      <c r="L179" s="907">
        <v>0</v>
      </c>
      <c r="M179" s="411">
        <v>0</v>
      </c>
      <c r="N179" s="788" t="s">
        <v>886</v>
      </c>
      <c r="O179" s="1" t="s">
        <v>171</v>
      </c>
      <c r="Q179"/>
      <c r="R179"/>
      <c r="S179"/>
    </row>
    <row r="180" spans="1:19" s="1" customFormat="1" ht="18.25" customHeight="1" outlineLevel="2">
      <c r="A180" s="576" t="s">
        <v>856</v>
      </c>
      <c r="B180" s="551" t="s">
        <v>836</v>
      </c>
      <c r="C180" s="552" t="s">
        <v>116</v>
      </c>
      <c r="D180" s="553">
        <v>26</v>
      </c>
      <c r="E180" s="554">
        <v>3</v>
      </c>
      <c r="F180" s="555">
        <v>45579</v>
      </c>
      <c r="G180" s="554">
        <v>59</v>
      </c>
      <c r="H180" s="556">
        <v>728794</v>
      </c>
      <c r="I180" s="557">
        <v>17</v>
      </c>
      <c r="J180" s="558">
        <v>11</v>
      </c>
      <c r="K180" s="906">
        <v>8</v>
      </c>
      <c r="L180" s="907">
        <v>5</v>
      </c>
      <c r="M180" s="559">
        <v>8</v>
      </c>
      <c r="N180" s="788" t="s">
        <v>886</v>
      </c>
      <c r="Q180"/>
      <c r="R180"/>
      <c r="S180"/>
    </row>
    <row r="181" spans="1:19" ht="18.25" customHeight="1" outlineLevel="3">
      <c r="A181" s="785"/>
      <c r="B181" s="5" t="s">
        <v>7</v>
      </c>
      <c r="C181" s="546" t="s">
        <v>111</v>
      </c>
      <c r="D181" s="7" t="s">
        <v>40</v>
      </c>
      <c r="E181" s="8">
        <v>0</v>
      </c>
      <c r="F181" s="9">
        <v>0</v>
      </c>
      <c r="G181" s="8">
        <v>3</v>
      </c>
      <c r="H181" s="10">
        <v>21808</v>
      </c>
      <c r="I181" s="310">
        <v>1</v>
      </c>
      <c r="J181" s="406">
        <v>1</v>
      </c>
      <c r="K181" s="319">
        <v>0</v>
      </c>
      <c r="L181" s="424"/>
      <c r="M181" s="410">
        <v>0</v>
      </c>
      <c r="N181" s="789" t="s">
        <v>887</v>
      </c>
    </row>
    <row r="182" spans="1:19" ht="18.25" customHeight="1" outlineLevel="3">
      <c r="A182" s="785"/>
      <c r="B182" s="5" t="s">
        <v>7</v>
      </c>
      <c r="C182" s="546" t="s">
        <v>314</v>
      </c>
      <c r="D182" s="7" t="s">
        <v>27</v>
      </c>
      <c r="E182" s="8">
        <v>0</v>
      </c>
      <c r="F182" s="9">
        <v>0</v>
      </c>
      <c r="G182" s="8">
        <v>0</v>
      </c>
      <c r="H182" s="10">
        <v>0</v>
      </c>
      <c r="I182" s="310">
        <v>0</v>
      </c>
      <c r="J182" s="406">
        <v>0</v>
      </c>
      <c r="K182" s="319">
        <v>0</v>
      </c>
      <c r="L182" s="424">
        <v>0</v>
      </c>
      <c r="M182" s="410">
        <v>0</v>
      </c>
      <c r="N182" s="789" t="s">
        <v>887</v>
      </c>
    </row>
    <row r="183" spans="1:19" ht="18.25" customHeight="1" outlineLevel="3">
      <c r="A183" s="785"/>
      <c r="B183" s="5" t="s">
        <v>7</v>
      </c>
      <c r="C183" s="546" t="s">
        <v>112</v>
      </c>
      <c r="D183" s="7" t="s">
        <v>27</v>
      </c>
      <c r="E183" s="8">
        <v>0</v>
      </c>
      <c r="F183" s="9">
        <v>0</v>
      </c>
      <c r="G183" s="8">
        <v>0</v>
      </c>
      <c r="H183" s="10">
        <v>0</v>
      </c>
      <c r="I183" s="310">
        <v>0</v>
      </c>
      <c r="J183" s="406">
        <v>0</v>
      </c>
      <c r="K183" s="319">
        <v>0</v>
      </c>
      <c r="L183" s="424">
        <v>0</v>
      </c>
      <c r="M183" s="410">
        <v>0</v>
      </c>
      <c r="N183" s="789" t="s">
        <v>887</v>
      </c>
    </row>
    <row r="184" spans="1:19" ht="18.25" customHeight="1" outlineLevel="2">
      <c r="A184" s="785"/>
      <c r="B184" s="12" t="s">
        <v>7</v>
      </c>
      <c r="C184" s="13" t="s">
        <v>111</v>
      </c>
      <c r="D184" s="14">
        <v>3</v>
      </c>
      <c r="E184" s="15">
        <v>0</v>
      </c>
      <c r="F184" s="16">
        <v>0</v>
      </c>
      <c r="G184" s="15">
        <v>3</v>
      </c>
      <c r="H184" s="17">
        <v>21808</v>
      </c>
      <c r="I184" s="311">
        <v>1</v>
      </c>
      <c r="J184" s="312">
        <v>1</v>
      </c>
      <c r="K184" s="906">
        <v>0</v>
      </c>
      <c r="L184" s="907">
        <v>0</v>
      </c>
      <c r="M184" s="411">
        <v>0</v>
      </c>
      <c r="N184" s="789" t="s">
        <v>887</v>
      </c>
      <c r="O184" s="1" t="s">
        <v>51</v>
      </c>
    </row>
    <row r="185" spans="1:19" ht="18.25" customHeight="1" outlineLevel="3">
      <c r="A185" s="785"/>
      <c r="B185" s="5" t="s">
        <v>7</v>
      </c>
      <c r="C185" s="546" t="s">
        <v>119</v>
      </c>
      <c r="D185" s="7" t="s">
        <v>17</v>
      </c>
      <c r="E185" s="8">
        <v>1</v>
      </c>
      <c r="F185" s="9">
        <v>19365</v>
      </c>
      <c r="G185" s="8">
        <v>2</v>
      </c>
      <c r="H185" s="10">
        <v>40287</v>
      </c>
      <c r="I185" s="310">
        <v>1</v>
      </c>
      <c r="J185" s="406">
        <v>1</v>
      </c>
      <c r="K185" s="319">
        <v>1</v>
      </c>
      <c r="L185" s="424">
        <v>0</v>
      </c>
      <c r="M185" s="410">
        <v>1</v>
      </c>
      <c r="N185" s="789" t="s">
        <v>887</v>
      </c>
    </row>
    <row r="186" spans="1:19" ht="18.25" customHeight="1" outlineLevel="3">
      <c r="A186" s="785"/>
      <c r="B186" s="564"/>
      <c r="C186" s="565"/>
      <c r="D186" s="565">
        <v>1</v>
      </c>
      <c r="E186" s="567">
        <v>1</v>
      </c>
      <c r="F186" s="566">
        <v>19365</v>
      </c>
      <c r="G186" s="564">
        <v>2</v>
      </c>
      <c r="H186" s="566">
        <v>40287</v>
      </c>
      <c r="I186" s="564">
        <v>1</v>
      </c>
      <c r="J186" s="20">
        <v>1</v>
      </c>
      <c r="K186" s="911">
        <v>1</v>
      </c>
      <c r="L186" s="912">
        <v>0</v>
      </c>
      <c r="M186" s="20">
        <v>1</v>
      </c>
      <c r="N186" s="789" t="s">
        <v>887</v>
      </c>
    </row>
    <row r="187" spans="1:19" s="1" customFormat="1" ht="18.25" customHeight="1" outlineLevel="3">
      <c r="A187" s="785"/>
      <c r="B187" s="5" t="s">
        <v>7</v>
      </c>
      <c r="C187" s="550" t="s">
        <v>527</v>
      </c>
      <c r="D187" s="23" t="s">
        <v>40</v>
      </c>
      <c r="E187" s="8">
        <v>0</v>
      </c>
      <c r="F187" s="9">
        <v>0</v>
      </c>
      <c r="G187" s="8">
        <v>0</v>
      </c>
      <c r="H187" s="10">
        <v>0</v>
      </c>
      <c r="I187" s="310">
        <v>0</v>
      </c>
      <c r="J187" s="406">
        <v>0</v>
      </c>
      <c r="K187" s="319">
        <v>0</v>
      </c>
      <c r="L187" s="424"/>
      <c r="M187" s="410">
        <v>0</v>
      </c>
      <c r="N187" s="789" t="s">
        <v>887</v>
      </c>
      <c r="Q187"/>
      <c r="R187"/>
      <c r="S187"/>
    </row>
    <row r="188" spans="1:19" s="1" customFormat="1" ht="18.25" customHeight="1" outlineLevel="3">
      <c r="A188" s="785"/>
      <c r="B188" s="41" t="s">
        <v>7</v>
      </c>
      <c r="C188" s="546" t="s">
        <v>763</v>
      </c>
      <c r="D188" s="23" t="s">
        <v>188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6">
        <v>0</v>
      </c>
      <c r="K188" s="319">
        <v>0</v>
      </c>
      <c r="L188" s="424">
        <v>1</v>
      </c>
      <c r="M188" s="410">
        <v>0</v>
      </c>
      <c r="N188" s="789" t="s">
        <v>887</v>
      </c>
      <c r="Q188"/>
      <c r="R188"/>
      <c r="S188"/>
    </row>
    <row r="189" spans="1:19" s="1" customFormat="1" ht="18.25" customHeight="1" outlineLevel="3">
      <c r="A189" s="785"/>
      <c r="B189" s="41" t="s">
        <v>7</v>
      </c>
      <c r="C189" s="546" t="s">
        <v>529</v>
      </c>
      <c r="D189" s="23" t="s">
        <v>188</v>
      </c>
      <c r="E189" s="8">
        <v>0</v>
      </c>
      <c r="F189" s="9">
        <v>0</v>
      </c>
      <c r="G189" s="8">
        <v>4</v>
      </c>
      <c r="H189" s="10">
        <v>56003</v>
      </c>
      <c r="I189" s="310">
        <v>1</v>
      </c>
      <c r="J189" s="406">
        <v>1</v>
      </c>
      <c r="K189" s="319">
        <v>1</v>
      </c>
      <c r="L189" s="424">
        <v>0</v>
      </c>
      <c r="M189" s="410">
        <v>1</v>
      </c>
      <c r="N189" s="789" t="s">
        <v>887</v>
      </c>
      <c r="Q189"/>
      <c r="R189"/>
      <c r="S189"/>
    </row>
    <row r="190" spans="1:19" s="1" customFormat="1" ht="18.25" customHeight="1" outlineLevel="2">
      <c r="A190" s="785"/>
      <c r="B190" s="12" t="s">
        <v>7</v>
      </c>
      <c r="C190" s="13" t="s">
        <v>528</v>
      </c>
      <c r="D190" s="14">
        <v>3</v>
      </c>
      <c r="E190" s="15">
        <v>0</v>
      </c>
      <c r="F190" s="16">
        <v>0</v>
      </c>
      <c r="G190" s="15">
        <v>4</v>
      </c>
      <c r="H190" s="17">
        <v>56003</v>
      </c>
      <c r="I190" s="311">
        <v>1</v>
      </c>
      <c r="J190" s="312">
        <v>1</v>
      </c>
      <c r="K190" s="906">
        <v>1</v>
      </c>
      <c r="L190" s="907">
        <v>1</v>
      </c>
      <c r="M190" s="411">
        <v>1</v>
      </c>
      <c r="N190" s="789" t="s">
        <v>887</v>
      </c>
      <c r="O190" s="1" t="s">
        <v>51</v>
      </c>
      <c r="Q190"/>
      <c r="R190"/>
      <c r="S190"/>
    </row>
    <row r="191" spans="1:19" s="1" customFormat="1" ht="18.25" customHeight="1" outlineLevel="3">
      <c r="A191" s="785"/>
      <c r="B191" s="5" t="s">
        <v>7</v>
      </c>
      <c r="C191" s="546" t="s">
        <v>108</v>
      </c>
      <c r="D191" s="7" t="s">
        <v>40</v>
      </c>
      <c r="E191" s="8">
        <v>0</v>
      </c>
      <c r="F191" s="9">
        <v>0</v>
      </c>
      <c r="G191" s="8">
        <v>0</v>
      </c>
      <c r="H191" s="10">
        <v>0</v>
      </c>
      <c r="I191" s="310">
        <v>0</v>
      </c>
      <c r="J191" s="406">
        <v>0</v>
      </c>
      <c r="K191" s="319">
        <v>0</v>
      </c>
      <c r="L191" s="424"/>
      <c r="M191" s="410">
        <v>0</v>
      </c>
      <c r="N191" s="789" t="s">
        <v>887</v>
      </c>
      <c r="Q191"/>
      <c r="R191"/>
      <c r="S191"/>
    </row>
    <row r="192" spans="1:19" s="1" customFormat="1" ht="18.25" customHeight="1" outlineLevel="2">
      <c r="A192" s="785"/>
      <c r="B192" s="12" t="s">
        <v>7</v>
      </c>
      <c r="C192" s="13" t="s">
        <v>110</v>
      </c>
      <c r="D192" s="14">
        <v>1</v>
      </c>
      <c r="E192" s="15">
        <v>0</v>
      </c>
      <c r="F192" s="16">
        <v>0</v>
      </c>
      <c r="G192" s="15">
        <v>0</v>
      </c>
      <c r="H192" s="17">
        <v>0</v>
      </c>
      <c r="I192" s="311">
        <v>0</v>
      </c>
      <c r="J192" s="312">
        <v>0</v>
      </c>
      <c r="K192" s="906">
        <v>0</v>
      </c>
      <c r="L192" s="907">
        <v>0</v>
      </c>
      <c r="M192" s="411">
        <v>0</v>
      </c>
      <c r="N192" s="789" t="s">
        <v>887</v>
      </c>
      <c r="O192" s="1" t="s">
        <v>51</v>
      </c>
      <c r="Q192"/>
      <c r="R192"/>
      <c r="S192"/>
    </row>
    <row r="193" spans="1:19" s="1" customFormat="1" ht="18.25" customHeight="1" outlineLevel="3">
      <c r="A193" s="785"/>
      <c r="B193" s="5" t="s">
        <v>7</v>
      </c>
      <c r="C193" s="546" t="s">
        <v>211</v>
      </c>
      <c r="D193" s="7" t="s">
        <v>221</v>
      </c>
      <c r="E193" s="8">
        <v>0</v>
      </c>
      <c r="F193" s="9">
        <v>0</v>
      </c>
      <c r="G193" s="8">
        <v>2</v>
      </c>
      <c r="H193" s="10">
        <v>81915</v>
      </c>
      <c r="I193" s="310">
        <v>1</v>
      </c>
      <c r="J193" s="406">
        <v>1</v>
      </c>
      <c r="K193" s="319">
        <v>1</v>
      </c>
      <c r="L193" s="424"/>
      <c r="M193" s="410">
        <v>1</v>
      </c>
      <c r="N193" s="789" t="s">
        <v>887</v>
      </c>
      <c r="Q193"/>
      <c r="R193"/>
      <c r="S193"/>
    </row>
    <row r="194" spans="1:19" s="1" customFormat="1" ht="18.25" customHeight="1" outlineLevel="3">
      <c r="A194" s="785"/>
      <c r="B194" s="5" t="s">
        <v>7</v>
      </c>
      <c r="C194" s="546" t="s">
        <v>300</v>
      </c>
      <c r="D194" s="7" t="s">
        <v>17</v>
      </c>
      <c r="E194" s="8">
        <v>0</v>
      </c>
      <c r="F194" s="9">
        <v>0</v>
      </c>
      <c r="G194" s="8">
        <v>0</v>
      </c>
      <c r="H194" s="10">
        <v>0</v>
      </c>
      <c r="I194" s="310">
        <v>0</v>
      </c>
      <c r="J194" s="406">
        <v>0</v>
      </c>
      <c r="K194" s="319">
        <v>0</v>
      </c>
      <c r="L194" s="424">
        <v>0</v>
      </c>
      <c r="M194" s="410">
        <v>0</v>
      </c>
      <c r="N194" s="789" t="s">
        <v>855</v>
      </c>
      <c r="Q194"/>
      <c r="R194"/>
      <c r="S194"/>
    </row>
    <row r="195" spans="1:19" s="1" customFormat="1" ht="18.25" customHeight="1" outlineLevel="3">
      <c r="A195" s="785"/>
      <c r="B195" s="5" t="s">
        <v>7</v>
      </c>
      <c r="C195" s="546" t="s">
        <v>109</v>
      </c>
      <c r="D195" s="7" t="s">
        <v>17</v>
      </c>
      <c r="E195" s="8">
        <v>0</v>
      </c>
      <c r="F195" s="9">
        <v>0</v>
      </c>
      <c r="G195" s="8">
        <v>1</v>
      </c>
      <c r="H195" s="10">
        <v>60529</v>
      </c>
      <c r="I195" s="310">
        <v>1</v>
      </c>
      <c r="J195" s="406">
        <v>1</v>
      </c>
      <c r="K195" s="319">
        <v>1</v>
      </c>
      <c r="L195" s="424">
        <v>0</v>
      </c>
      <c r="M195" s="410">
        <v>1</v>
      </c>
      <c r="N195" s="789" t="s">
        <v>855</v>
      </c>
      <c r="Q195"/>
      <c r="R195"/>
      <c r="S195"/>
    </row>
    <row r="196" spans="1:19" s="1" customFormat="1" ht="18.25" customHeight="1" outlineLevel="3">
      <c r="A196" s="785"/>
      <c r="B196" s="5" t="s">
        <v>7</v>
      </c>
      <c r="C196" s="546" t="s">
        <v>284</v>
      </c>
      <c r="D196" s="7" t="s">
        <v>27</v>
      </c>
      <c r="E196" s="8">
        <v>0</v>
      </c>
      <c r="F196" s="9">
        <v>0</v>
      </c>
      <c r="G196" s="8">
        <v>1</v>
      </c>
      <c r="H196" s="10">
        <v>4358</v>
      </c>
      <c r="I196" s="310">
        <v>1</v>
      </c>
      <c r="J196" s="406">
        <v>0</v>
      </c>
      <c r="K196" s="319">
        <v>0</v>
      </c>
      <c r="L196" s="424">
        <v>0</v>
      </c>
      <c r="M196" s="410">
        <v>0</v>
      </c>
      <c r="N196" s="789" t="s">
        <v>887</v>
      </c>
      <c r="Q196"/>
      <c r="R196"/>
      <c r="S196"/>
    </row>
    <row r="197" spans="1:19" s="1" customFormat="1" ht="18.25" customHeight="1" outlineLevel="3">
      <c r="A197" s="785"/>
      <c r="B197" s="5" t="s">
        <v>7</v>
      </c>
      <c r="C197" s="546" t="s">
        <v>625</v>
      </c>
      <c r="D197" s="7" t="s">
        <v>27</v>
      </c>
      <c r="E197" s="8">
        <v>0</v>
      </c>
      <c r="F197" s="9">
        <v>0</v>
      </c>
      <c r="G197" s="8">
        <v>0</v>
      </c>
      <c r="H197" s="10">
        <v>0</v>
      </c>
      <c r="I197" s="310">
        <v>0</v>
      </c>
      <c r="J197" s="406">
        <v>0</v>
      </c>
      <c r="K197" s="319">
        <v>0</v>
      </c>
      <c r="L197" s="424">
        <v>0</v>
      </c>
      <c r="M197" s="410">
        <v>0</v>
      </c>
      <c r="N197" s="789" t="s">
        <v>887</v>
      </c>
      <c r="Q197"/>
      <c r="R197"/>
      <c r="S197"/>
    </row>
    <row r="198" spans="1:19" s="1" customFormat="1" ht="18.25" customHeight="1" outlineLevel="2">
      <c r="A198" s="785"/>
      <c r="B198" s="12" t="s">
        <v>7</v>
      </c>
      <c r="C198" s="13" t="s">
        <v>211</v>
      </c>
      <c r="D198" s="14">
        <v>5</v>
      </c>
      <c r="E198" s="15">
        <v>0</v>
      </c>
      <c r="F198" s="16">
        <v>0</v>
      </c>
      <c r="G198" s="15">
        <v>4</v>
      </c>
      <c r="H198" s="17">
        <v>146802</v>
      </c>
      <c r="I198" s="311">
        <v>3</v>
      </c>
      <c r="J198" s="312">
        <v>2</v>
      </c>
      <c r="K198" s="906">
        <v>2</v>
      </c>
      <c r="L198" s="907">
        <v>0</v>
      </c>
      <c r="M198" s="411">
        <v>2</v>
      </c>
      <c r="N198" s="789" t="s">
        <v>887</v>
      </c>
      <c r="O198" s="1" t="s">
        <v>51</v>
      </c>
      <c r="Q198"/>
      <c r="R198"/>
      <c r="S198"/>
    </row>
    <row r="199" spans="1:19" s="1" customFormat="1" ht="18.25" customHeight="1" outlineLevel="3">
      <c r="A199" s="785"/>
      <c r="B199" s="5" t="s">
        <v>7</v>
      </c>
      <c r="C199" s="546" t="s">
        <v>212</v>
      </c>
      <c r="D199" s="7" t="s">
        <v>40</v>
      </c>
      <c r="E199" s="8">
        <v>0</v>
      </c>
      <c r="F199" s="9">
        <v>0</v>
      </c>
      <c r="G199" s="8">
        <v>1</v>
      </c>
      <c r="H199" s="10">
        <v>30742</v>
      </c>
      <c r="I199" s="310">
        <v>1</v>
      </c>
      <c r="J199" s="406">
        <v>1</v>
      </c>
      <c r="K199" s="319">
        <v>1</v>
      </c>
      <c r="L199" s="424"/>
      <c r="M199" s="410">
        <v>1</v>
      </c>
      <c r="N199" s="789" t="s">
        <v>887</v>
      </c>
      <c r="Q199"/>
      <c r="R199"/>
      <c r="S199"/>
    </row>
    <row r="200" spans="1:19" ht="18.25" customHeight="1" outlineLevel="3">
      <c r="A200" s="785"/>
      <c r="B200" s="5" t="s">
        <v>7</v>
      </c>
      <c r="C200" s="546" t="s">
        <v>805</v>
      </c>
      <c r="D200" s="7" t="s">
        <v>17</v>
      </c>
      <c r="E200" s="8">
        <v>0</v>
      </c>
      <c r="F200" s="9">
        <v>0</v>
      </c>
      <c r="G200" s="8">
        <v>2</v>
      </c>
      <c r="H200" s="10">
        <v>33756</v>
      </c>
      <c r="I200" s="310">
        <v>1</v>
      </c>
      <c r="J200" s="406">
        <v>1</v>
      </c>
      <c r="K200" s="319">
        <v>1</v>
      </c>
      <c r="L200" s="424">
        <v>0</v>
      </c>
      <c r="M200" s="410">
        <v>1</v>
      </c>
      <c r="N200" s="789" t="s">
        <v>887</v>
      </c>
    </row>
    <row r="201" spans="1:19" ht="18.25" customHeight="1" outlineLevel="3">
      <c r="A201" s="785"/>
      <c r="B201" s="5" t="s">
        <v>7</v>
      </c>
      <c r="C201" s="546" t="s">
        <v>315</v>
      </c>
      <c r="D201" s="7" t="s">
        <v>17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6">
        <v>0</v>
      </c>
      <c r="K201" s="319">
        <v>0</v>
      </c>
      <c r="L201" s="424">
        <v>0</v>
      </c>
      <c r="M201" s="410">
        <v>0</v>
      </c>
      <c r="N201" s="789" t="s">
        <v>887</v>
      </c>
    </row>
    <row r="202" spans="1:19" ht="18.25" customHeight="1" outlineLevel="3">
      <c r="A202" s="785"/>
      <c r="B202" s="5" t="s">
        <v>7</v>
      </c>
      <c r="C202" s="546" t="s">
        <v>245</v>
      </c>
      <c r="D202" s="7" t="s">
        <v>17</v>
      </c>
      <c r="E202" s="8">
        <v>0</v>
      </c>
      <c r="F202" s="9">
        <v>0</v>
      </c>
      <c r="G202" s="8">
        <v>0</v>
      </c>
      <c r="H202" s="10">
        <v>0</v>
      </c>
      <c r="I202" s="310">
        <v>0</v>
      </c>
      <c r="J202" s="406">
        <v>0</v>
      </c>
      <c r="K202" s="319">
        <v>0</v>
      </c>
      <c r="L202" s="424">
        <v>0</v>
      </c>
      <c r="M202" s="410">
        <v>0</v>
      </c>
      <c r="N202" s="789" t="s">
        <v>887</v>
      </c>
    </row>
    <row r="203" spans="1:19" s="65" customFormat="1" ht="18.25" customHeight="1" outlineLevel="2">
      <c r="A203" s="786"/>
      <c r="B203" s="47" t="s">
        <v>7</v>
      </c>
      <c r="C203" s="61" t="s">
        <v>212</v>
      </c>
      <c r="D203" s="26">
        <v>4</v>
      </c>
      <c r="E203" s="62">
        <v>0</v>
      </c>
      <c r="F203" s="63">
        <v>0</v>
      </c>
      <c r="G203" s="62">
        <v>3</v>
      </c>
      <c r="H203" s="64">
        <v>64498</v>
      </c>
      <c r="I203" s="316">
        <v>2</v>
      </c>
      <c r="J203" s="317">
        <v>2</v>
      </c>
      <c r="K203" s="906">
        <v>2</v>
      </c>
      <c r="L203" s="907">
        <v>0</v>
      </c>
      <c r="M203" s="413">
        <v>2</v>
      </c>
      <c r="N203" s="789" t="s">
        <v>887</v>
      </c>
      <c r="O203" s="249" t="s">
        <v>51</v>
      </c>
      <c r="P203" s="249"/>
    </row>
    <row r="204" spans="1:19" ht="18.25" customHeight="1" outlineLevel="3">
      <c r="A204" s="785"/>
      <c r="B204" s="5" t="s">
        <v>7</v>
      </c>
      <c r="C204" s="546" t="s">
        <v>375</v>
      </c>
      <c r="D204" s="7" t="s">
        <v>25</v>
      </c>
      <c r="E204" s="8">
        <v>0</v>
      </c>
      <c r="F204" s="9">
        <v>0</v>
      </c>
      <c r="G204" s="8">
        <v>5</v>
      </c>
      <c r="H204" s="10">
        <v>136692</v>
      </c>
      <c r="I204" s="310">
        <v>1</v>
      </c>
      <c r="J204" s="406">
        <v>1</v>
      </c>
      <c r="K204" s="319">
        <v>1</v>
      </c>
      <c r="L204" s="424"/>
      <c r="M204" s="410">
        <v>1</v>
      </c>
      <c r="N204" s="789" t="s">
        <v>887</v>
      </c>
    </row>
    <row r="205" spans="1:19" ht="18.25" customHeight="1" outlineLevel="3">
      <c r="A205" s="785"/>
      <c r="B205" s="5" t="s">
        <v>7</v>
      </c>
      <c r="C205" s="546" t="s">
        <v>756</v>
      </c>
      <c r="D205" s="7" t="s">
        <v>17</v>
      </c>
      <c r="E205" s="8">
        <v>0</v>
      </c>
      <c r="F205" s="9">
        <v>0</v>
      </c>
      <c r="G205" s="8">
        <v>3</v>
      </c>
      <c r="H205" s="10">
        <v>17621</v>
      </c>
      <c r="I205" s="310">
        <v>1</v>
      </c>
      <c r="J205" s="406">
        <v>1</v>
      </c>
      <c r="K205" s="319">
        <v>0</v>
      </c>
      <c r="L205" s="424">
        <v>1</v>
      </c>
      <c r="M205" s="410">
        <v>1</v>
      </c>
      <c r="N205" s="789" t="s">
        <v>887</v>
      </c>
    </row>
    <row r="206" spans="1:19" s="65" customFormat="1" ht="18.25" customHeight="1" outlineLevel="2">
      <c r="A206" s="786"/>
      <c r="B206" s="47" t="s">
        <v>7</v>
      </c>
      <c r="C206" s="61" t="s">
        <v>375</v>
      </c>
      <c r="D206" s="26">
        <v>2</v>
      </c>
      <c r="E206" s="62">
        <v>0</v>
      </c>
      <c r="F206" s="63">
        <v>0</v>
      </c>
      <c r="G206" s="62">
        <v>8</v>
      </c>
      <c r="H206" s="64">
        <v>154313</v>
      </c>
      <c r="I206" s="316">
        <v>2</v>
      </c>
      <c r="J206" s="317">
        <v>2</v>
      </c>
      <c r="K206" s="906">
        <v>1</v>
      </c>
      <c r="L206" s="907">
        <v>1</v>
      </c>
      <c r="M206" s="413">
        <v>2</v>
      </c>
      <c r="N206" s="789" t="s">
        <v>887</v>
      </c>
      <c r="O206" s="249" t="s">
        <v>169</v>
      </c>
      <c r="P206" s="249"/>
    </row>
    <row r="207" spans="1:19" ht="18.25" customHeight="1" outlineLevel="3">
      <c r="A207" s="785"/>
      <c r="B207" s="5" t="s">
        <v>7</v>
      </c>
      <c r="C207" s="546" t="s">
        <v>198</v>
      </c>
      <c r="D207" s="7" t="s">
        <v>22</v>
      </c>
      <c r="E207" s="8">
        <v>0</v>
      </c>
      <c r="F207" s="9">
        <v>0</v>
      </c>
      <c r="G207" s="8">
        <v>1.5</v>
      </c>
      <c r="H207" s="10">
        <v>14550</v>
      </c>
      <c r="I207" s="310">
        <v>1</v>
      </c>
      <c r="J207" s="406">
        <v>0</v>
      </c>
      <c r="K207" s="319">
        <v>0</v>
      </c>
      <c r="L207" s="424"/>
      <c r="M207" s="410">
        <v>0</v>
      </c>
      <c r="N207" s="789" t="s">
        <v>887</v>
      </c>
    </row>
    <row r="208" spans="1:19" ht="18.25" customHeight="1" outlineLevel="3">
      <c r="A208" s="785"/>
      <c r="B208" s="5" t="s">
        <v>7</v>
      </c>
      <c r="C208" s="546" t="s">
        <v>746</v>
      </c>
      <c r="D208" s="7" t="s">
        <v>17</v>
      </c>
      <c r="E208" s="8">
        <v>0</v>
      </c>
      <c r="F208" s="9">
        <v>0</v>
      </c>
      <c r="G208" s="8">
        <v>1.5</v>
      </c>
      <c r="H208" s="10">
        <v>9800</v>
      </c>
      <c r="I208" s="310">
        <v>1</v>
      </c>
      <c r="J208" s="406">
        <v>0</v>
      </c>
      <c r="K208" s="319">
        <v>0</v>
      </c>
      <c r="L208" s="424">
        <v>0</v>
      </c>
      <c r="M208" s="410">
        <v>0</v>
      </c>
      <c r="N208" s="789" t="s">
        <v>887</v>
      </c>
    </row>
    <row r="209" spans="1:19" ht="18.25" customHeight="1" outlineLevel="3">
      <c r="A209" s="785"/>
      <c r="B209" s="5" t="s">
        <v>7</v>
      </c>
      <c r="C209" s="546" t="s">
        <v>236</v>
      </c>
      <c r="D209" s="7" t="s">
        <v>17</v>
      </c>
      <c r="E209" s="8">
        <v>0</v>
      </c>
      <c r="F209" s="9">
        <v>0</v>
      </c>
      <c r="G209" s="8">
        <v>0</v>
      </c>
      <c r="H209" s="10">
        <v>0</v>
      </c>
      <c r="I209" s="310">
        <v>0</v>
      </c>
      <c r="J209" s="406">
        <v>0</v>
      </c>
      <c r="K209" s="319">
        <v>0</v>
      </c>
      <c r="L209" s="424">
        <v>0</v>
      </c>
      <c r="M209" s="410">
        <v>0</v>
      </c>
      <c r="N209" s="789" t="s">
        <v>887</v>
      </c>
    </row>
    <row r="210" spans="1:19" ht="18.25" customHeight="1" outlineLevel="2">
      <c r="A210" s="785"/>
      <c r="B210" s="12" t="s">
        <v>7</v>
      </c>
      <c r="C210" s="13" t="s">
        <v>233</v>
      </c>
      <c r="D210" s="14">
        <v>3</v>
      </c>
      <c r="E210" s="15">
        <v>0</v>
      </c>
      <c r="F210" s="16">
        <v>0</v>
      </c>
      <c r="G210" s="15">
        <v>3</v>
      </c>
      <c r="H210" s="17">
        <v>24350</v>
      </c>
      <c r="I210" s="311">
        <v>2</v>
      </c>
      <c r="J210" s="312">
        <v>0</v>
      </c>
      <c r="K210" s="906">
        <v>0</v>
      </c>
      <c r="L210" s="907">
        <v>0</v>
      </c>
      <c r="M210" s="411">
        <v>0</v>
      </c>
      <c r="N210" s="789" t="s">
        <v>887</v>
      </c>
      <c r="O210" s="1" t="s">
        <v>171</v>
      </c>
    </row>
    <row r="211" spans="1:19" ht="18.25" customHeight="1" outlineLevel="3">
      <c r="A211" s="785"/>
      <c r="B211" s="5" t="s">
        <v>7</v>
      </c>
      <c r="C211" s="546" t="s">
        <v>662</v>
      </c>
      <c r="D211" s="7" t="s">
        <v>307</v>
      </c>
      <c r="E211" s="8">
        <v>0</v>
      </c>
      <c r="F211" s="9">
        <v>0</v>
      </c>
      <c r="G211" s="8">
        <v>8</v>
      </c>
      <c r="H211" s="10">
        <v>115763</v>
      </c>
      <c r="I211" s="310">
        <v>1</v>
      </c>
      <c r="J211" s="406">
        <v>1</v>
      </c>
      <c r="K211" s="319">
        <v>1</v>
      </c>
      <c r="L211" s="424"/>
      <c r="M211" s="410">
        <v>1</v>
      </c>
      <c r="N211" s="789" t="s">
        <v>855</v>
      </c>
    </row>
    <row r="212" spans="1:19" ht="18.25" customHeight="1" outlineLevel="2">
      <c r="A212" s="785"/>
      <c r="B212" s="12" t="s">
        <v>7</v>
      </c>
      <c r="C212" s="13" t="s">
        <v>662</v>
      </c>
      <c r="D212" s="14">
        <v>1</v>
      </c>
      <c r="E212" s="15">
        <v>0</v>
      </c>
      <c r="F212" s="16">
        <v>0</v>
      </c>
      <c r="G212" s="15">
        <v>8</v>
      </c>
      <c r="H212" s="17">
        <v>115763</v>
      </c>
      <c r="I212" s="311">
        <v>1</v>
      </c>
      <c r="J212" s="312">
        <v>1</v>
      </c>
      <c r="K212" s="906">
        <v>1</v>
      </c>
      <c r="L212" s="907">
        <v>0</v>
      </c>
      <c r="M212" s="411">
        <v>1</v>
      </c>
      <c r="N212" s="789" t="s">
        <v>855</v>
      </c>
      <c r="O212" s="1" t="s">
        <v>670</v>
      </c>
    </row>
    <row r="213" spans="1:19" s="1" customFormat="1" ht="18.25" customHeight="1" outlineLevel="3">
      <c r="A213" s="785"/>
      <c r="B213" s="5" t="s">
        <v>7</v>
      </c>
      <c r="C213" s="546" t="s">
        <v>118</v>
      </c>
      <c r="D213" s="19" t="s">
        <v>307</v>
      </c>
      <c r="E213" s="8">
        <v>0</v>
      </c>
      <c r="F213" s="9">
        <v>0</v>
      </c>
      <c r="G213" s="8">
        <v>2</v>
      </c>
      <c r="H213" s="10">
        <v>55501</v>
      </c>
      <c r="I213" s="310">
        <v>1</v>
      </c>
      <c r="J213" s="406">
        <v>1</v>
      </c>
      <c r="K213" s="319">
        <v>1</v>
      </c>
      <c r="L213" s="424"/>
      <c r="M213" s="410">
        <v>1</v>
      </c>
      <c r="N213" s="789" t="s">
        <v>887</v>
      </c>
      <c r="Q213"/>
      <c r="R213"/>
      <c r="S213"/>
    </row>
    <row r="214" spans="1:19" s="1" customFormat="1" ht="18.25" customHeight="1" outlineLevel="2">
      <c r="A214" s="785"/>
      <c r="B214" s="12" t="s">
        <v>7</v>
      </c>
      <c r="C214" s="13" t="s">
        <v>118</v>
      </c>
      <c r="D214" s="14">
        <v>1</v>
      </c>
      <c r="E214" s="15">
        <v>0</v>
      </c>
      <c r="F214" s="16">
        <v>0</v>
      </c>
      <c r="G214" s="15">
        <v>2</v>
      </c>
      <c r="H214" s="17">
        <v>55501</v>
      </c>
      <c r="I214" s="311">
        <v>1</v>
      </c>
      <c r="J214" s="312">
        <v>1</v>
      </c>
      <c r="K214" s="906">
        <v>1</v>
      </c>
      <c r="L214" s="907">
        <v>0</v>
      </c>
      <c r="M214" s="411">
        <v>1</v>
      </c>
      <c r="N214" s="789" t="s">
        <v>887</v>
      </c>
      <c r="O214" s="1" t="s">
        <v>670</v>
      </c>
      <c r="Q214"/>
      <c r="R214"/>
      <c r="S214"/>
    </row>
    <row r="215" spans="1:19" s="1" customFormat="1" ht="18.25" customHeight="1" outlineLevel="3">
      <c r="A215" s="785"/>
      <c r="B215" s="5" t="s">
        <v>7</v>
      </c>
      <c r="C215" s="546" t="s">
        <v>571</v>
      </c>
      <c r="D215" s="19" t="s">
        <v>307</v>
      </c>
      <c r="E215" s="8">
        <v>0</v>
      </c>
      <c r="F215" s="9">
        <v>0</v>
      </c>
      <c r="G215" s="8">
        <v>2</v>
      </c>
      <c r="H215" s="10">
        <v>14947</v>
      </c>
      <c r="I215" s="310">
        <v>1</v>
      </c>
      <c r="J215" s="406">
        <v>0</v>
      </c>
      <c r="K215" s="319">
        <v>0</v>
      </c>
      <c r="L215" s="424"/>
      <c r="M215" s="410">
        <v>0</v>
      </c>
      <c r="N215" s="789" t="s">
        <v>887</v>
      </c>
      <c r="Q215"/>
      <c r="R215"/>
      <c r="S215"/>
    </row>
    <row r="216" spans="1:19" s="1" customFormat="1" ht="18.25" customHeight="1" outlineLevel="2">
      <c r="A216" s="785"/>
      <c r="B216" s="12" t="s">
        <v>7</v>
      </c>
      <c r="C216" s="13" t="s">
        <v>571</v>
      </c>
      <c r="D216" s="14">
        <v>1</v>
      </c>
      <c r="E216" s="15">
        <v>0</v>
      </c>
      <c r="F216" s="16">
        <v>0</v>
      </c>
      <c r="G216" s="15">
        <v>2</v>
      </c>
      <c r="H216" s="17">
        <v>14947</v>
      </c>
      <c r="I216" s="311">
        <v>1</v>
      </c>
      <c r="J216" s="312">
        <v>0</v>
      </c>
      <c r="K216" s="906">
        <v>0</v>
      </c>
      <c r="L216" s="907">
        <v>0</v>
      </c>
      <c r="M216" s="411">
        <v>0</v>
      </c>
      <c r="N216" s="789" t="s">
        <v>887</v>
      </c>
      <c r="O216" s="1" t="s">
        <v>670</v>
      </c>
      <c r="Q216"/>
      <c r="R216"/>
      <c r="S216"/>
    </row>
    <row r="217" spans="1:19" s="1" customFormat="1" ht="18.25" customHeight="1" outlineLevel="3">
      <c r="A217" s="785"/>
      <c r="B217" s="5" t="s">
        <v>185</v>
      </c>
      <c r="C217" s="546" t="s">
        <v>93</v>
      </c>
      <c r="D217" s="7" t="s">
        <v>40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6">
        <v>0</v>
      </c>
      <c r="K217" s="319">
        <v>0</v>
      </c>
      <c r="L217" s="424"/>
      <c r="M217" s="410">
        <v>0</v>
      </c>
      <c r="N217" s="789" t="s">
        <v>887</v>
      </c>
      <c r="Q217"/>
      <c r="R217"/>
      <c r="S217"/>
    </row>
    <row r="218" spans="1:19" s="1" customFormat="1" ht="18.25" customHeight="1" outlineLevel="3">
      <c r="A218" s="785"/>
      <c r="B218" s="5" t="s">
        <v>185</v>
      </c>
      <c r="C218" s="546" t="s">
        <v>758</v>
      </c>
      <c r="D218" s="7" t="s">
        <v>17</v>
      </c>
      <c r="E218" s="8">
        <v>0</v>
      </c>
      <c r="F218" s="9">
        <v>0</v>
      </c>
      <c r="G218" s="8">
        <v>1</v>
      </c>
      <c r="H218" s="10">
        <v>13582</v>
      </c>
      <c r="I218" s="310">
        <v>1</v>
      </c>
      <c r="J218" s="406">
        <v>1</v>
      </c>
      <c r="K218" s="319">
        <v>0</v>
      </c>
      <c r="L218" s="424">
        <v>1</v>
      </c>
      <c r="M218" s="410">
        <v>0</v>
      </c>
      <c r="N218" s="789" t="s">
        <v>887</v>
      </c>
      <c r="Q218"/>
      <c r="R218"/>
      <c r="S218"/>
    </row>
    <row r="219" spans="1:19" s="1" customFormat="1" ht="18.25" customHeight="1" outlineLevel="3">
      <c r="A219" s="785"/>
      <c r="B219" s="5" t="s">
        <v>185</v>
      </c>
      <c r="C219" s="546" t="s">
        <v>94</v>
      </c>
      <c r="D219" s="7" t="s">
        <v>17</v>
      </c>
      <c r="E219" s="8">
        <v>0</v>
      </c>
      <c r="F219" s="9">
        <v>0</v>
      </c>
      <c r="G219" s="8">
        <v>2</v>
      </c>
      <c r="H219" s="10">
        <v>93091</v>
      </c>
      <c r="I219" s="310">
        <v>1</v>
      </c>
      <c r="J219" s="406">
        <v>1</v>
      </c>
      <c r="K219" s="319">
        <v>1</v>
      </c>
      <c r="L219" s="424">
        <v>0</v>
      </c>
      <c r="M219" s="410">
        <v>1</v>
      </c>
      <c r="N219" s="789" t="s">
        <v>887</v>
      </c>
      <c r="Q219"/>
      <c r="R219"/>
      <c r="S219"/>
    </row>
    <row r="220" spans="1:19" s="1" customFormat="1" ht="18.25" customHeight="1" outlineLevel="3">
      <c r="A220" s="785"/>
      <c r="B220" s="5" t="s">
        <v>185</v>
      </c>
      <c r="C220" s="546" t="s">
        <v>659</v>
      </c>
      <c r="D220" s="7" t="s">
        <v>17</v>
      </c>
      <c r="E220" s="8">
        <v>0</v>
      </c>
      <c r="F220" s="9">
        <v>0</v>
      </c>
      <c r="G220" s="8">
        <v>2</v>
      </c>
      <c r="H220" s="10">
        <v>4412</v>
      </c>
      <c r="I220" s="310">
        <v>1</v>
      </c>
      <c r="J220" s="406">
        <v>0</v>
      </c>
      <c r="K220" s="319">
        <v>0</v>
      </c>
      <c r="L220" s="424">
        <v>0</v>
      </c>
      <c r="M220" s="410">
        <v>0</v>
      </c>
      <c r="N220" s="789" t="s">
        <v>887</v>
      </c>
      <c r="Q220"/>
      <c r="R220"/>
      <c r="S220"/>
    </row>
    <row r="221" spans="1:19" s="1" customFormat="1" ht="18.25" customHeight="1" outlineLevel="2">
      <c r="A221" s="785"/>
      <c r="B221" s="47" t="s">
        <v>185</v>
      </c>
      <c r="C221" s="13" t="s">
        <v>96</v>
      </c>
      <c r="D221" s="14">
        <v>4</v>
      </c>
      <c r="E221" s="15">
        <v>0</v>
      </c>
      <c r="F221" s="16">
        <v>0</v>
      </c>
      <c r="G221" s="15">
        <v>5</v>
      </c>
      <c r="H221" s="17">
        <v>111085</v>
      </c>
      <c r="I221" s="311">
        <v>3</v>
      </c>
      <c r="J221" s="312">
        <v>2</v>
      </c>
      <c r="K221" s="906">
        <v>1</v>
      </c>
      <c r="L221" s="907">
        <v>1</v>
      </c>
      <c r="M221" s="411">
        <v>1</v>
      </c>
      <c r="N221" s="789" t="s">
        <v>887</v>
      </c>
      <c r="O221" s="1" t="s">
        <v>51</v>
      </c>
      <c r="Q221"/>
      <c r="R221"/>
      <c r="S221"/>
    </row>
    <row r="222" spans="1:19" s="1" customFormat="1" ht="18.25" customHeight="1" outlineLevel="3">
      <c r="A222" s="785"/>
      <c r="B222" s="5" t="s">
        <v>185</v>
      </c>
      <c r="C222" s="546" t="s">
        <v>95</v>
      </c>
      <c r="D222" s="7" t="s">
        <v>22</v>
      </c>
      <c r="E222" s="8">
        <v>0</v>
      </c>
      <c r="F222" s="9">
        <v>0</v>
      </c>
      <c r="G222" s="8">
        <v>3</v>
      </c>
      <c r="H222" s="10">
        <v>80085</v>
      </c>
      <c r="I222" s="310">
        <v>1</v>
      </c>
      <c r="J222" s="406">
        <v>1</v>
      </c>
      <c r="K222" s="319">
        <v>1</v>
      </c>
      <c r="L222" s="424"/>
      <c r="M222" s="410">
        <v>1</v>
      </c>
      <c r="N222" s="789" t="s">
        <v>887</v>
      </c>
      <c r="Q222"/>
      <c r="R222"/>
      <c r="S222"/>
    </row>
    <row r="223" spans="1:19" s="1" customFormat="1" ht="18.25" customHeight="1" outlineLevel="3">
      <c r="A223" s="785"/>
      <c r="B223" s="5" t="s">
        <v>185</v>
      </c>
      <c r="C223" s="546" t="s">
        <v>386</v>
      </c>
      <c r="D223" s="7" t="s">
        <v>17</v>
      </c>
      <c r="E223" s="8">
        <v>0</v>
      </c>
      <c r="F223" s="9">
        <v>0</v>
      </c>
      <c r="G223" s="8">
        <v>0</v>
      </c>
      <c r="H223" s="10">
        <v>0</v>
      </c>
      <c r="I223" s="310">
        <v>0</v>
      </c>
      <c r="J223" s="406">
        <v>0</v>
      </c>
      <c r="K223" s="319">
        <v>0</v>
      </c>
      <c r="L223" s="424">
        <v>0</v>
      </c>
      <c r="M223" s="410">
        <v>0</v>
      </c>
      <c r="N223" s="789" t="s">
        <v>887</v>
      </c>
      <c r="Q223"/>
      <c r="R223"/>
      <c r="S223"/>
    </row>
    <row r="224" spans="1:19" s="1" customFormat="1" ht="18.25" customHeight="1" outlineLevel="2">
      <c r="A224" s="785"/>
      <c r="B224" s="47" t="s">
        <v>185</v>
      </c>
      <c r="C224" s="13" t="s">
        <v>95</v>
      </c>
      <c r="D224" s="14">
        <v>2</v>
      </c>
      <c r="E224" s="15">
        <v>0</v>
      </c>
      <c r="F224" s="16">
        <v>0</v>
      </c>
      <c r="G224" s="15">
        <v>3</v>
      </c>
      <c r="H224" s="17">
        <v>80085</v>
      </c>
      <c r="I224" s="311">
        <v>1</v>
      </c>
      <c r="J224" s="312">
        <v>1</v>
      </c>
      <c r="K224" s="906">
        <v>1</v>
      </c>
      <c r="L224" s="907">
        <v>0</v>
      </c>
      <c r="M224" s="411">
        <v>1</v>
      </c>
      <c r="N224" s="789" t="s">
        <v>887</v>
      </c>
      <c r="O224" s="1" t="s">
        <v>171</v>
      </c>
      <c r="Q224"/>
      <c r="R224"/>
      <c r="S224"/>
    </row>
    <row r="225" spans="1:19" s="1" customFormat="1" ht="18.25" customHeight="1" outlineLevel="2">
      <c r="A225" s="576" t="s">
        <v>855</v>
      </c>
      <c r="B225" s="560" t="s">
        <v>837</v>
      </c>
      <c r="C225" s="561" t="s">
        <v>111</v>
      </c>
      <c r="D225" s="553">
        <v>31</v>
      </c>
      <c r="E225" s="562">
        <v>1</v>
      </c>
      <c r="F225" s="556">
        <v>19365</v>
      </c>
      <c r="G225" s="554">
        <v>47</v>
      </c>
      <c r="H225" s="563">
        <v>885442</v>
      </c>
      <c r="I225" s="557">
        <v>19</v>
      </c>
      <c r="J225" s="558">
        <v>14</v>
      </c>
      <c r="K225" s="906">
        <v>11</v>
      </c>
      <c r="L225" s="907">
        <v>3</v>
      </c>
      <c r="M225" s="559">
        <v>12</v>
      </c>
      <c r="N225" s="789" t="s">
        <v>887</v>
      </c>
      <c r="Q225"/>
      <c r="R225"/>
      <c r="S225"/>
    </row>
    <row r="226" spans="1:19" s="149" customFormat="1" ht="18.25" customHeight="1">
      <c r="A226" s="575" t="s">
        <v>846</v>
      </c>
      <c r="B226" s="967" t="s">
        <v>7</v>
      </c>
      <c r="C226" s="968"/>
      <c r="D226" s="145">
        <v>87</v>
      </c>
      <c r="E226" s="150">
        <v>6</v>
      </c>
      <c r="F226" s="151">
        <v>182009</v>
      </c>
      <c r="G226" s="146">
        <v>171</v>
      </c>
      <c r="H226" s="152">
        <v>3257563</v>
      </c>
      <c r="I226" s="314">
        <v>57</v>
      </c>
      <c r="J226" s="315">
        <v>40</v>
      </c>
      <c r="K226" s="908">
        <v>31</v>
      </c>
      <c r="L226" s="909">
        <v>12</v>
      </c>
      <c r="M226" s="412">
        <v>32</v>
      </c>
      <c r="N226" s="431" t="e">
        <v>#VALUE!</v>
      </c>
      <c r="O226" s="248"/>
      <c r="P226" s="248"/>
    </row>
    <row r="227" spans="1:19" ht="18.25" customHeight="1" outlineLevel="2">
      <c r="B227" s="5" t="s">
        <v>9</v>
      </c>
      <c r="C227" s="6" t="s">
        <v>123</v>
      </c>
      <c r="D227" s="7" t="s">
        <v>54</v>
      </c>
      <c r="E227" s="8">
        <v>0</v>
      </c>
      <c r="F227" s="9">
        <v>0</v>
      </c>
      <c r="G227" s="8">
        <v>2</v>
      </c>
      <c r="H227" s="10">
        <v>4277</v>
      </c>
      <c r="I227" s="310">
        <v>1</v>
      </c>
      <c r="J227" s="406">
        <v>0</v>
      </c>
      <c r="K227" s="319">
        <v>0</v>
      </c>
      <c r="L227" s="424"/>
      <c r="M227" s="410">
        <v>0</v>
      </c>
      <c r="N227" s="429"/>
    </row>
    <row r="228" spans="1:19" ht="18.25" customHeight="1" outlineLevel="2">
      <c r="B228" s="5" t="s">
        <v>2</v>
      </c>
      <c r="C228" s="6" t="s">
        <v>259</v>
      </c>
      <c r="D228" s="7" t="s">
        <v>17</v>
      </c>
      <c r="E228" s="8">
        <v>0</v>
      </c>
      <c r="F228" s="9">
        <v>0</v>
      </c>
      <c r="G228" s="8">
        <v>1</v>
      </c>
      <c r="H228" s="10">
        <v>23369</v>
      </c>
      <c r="I228" s="310">
        <v>1</v>
      </c>
      <c r="J228" s="406">
        <v>1</v>
      </c>
      <c r="K228" s="319">
        <v>0</v>
      </c>
      <c r="L228" s="424">
        <v>0</v>
      </c>
      <c r="M228" s="410">
        <v>0</v>
      </c>
      <c r="N228" s="429"/>
    </row>
    <row r="229" spans="1:19" ht="18.25" customHeight="1" outlineLevel="1">
      <c r="B229" s="12" t="s">
        <v>9</v>
      </c>
      <c r="C229" s="13" t="s">
        <v>123</v>
      </c>
      <c r="D229" s="14">
        <v>2</v>
      </c>
      <c r="E229" s="15">
        <v>0</v>
      </c>
      <c r="F229" s="16">
        <v>0</v>
      </c>
      <c r="G229" s="15">
        <v>3</v>
      </c>
      <c r="H229" s="17">
        <v>27646</v>
      </c>
      <c r="I229" s="311">
        <v>2</v>
      </c>
      <c r="J229" s="312">
        <v>1</v>
      </c>
      <c r="K229" s="906">
        <v>0</v>
      </c>
      <c r="L229" s="907">
        <v>0</v>
      </c>
      <c r="M229" s="411">
        <v>0</v>
      </c>
      <c r="N229" s="430">
        <v>0</v>
      </c>
      <c r="O229" s="1" t="s">
        <v>167</v>
      </c>
    </row>
    <row r="230" spans="1:19" ht="18.25" customHeight="1" outlineLevel="2">
      <c r="B230" s="5" t="s">
        <v>2</v>
      </c>
      <c r="C230" s="39" t="s">
        <v>35</v>
      </c>
      <c r="D230" s="7" t="s">
        <v>40</v>
      </c>
      <c r="E230" s="8">
        <v>1</v>
      </c>
      <c r="F230" s="9">
        <v>17261</v>
      </c>
      <c r="G230" s="8">
        <v>2</v>
      </c>
      <c r="H230" s="10">
        <v>45388</v>
      </c>
      <c r="I230" s="310">
        <v>1</v>
      </c>
      <c r="J230" s="406">
        <v>1</v>
      </c>
      <c r="K230" s="319">
        <v>1</v>
      </c>
      <c r="L230" s="424"/>
      <c r="M230" s="410">
        <v>1</v>
      </c>
      <c r="N230" s="429"/>
    </row>
    <row r="231" spans="1:19" ht="18.25" customHeight="1" outlineLevel="2">
      <c r="B231" s="5" t="s">
        <v>2</v>
      </c>
      <c r="C231" s="6" t="s">
        <v>36</v>
      </c>
      <c r="D231" s="7" t="s">
        <v>17</v>
      </c>
      <c r="E231" s="8">
        <v>0</v>
      </c>
      <c r="F231" s="9">
        <v>0</v>
      </c>
      <c r="G231" s="8">
        <v>2</v>
      </c>
      <c r="H231" s="10">
        <v>51034</v>
      </c>
      <c r="I231" s="310">
        <v>1</v>
      </c>
      <c r="J231" s="406">
        <v>1</v>
      </c>
      <c r="K231" s="319">
        <v>1</v>
      </c>
      <c r="L231" s="424">
        <v>0</v>
      </c>
      <c r="M231" s="410">
        <v>1</v>
      </c>
      <c r="N231" s="429"/>
    </row>
    <row r="232" spans="1:19" ht="18.25" customHeight="1" outlineLevel="1">
      <c r="B232" s="12" t="s">
        <v>2</v>
      </c>
      <c r="C232" s="13" t="s">
        <v>35</v>
      </c>
      <c r="D232" s="14">
        <v>2</v>
      </c>
      <c r="E232" s="15">
        <v>1</v>
      </c>
      <c r="F232" s="16">
        <v>17261</v>
      </c>
      <c r="G232" s="15">
        <v>4</v>
      </c>
      <c r="H232" s="17">
        <v>96422</v>
      </c>
      <c r="I232" s="311">
        <v>2</v>
      </c>
      <c r="J232" s="312">
        <v>2</v>
      </c>
      <c r="K232" s="906">
        <v>2</v>
      </c>
      <c r="L232" s="907">
        <v>0</v>
      </c>
      <c r="M232" s="411">
        <v>2</v>
      </c>
      <c r="N232" s="430">
        <v>0</v>
      </c>
      <c r="O232" s="1" t="s">
        <v>51</v>
      </c>
    </row>
    <row r="233" spans="1:19" ht="18.25" customHeight="1" outlineLevel="2">
      <c r="B233" s="5" t="s">
        <v>2</v>
      </c>
      <c r="C233" s="39" t="s">
        <v>651</v>
      </c>
      <c r="D233" s="7" t="s">
        <v>307</v>
      </c>
      <c r="E233" s="8">
        <v>0</v>
      </c>
      <c r="F233" s="9">
        <v>0</v>
      </c>
      <c r="G233" s="8">
        <v>2</v>
      </c>
      <c r="H233" s="10">
        <v>42252</v>
      </c>
      <c r="I233" s="310">
        <v>1</v>
      </c>
      <c r="J233" s="406">
        <v>1</v>
      </c>
      <c r="K233" s="319">
        <v>1</v>
      </c>
      <c r="L233" s="424"/>
      <c r="M233" s="410">
        <v>1</v>
      </c>
      <c r="N233" s="429"/>
    </row>
    <row r="234" spans="1:19" ht="18.25" customHeight="1" outlineLevel="1">
      <c r="B234" s="12" t="s">
        <v>2</v>
      </c>
      <c r="C234" s="13" t="s">
        <v>651</v>
      </c>
      <c r="D234" s="14">
        <v>1</v>
      </c>
      <c r="E234" s="15">
        <v>0</v>
      </c>
      <c r="F234" s="16">
        <v>0</v>
      </c>
      <c r="G234" s="15">
        <v>2</v>
      </c>
      <c r="H234" s="17">
        <v>42252</v>
      </c>
      <c r="I234" s="311">
        <v>1</v>
      </c>
      <c r="J234" s="312">
        <v>1</v>
      </c>
      <c r="K234" s="906">
        <v>1</v>
      </c>
      <c r="L234" s="907">
        <v>0</v>
      </c>
      <c r="M234" s="411">
        <v>1</v>
      </c>
      <c r="N234" s="430">
        <v>0</v>
      </c>
      <c r="O234" s="1" t="s">
        <v>670</v>
      </c>
    </row>
    <row r="235" spans="1:19" ht="18.25" customHeight="1" outlineLevel="2">
      <c r="B235" s="5" t="s">
        <v>2</v>
      </c>
      <c r="C235" s="39" t="s">
        <v>29</v>
      </c>
      <c r="D235" s="7" t="s">
        <v>22</v>
      </c>
      <c r="E235" s="8">
        <v>0</v>
      </c>
      <c r="F235" s="9">
        <v>0</v>
      </c>
      <c r="G235" s="8">
        <v>14</v>
      </c>
      <c r="H235" s="10">
        <v>306326</v>
      </c>
      <c r="I235" s="310">
        <v>1</v>
      </c>
      <c r="J235" s="406">
        <v>1</v>
      </c>
      <c r="K235" s="319">
        <v>1</v>
      </c>
      <c r="L235" s="424"/>
      <c r="M235" s="410">
        <v>1</v>
      </c>
      <c r="N235" s="429"/>
    </row>
    <row r="236" spans="1:19" ht="18.25" customHeight="1" outlineLevel="2">
      <c r="B236" s="5" t="s">
        <v>2</v>
      </c>
      <c r="C236" s="6" t="s">
        <v>30</v>
      </c>
      <c r="D236" s="7" t="s">
        <v>27</v>
      </c>
      <c r="E236" s="8">
        <v>0</v>
      </c>
      <c r="F236" s="9">
        <v>0</v>
      </c>
      <c r="G236" s="8">
        <v>0</v>
      </c>
      <c r="H236" s="10">
        <v>0</v>
      </c>
      <c r="I236" s="310">
        <v>0</v>
      </c>
      <c r="J236" s="406">
        <v>0</v>
      </c>
      <c r="K236" s="319">
        <v>0</v>
      </c>
      <c r="L236" s="424">
        <v>0</v>
      </c>
      <c r="M236" s="410">
        <v>0</v>
      </c>
      <c r="N236" s="429"/>
    </row>
    <row r="237" spans="1:19" ht="18.25" customHeight="1" outlineLevel="2">
      <c r="B237" s="5" t="s">
        <v>2</v>
      </c>
      <c r="C237" s="6" t="s">
        <v>23</v>
      </c>
      <c r="D237" s="7" t="s">
        <v>27</v>
      </c>
      <c r="E237" s="8">
        <v>0</v>
      </c>
      <c r="F237" s="9">
        <v>0</v>
      </c>
      <c r="G237" s="8">
        <v>1</v>
      </c>
      <c r="H237" s="10">
        <v>86</v>
      </c>
      <c r="I237" s="310">
        <v>1</v>
      </c>
      <c r="J237" s="406">
        <v>0</v>
      </c>
      <c r="K237" s="319">
        <v>0</v>
      </c>
      <c r="L237" s="424">
        <v>0</v>
      </c>
      <c r="M237" s="410">
        <v>0</v>
      </c>
      <c r="N237" s="429"/>
    </row>
    <row r="238" spans="1:19" ht="18.25" customHeight="1" outlineLevel="1">
      <c r="B238" s="12" t="s">
        <v>2</v>
      </c>
      <c r="C238" s="13" t="s">
        <v>31</v>
      </c>
      <c r="D238" s="14">
        <v>3</v>
      </c>
      <c r="E238" s="15">
        <v>0</v>
      </c>
      <c r="F238" s="16">
        <v>0</v>
      </c>
      <c r="G238" s="15">
        <v>15</v>
      </c>
      <c r="H238" s="17">
        <v>306412</v>
      </c>
      <c r="I238" s="311">
        <v>2</v>
      </c>
      <c r="J238" s="312">
        <v>1</v>
      </c>
      <c r="K238" s="906">
        <v>1</v>
      </c>
      <c r="L238" s="907">
        <v>0</v>
      </c>
      <c r="M238" s="411">
        <v>1</v>
      </c>
      <c r="N238" s="430">
        <v>0</v>
      </c>
      <c r="O238" s="1" t="s">
        <v>171</v>
      </c>
    </row>
    <row r="239" spans="1:19" ht="18.25" customHeight="1" outlineLevel="2">
      <c r="B239" s="5" t="s">
        <v>2</v>
      </c>
      <c r="C239" s="39" t="s">
        <v>320</v>
      </c>
      <c r="D239" s="7" t="s">
        <v>22</v>
      </c>
      <c r="E239" s="8">
        <v>0</v>
      </c>
      <c r="F239" s="9">
        <v>0</v>
      </c>
      <c r="G239" s="8">
        <v>5</v>
      </c>
      <c r="H239" s="10">
        <v>14719</v>
      </c>
      <c r="I239" s="310">
        <v>1</v>
      </c>
      <c r="J239" s="406">
        <v>0</v>
      </c>
      <c r="K239" s="319">
        <v>0</v>
      </c>
      <c r="L239" s="424"/>
      <c r="M239" s="410">
        <v>0</v>
      </c>
      <c r="N239" s="429"/>
    </row>
    <row r="240" spans="1:19" ht="18.25" customHeight="1" outlineLevel="2">
      <c r="B240" s="5" t="s">
        <v>2</v>
      </c>
      <c r="C240" s="6" t="s">
        <v>711</v>
      </c>
      <c r="D240" s="7" t="s">
        <v>17</v>
      </c>
      <c r="E240" s="8">
        <v>0</v>
      </c>
      <c r="F240" s="9">
        <v>0</v>
      </c>
      <c r="G240" s="8">
        <v>3</v>
      </c>
      <c r="H240" s="10">
        <v>26161</v>
      </c>
      <c r="I240" s="310">
        <v>1</v>
      </c>
      <c r="J240" s="406">
        <v>1</v>
      </c>
      <c r="K240" s="319">
        <v>1</v>
      </c>
      <c r="L240" s="424">
        <v>0</v>
      </c>
      <c r="M240" s="410">
        <v>1</v>
      </c>
      <c r="N240" s="429"/>
    </row>
    <row r="241" spans="1:19" ht="18.25" customHeight="1" outlineLevel="2">
      <c r="B241" s="5" t="s">
        <v>2</v>
      </c>
      <c r="C241" s="6" t="s">
        <v>660</v>
      </c>
      <c r="D241" s="7" t="s">
        <v>17</v>
      </c>
      <c r="E241" s="8">
        <v>1</v>
      </c>
      <c r="F241" s="9">
        <v>2131</v>
      </c>
      <c r="G241" s="8">
        <v>2</v>
      </c>
      <c r="H241" s="10">
        <v>13290</v>
      </c>
      <c r="I241" s="310">
        <v>1</v>
      </c>
      <c r="J241" s="406">
        <v>1</v>
      </c>
      <c r="K241" s="319">
        <v>0</v>
      </c>
      <c r="L241" s="424">
        <v>0</v>
      </c>
      <c r="M241" s="410">
        <v>0</v>
      </c>
      <c r="N241" s="429"/>
    </row>
    <row r="242" spans="1:19" s="1" customFormat="1" ht="18.25" customHeight="1" outlineLevel="2">
      <c r="A242" s="576"/>
      <c r="B242" s="5" t="s">
        <v>2</v>
      </c>
      <c r="C242" s="6" t="s">
        <v>570</v>
      </c>
      <c r="D242" s="7" t="s">
        <v>17</v>
      </c>
      <c r="E242" s="8">
        <v>0</v>
      </c>
      <c r="F242" s="9">
        <v>0</v>
      </c>
      <c r="G242" s="8">
        <v>1</v>
      </c>
      <c r="H242" s="10">
        <v>5076</v>
      </c>
      <c r="I242" s="310">
        <v>1</v>
      </c>
      <c r="J242" s="406">
        <v>0</v>
      </c>
      <c r="K242" s="319">
        <v>0</v>
      </c>
      <c r="L242" s="424">
        <v>0</v>
      </c>
      <c r="M242" s="410">
        <v>0</v>
      </c>
      <c r="N242" s="429"/>
      <c r="Q242"/>
      <c r="R242"/>
      <c r="S242"/>
    </row>
    <row r="243" spans="1:19" s="1" customFormat="1" ht="18.25" customHeight="1" outlineLevel="1">
      <c r="A243" s="576"/>
      <c r="B243" s="12" t="s">
        <v>2</v>
      </c>
      <c r="C243" s="13" t="s">
        <v>320</v>
      </c>
      <c r="D243" s="14">
        <v>4</v>
      </c>
      <c r="E243" s="15">
        <v>1</v>
      </c>
      <c r="F243" s="16">
        <v>2131</v>
      </c>
      <c r="G243" s="15">
        <v>11</v>
      </c>
      <c r="H243" s="17">
        <v>59246</v>
      </c>
      <c r="I243" s="311">
        <v>4</v>
      </c>
      <c r="J243" s="312">
        <v>2</v>
      </c>
      <c r="K243" s="906">
        <v>1</v>
      </c>
      <c r="L243" s="907">
        <v>0</v>
      </c>
      <c r="M243" s="411">
        <v>1</v>
      </c>
      <c r="N243" s="430">
        <v>0</v>
      </c>
      <c r="O243" s="1" t="s">
        <v>171</v>
      </c>
      <c r="Q243"/>
      <c r="R243"/>
      <c r="S243"/>
    </row>
    <row r="244" spans="1:19" s="1" customFormat="1" ht="18.25" customHeight="1" outlineLevel="2">
      <c r="A244" s="576"/>
      <c r="B244" s="5" t="s">
        <v>2</v>
      </c>
      <c r="C244" s="39" t="s">
        <v>24</v>
      </c>
      <c r="D244" s="7" t="s">
        <v>25</v>
      </c>
      <c r="E244" s="8">
        <v>0</v>
      </c>
      <c r="F244" s="9">
        <v>0</v>
      </c>
      <c r="G244" s="8">
        <v>1</v>
      </c>
      <c r="H244" s="10">
        <v>22160</v>
      </c>
      <c r="I244" s="310">
        <v>1</v>
      </c>
      <c r="J244" s="406">
        <v>1</v>
      </c>
      <c r="K244" s="319">
        <v>0</v>
      </c>
      <c r="L244" s="424"/>
      <c r="M244" s="410">
        <v>0</v>
      </c>
      <c r="N244" s="429"/>
      <c r="Q244"/>
      <c r="R244"/>
      <c r="S244"/>
    </row>
    <row r="245" spans="1:19" s="1" customFormat="1" ht="18.25" customHeight="1" outlineLevel="2">
      <c r="A245" s="576"/>
      <c r="B245" s="5" t="s">
        <v>2</v>
      </c>
      <c r="C245" s="6" t="s">
        <v>26</v>
      </c>
      <c r="D245" s="7" t="s">
        <v>17</v>
      </c>
      <c r="E245" s="8">
        <v>0</v>
      </c>
      <c r="F245" s="9">
        <v>0</v>
      </c>
      <c r="G245" s="8">
        <v>1</v>
      </c>
      <c r="H245" s="10">
        <v>7353</v>
      </c>
      <c r="I245" s="310">
        <v>1</v>
      </c>
      <c r="J245" s="406">
        <v>0</v>
      </c>
      <c r="K245" s="319">
        <v>0</v>
      </c>
      <c r="L245" s="424">
        <v>0</v>
      </c>
      <c r="M245" s="410">
        <v>0</v>
      </c>
      <c r="N245" s="429"/>
      <c r="Q245"/>
      <c r="R245"/>
      <c r="S245"/>
    </row>
    <row r="246" spans="1:19" s="1" customFormat="1" ht="18.25" customHeight="1" outlineLevel="1">
      <c r="A246" s="576"/>
      <c r="B246" s="12" t="s">
        <v>2</v>
      </c>
      <c r="C246" s="13" t="s">
        <v>24</v>
      </c>
      <c r="D246" s="14">
        <v>2</v>
      </c>
      <c r="E246" s="15">
        <v>0</v>
      </c>
      <c r="F246" s="16">
        <v>0</v>
      </c>
      <c r="G246" s="15">
        <v>2</v>
      </c>
      <c r="H246" s="17">
        <v>29513</v>
      </c>
      <c r="I246" s="311">
        <v>2</v>
      </c>
      <c r="J246" s="312">
        <v>1</v>
      </c>
      <c r="K246" s="906">
        <v>0</v>
      </c>
      <c r="L246" s="907">
        <v>0</v>
      </c>
      <c r="M246" s="411">
        <v>0</v>
      </c>
      <c r="N246" s="430">
        <v>0</v>
      </c>
      <c r="O246" s="1" t="s">
        <v>169</v>
      </c>
      <c r="Q246"/>
      <c r="R246"/>
      <c r="S246"/>
    </row>
    <row r="247" spans="1:19" s="1" customFormat="1" ht="18.25" customHeight="1" outlineLevel="2">
      <c r="A247" s="576"/>
      <c r="B247" s="5" t="s">
        <v>2</v>
      </c>
      <c r="C247" s="39" t="s">
        <v>827</v>
      </c>
      <c r="D247" s="7" t="s">
        <v>307</v>
      </c>
      <c r="E247" s="8">
        <v>0</v>
      </c>
      <c r="F247" s="9">
        <v>0</v>
      </c>
      <c r="G247" s="8">
        <v>2</v>
      </c>
      <c r="H247" s="10">
        <v>84353</v>
      </c>
      <c r="I247" s="310">
        <v>1</v>
      </c>
      <c r="J247" s="406">
        <v>1</v>
      </c>
      <c r="K247" s="319">
        <v>1</v>
      </c>
      <c r="L247" s="424"/>
      <c r="M247" s="410">
        <v>1</v>
      </c>
      <c r="N247" s="429"/>
      <c r="Q247"/>
      <c r="R247"/>
      <c r="S247"/>
    </row>
    <row r="248" spans="1:19" s="1" customFormat="1" ht="18.25" customHeight="1" outlineLevel="1">
      <c r="A248" s="576"/>
      <c r="B248" s="12" t="s">
        <v>2</v>
      </c>
      <c r="C248" s="13" t="s">
        <v>827</v>
      </c>
      <c r="D248" s="14">
        <v>1</v>
      </c>
      <c r="E248" s="15">
        <v>0</v>
      </c>
      <c r="F248" s="16">
        <v>0</v>
      </c>
      <c r="G248" s="15">
        <v>2</v>
      </c>
      <c r="H248" s="17">
        <v>84353</v>
      </c>
      <c r="I248" s="311">
        <v>1</v>
      </c>
      <c r="J248" s="312">
        <v>1</v>
      </c>
      <c r="K248" s="906">
        <v>1</v>
      </c>
      <c r="L248" s="907">
        <v>0</v>
      </c>
      <c r="M248" s="411">
        <v>1</v>
      </c>
      <c r="N248" s="430">
        <v>0</v>
      </c>
      <c r="O248" s="1" t="s">
        <v>670</v>
      </c>
      <c r="Q248"/>
      <c r="R248"/>
      <c r="S248"/>
    </row>
    <row r="249" spans="1:19" s="1" customFormat="1" ht="18.25" customHeight="1" outlineLevel="2">
      <c r="A249" s="576"/>
      <c r="B249" s="5" t="s">
        <v>9</v>
      </c>
      <c r="C249" s="6" t="s">
        <v>275</v>
      </c>
      <c r="D249" s="7" t="s">
        <v>481</v>
      </c>
      <c r="E249" s="8">
        <v>0</v>
      </c>
      <c r="F249" s="9">
        <v>0</v>
      </c>
      <c r="G249" s="8">
        <v>0</v>
      </c>
      <c r="H249" s="10">
        <v>0</v>
      </c>
      <c r="I249" s="310">
        <v>0</v>
      </c>
      <c r="J249" s="406">
        <v>0</v>
      </c>
      <c r="K249" s="319">
        <v>0</v>
      </c>
      <c r="L249" s="424"/>
      <c r="M249" s="410">
        <v>0</v>
      </c>
      <c r="N249" s="429"/>
      <c r="Q249"/>
      <c r="R249"/>
      <c r="S249"/>
    </row>
    <row r="250" spans="1:19" s="1" customFormat="1" ht="18.25" customHeight="1" outlineLevel="1">
      <c r="A250" s="576"/>
      <c r="B250" s="12" t="s">
        <v>9</v>
      </c>
      <c r="C250" s="13" t="s">
        <v>275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1">
        <v>0</v>
      </c>
      <c r="J250" s="312">
        <v>0</v>
      </c>
      <c r="K250" s="906">
        <v>0</v>
      </c>
      <c r="L250" s="907">
        <v>0</v>
      </c>
      <c r="M250" s="411">
        <v>0</v>
      </c>
      <c r="N250" s="430">
        <v>0</v>
      </c>
      <c r="O250" s="1" t="s">
        <v>669</v>
      </c>
      <c r="Q250"/>
      <c r="R250"/>
      <c r="S250"/>
    </row>
    <row r="251" spans="1:19" s="1" customFormat="1" ht="18.25" customHeight="1" outlineLevel="2">
      <c r="A251" s="576"/>
      <c r="B251" s="5" t="s">
        <v>2</v>
      </c>
      <c r="C251" s="6" t="s">
        <v>276</v>
      </c>
      <c r="D251" s="7" t="s">
        <v>481</v>
      </c>
      <c r="E251" s="8">
        <v>0</v>
      </c>
      <c r="F251" s="9">
        <v>0</v>
      </c>
      <c r="G251" s="8">
        <v>2</v>
      </c>
      <c r="H251" s="10">
        <v>110314</v>
      </c>
      <c r="I251" s="310">
        <v>1</v>
      </c>
      <c r="J251" s="406">
        <v>1</v>
      </c>
      <c r="K251" s="319">
        <v>1</v>
      </c>
      <c r="L251" s="424"/>
      <c r="M251" s="410">
        <v>1</v>
      </c>
      <c r="N251" s="429"/>
      <c r="Q251"/>
      <c r="R251"/>
      <c r="S251"/>
    </row>
    <row r="252" spans="1:19" s="1" customFormat="1" ht="18.25" customHeight="1" outlineLevel="1">
      <c r="A252" s="576"/>
      <c r="B252" s="12" t="s">
        <v>9</v>
      </c>
      <c r="C252" s="13" t="s">
        <v>357</v>
      </c>
      <c r="D252" s="14">
        <v>1</v>
      </c>
      <c r="E252" s="15">
        <v>0</v>
      </c>
      <c r="F252" s="16">
        <v>0</v>
      </c>
      <c r="G252" s="15">
        <v>2</v>
      </c>
      <c r="H252" s="17">
        <v>110314</v>
      </c>
      <c r="I252" s="311">
        <v>1</v>
      </c>
      <c r="J252" s="312">
        <v>1</v>
      </c>
      <c r="K252" s="906">
        <v>1</v>
      </c>
      <c r="L252" s="907">
        <v>0</v>
      </c>
      <c r="M252" s="411">
        <v>1</v>
      </c>
      <c r="N252" s="430">
        <v>0</v>
      </c>
      <c r="O252" s="1" t="s">
        <v>669</v>
      </c>
      <c r="Q252"/>
      <c r="R252"/>
      <c r="S252"/>
    </row>
    <row r="253" spans="1:19" s="1" customFormat="1" ht="18.25" customHeight="1" outlineLevel="2">
      <c r="A253" s="576"/>
      <c r="B253" s="5" t="s">
        <v>2</v>
      </c>
      <c r="C253" s="6" t="s">
        <v>124</v>
      </c>
      <c r="D253" s="7" t="s">
        <v>221</v>
      </c>
      <c r="E253" s="8">
        <v>0</v>
      </c>
      <c r="F253" s="9">
        <v>0</v>
      </c>
      <c r="G253" s="8">
        <v>0</v>
      </c>
      <c r="H253" s="10">
        <v>0</v>
      </c>
      <c r="I253" s="310">
        <v>0</v>
      </c>
      <c r="J253" s="406">
        <v>0</v>
      </c>
      <c r="K253" s="319">
        <v>0</v>
      </c>
      <c r="L253" s="424"/>
      <c r="M253" s="410">
        <v>0</v>
      </c>
      <c r="N253" s="429"/>
      <c r="Q253"/>
      <c r="R253"/>
      <c r="S253"/>
    </row>
    <row r="254" spans="1:19" s="1" customFormat="1" ht="18.25" customHeight="1" outlineLevel="2">
      <c r="A254" s="576"/>
      <c r="B254" s="5" t="s">
        <v>251</v>
      </c>
      <c r="C254" s="6" t="s">
        <v>523</v>
      </c>
      <c r="D254" s="7" t="s">
        <v>188</v>
      </c>
      <c r="E254" s="8">
        <v>0</v>
      </c>
      <c r="F254" s="9">
        <v>0</v>
      </c>
      <c r="G254" s="8">
        <v>2</v>
      </c>
      <c r="H254" s="10">
        <v>33784</v>
      </c>
      <c r="I254" s="310">
        <v>1</v>
      </c>
      <c r="J254" s="406">
        <v>1</v>
      </c>
      <c r="K254" s="319">
        <v>1</v>
      </c>
      <c r="L254" s="424">
        <v>0</v>
      </c>
      <c r="M254" s="410">
        <v>1</v>
      </c>
      <c r="N254" s="429"/>
      <c r="Q254"/>
      <c r="R254"/>
      <c r="S254"/>
    </row>
    <row r="255" spans="1:19" s="1" customFormat="1" ht="18.25" customHeight="1" outlineLevel="2">
      <c r="A255" s="576"/>
      <c r="B255" s="5" t="s">
        <v>251</v>
      </c>
      <c r="C255" s="6" t="s">
        <v>732</v>
      </c>
      <c r="D255" s="7" t="s">
        <v>188</v>
      </c>
      <c r="E255" s="8">
        <v>0</v>
      </c>
      <c r="F255" s="9">
        <v>0</v>
      </c>
      <c r="G255" s="8">
        <v>0</v>
      </c>
      <c r="H255" s="10">
        <v>0</v>
      </c>
      <c r="I255" s="310">
        <v>0</v>
      </c>
      <c r="J255" s="406">
        <v>0</v>
      </c>
      <c r="K255" s="319">
        <v>0</v>
      </c>
      <c r="L255" s="424">
        <v>0</v>
      </c>
      <c r="M255" s="410">
        <v>0</v>
      </c>
      <c r="N255" s="429"/>
      <c r="Q255"/>
      <c r="R255"/>
      <c r="S255"/>
    </row>
    <row r="256" spans="1:19" s="1" customFormat="1" ht="18.25" customHeight="1" outlineLevel="2">
      <c r="A256" s="576"/>
      <c r="B256" s="5" t="s">
        <v>251</v>
      </c>
      <c r="C256" s="6" t="s">
        <v>378</v>
      </c>
      <c r="D256" s="7" t="s">
        <v>188</v>
      </c>
      <c r="E256" s="8">
        <v>0</v>
      </c>
      <c r="F256" s="9">
        <v>0</v>
      </c>
      <c r="G256" s="8">
        <v>2</v>
      </c>
      <c r="H256" s="10">
        <v>30461</v>
      </c>
      <c r="I256" s="310">
        <v>1</v>
      </c>
      <c r="J256" s="406">
        <v>1</v>
      </c>
      <c r="K256" s="319">
        <v>1</v>
      </c>
      <c r="L256" s="424">
        <v>0</v>
      </c>
      <c r="M256" s="410">
        <v>1</v>
      </c>
      <c r="N256" s="429"/>
      <c r="Q256"/>
      <c r="R256"/>
      <c r="S256"/>
    </row>
    <row r="257" spans="1:19" s="1" customFormat="1" ht="18.25" customHeight="1" outlineLevel="2">
      <c r="A257" s="576"/>
      <c r="B257" s="5" t="s">
        <v>2</v>
      </c>
      <c r="C257" s="39" t="s">
        <v>645</v>
      </c>
      <c r="D257" s="7" t="s">
        <v>188</v>
      </c>
      <c r="E257" s="8">
        <v>0</v>
      </c>
      <c r="F257" s="9">
        <v>0</v>
      </c>
      <c r="G257" s="8">
        <v>1</v>
      </c>
      <c r="H257" s="10">
        <v>19701</v>
      </c>
      <c r="I257" s="310">
        <v>1</v>
      </c>
      <c r="J257" s="406">
        <v>1</v>
      </c>
      <c r="K257" s="319">
        <v>0</v>
      </c>
      <c r="L257" s="424">
        <v>0</v>
      </c>
      <c r="M257" s="410">
        <v>0</v>
      </c>
      <c r="N257" s="429"/>
      <c r="Q257"/>
      <c r="R257"/>
      <c r="S257"/>
    </row>
    <row r="258" spans="1:19" s="1" customFormat="1" ht="18.25" customHeight="1" outlineLevel="1">
      <c r="A258" s="576"/>
      <c r="B258" s="12" t="s">
        <v>9</v>
      </c>
      <c r="C258" s="13" t="s">
        <v>214</v>
      </c>
      <c r="D258" s="14">
        <v>5</v>
      </c>
      <c r="E258" s="15">
        <v>0</v>
      </c>
      <c r="F258" s="16">
        <v>0</v>
      </c>
      <c r="G258" s="15">
        <v>5</v>
      </c>
      <c r="H258" s="17">
        <v>83946</v>
      </c>
      <c r="I258" s="311">
        <v>3</v>
      </c>
      <c r="J258" s="312">
        <v>3</v>
      </c>
      <c r="K258" s="906">
        <v>2</v>
      </c>
      <c r="L258" s="907">
        <v>0</v>
      </c>
      <c r="M258" s="411">
        <v>2</v>
      </c>
      <c r="N258" s="430">
        <v>0</v>
      </c>
      <c r="O258" s="1" t="s">
        <v>51</v>
      </c>
      <c r="Q258"/>
      <c r="R258"/>
      <c r="S258"/>
    </row>
    <row r="259" spans="1:19" s="1" customFormat="1" ht="18.25" customHeight="1" outlineLevel="2">
      <c r="A259" s="576"/>
      <c r="B259" s="5" t="s">
        <v>9</v>
      </c>
      <c r="C259" s="6" t="s">
        <v>125</v>
      </c>
      <c r="D259" s="7" t="s">
        <v>47</v>
      </c>
      <c r="E259" s="8">
        <v>0</v>
      </c>
      <c r="F259" s="9">
        <v>0</v>
      </c>
      <c r="G259" s="8">
        <v>0</v>
      </c>
      <c r="H259" s="10">
        <v>0</v>
      </c>
      <c r="I259" s="310">
        <v>0</v>
      </c>
      <c r="J259" s="406">
        <v>0</v>
      </c>
      <c r="K259" s="319">
        <v>0</v>
      </c>
      <c r="L259" s="424"/>
      <c r="M259" s="410">
        <v>0</v>
      </c>
      <c r="N259" s="429"/>
      <c r="Q259"/>
      <c r="R259"/>
      <c r="S259"/>
    </row>
    <row r="260" spans="1:19" s="1" customFormat="1" ht="18.25" customHeight="1" outlineLevel="2">
      <c r="A260" s="576"/>
      <c r="B260" s="5" t="s">
        <v>9</v>
      </c>
      <c r="C260" s="39" t="s">
        <v>901</v>
      </c>
      <c r="D260" s="23" t="s">
        <v>17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6">
        <v>0</v>
      </c>
      <c r="K260" s="319">
        <v>0</v>
      </c>
      <c r="L260" s="424">
        <v>0</v>
      </c>
      <c r="M260" s="410">
        <v>0</v>
      </c>
      <c r="N260" s="429"/>
      <c r="Q260"/>
      <c r="R260"/>
      <c r="S260"/>
    </row>
    <row r="261" spans="1:19" s="1" customFormat="1" ht="18.25" customHeight="1" outlineLevel="2">
      <c r="A261" s="576"/>
      <c r="B261" s="5" t="s">
        <v>9</v>
      </c>
      <c r="C261" s="39" t="s">
        <v>693</v>
      </c>
      <c r="D261" s="23" t="s">
        <v>17</v>
      </c>
      <c r="E261" s="8">
        <v>1</v>
      </c>
      <c r="F261" s="9">
        <v>52635</v>
      </c>
      <c r="G261" s="8">
        <v>4</v>
      </c>
      <c r="H261" s="10">
        <v>188751</v>
      </c>
      <c r="I261" s="310">
        <v>1</v>
      </c>
      <c r="J261" s="406">
        <v>1</v>
      </c>
      <c r="K261" s="319">
        <v>1</v>
      </c>
      <c r="L261" s="424">
        <v>0</v>
      </c>
      <c r="M261" s="410">
        <v>1</v>
      </c>
      <c r="N261" s="429"/>
      <c r="Q261"/>
      <c r="R261"/>
      <c r="S261"/>
    </row>
    <row r="262" spans="1:19" s="1" customFormat="1" ht="18.25" customHeight="1" outlineLevel="2">
      <c r="A262" s="576"/>
      <c r="B262" s="5" t="s">
        <v>9</v>
      </c>
      <c r="C262" s="39" t="s">
        <v>656</v>
      </c>
      <c r="D262" s="23" t="s">
        <v>17</v>
      </c>
      <c r="E262" s="8">
        <v>0</v>
      </c>
      <c r="F262" s="9">
        <v>0</v>
      </c>
      <c r="G262" s="8">
        <v>2</v>
      </c>
      <c r="H262" s="10">
        <v>100419</v>
      </c>
      <c r="I262" s="310">
        <v>1</v>
      </c>
      <c r="J262" s="406">
        <v>1</v>
      </c>
      <c r="K262" s="319">
        <v>1</v>
      </c>
      <c r="L262" s="424">
        <v>0</v>
      </c>
      <c r="M262" s="410">
        <v>1</v>
      </c>
      <c r="N262" s="429"/>
      <c r="Q262"/>
      <c r="R262"/>
      <c r="S262"/>
    </row>
    <row r="263" spans="1:19" s="1" customFormat="1" ht="18.25" customHeight="1" outlineLevel="1">
      <c r="A263" s="576"/>
      <c r="B263" s="12" t="s">
        <v>9</v>
      </c>
      <c r="C263" s="13" t="s">
        <v>125</v>
      </c>
      <c r="D263" s="14">
        <v>4</v>
      </c>
      <c r="E263" s="15">
        <v>1</v>
      </c>
      <c r="F263" s="16">
        <v>52635</v>
      </c>
      <c r="G263" s="15">
        <v>6</v>
      </c>
      <c r="H263" s="17">
        <v>289170</v>
      </c>
      <c r="I263" s="311">
        <v>2</v>
      </c>
      <c r="J263" s="312">
        <v>2</v>
      </c>
      <c r="K263" s="906">
        <v>2</v>
      </c>
      <c r="L263" s="907">
        <v>0</v>
      </c>
      <c r="M263" s="411">
        <v>2</v>
      </c>
      <c r="N263" s="430">
        <v>0</v>
      </c>
      <c r="O263" s="1" t="s">
        <v>51</v>
      </c>
      <c r="Q263"/>
      <c r="R263"/>
      <c r="S263"/>
    </row>
    <row r="264" spans="1:19" s="1" customFormat="1" ht="18.25" customHeight="1" outlineLevel="2">
      <c r="A264" s="576"/>
      <c r="B264" s="5" t="s">
        <v>9</v>
      </c>
      <c r="C264" s="6" t="s">
        <v>126</v>
      </c>
      <c r="D264" s="7" t="s">
        <v>20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6">
        <v>0</v>
      </c>
      <c r="K264" s="319">
        <v>0</v>
      </c>
      <c r="L264" s="424"/>
      <c r="M264" s="410">
        <v>0</v>
      </c>
      <c r="N264" s="429"/>
      <c r="Q264"/>
      <c r="R264"/>
      <c r="S264"/>
    </row>
    <row r="265" spans="1:19" s="1" customFormat="1" ht="18.25" customHeight="1" outlineLevel="2">
      <c r="A265" s="576"/>
      <c r="B265" s="5" t="s">
        <v>9</v>
      </c>
      <c r="C265" s="6" t="s">
        <v>127</v>
      </c>
      <c r="D265" s="7" t="s">
        <v>17</v>
      </c>
      <c r="E265" s="8">
        <v>0</v>
      </c>
      <c r="F265" s="9">
        <v>0</v>
      </c>
      <c r="G265" s="8">
        <v>1</v>
      </c>
      <c r="H265" s="10">
        <v>17445</v>
      </c>
      <c r="I265" s="310">
        <v>1</v>
      </c>
      <c r="J265" s="406">
        <v>1</v>
      </c>
      <c r="K265" s="319">
        <v>0</v>
      </c>
      <c r="L265" s="424">
        <v>0</v>
      </c>
      <c r="M265" s="410">
        <v>0</v>
      </c>
      <c r="N265" s="429"/>
      <c r="Q265"/>
      <c r="R265"/>
      <c r="S265"/>
    </row>
    <row r="266" spans="1:19" s="1" customFormat="1" ht="18.25" customHeight="1" outlineLevel="2">
      <c r="A266" s="576"/>
      <c r="B266" s="5" t="s">
        <v>9</v>
      </c>
      <c r="C266" s="6" t="s">
        <v>701</v>
      </c>
      <c r="D266" s="7" t="s">
        <v>17</v>
      </c>
      <c r="E266" s="8">
        <v>0</v>
      </c>
      <c r="F266" s="9">
        <v>0</v>
      </c>
      <c r="G266" s="8">
        <v>1</v>
      </c>
      <c r="H266" s="10">
        <v>3497</v>
      </c>
      <c r="I266" s="310">
        <v>1</v>
      </c>
      <c r="J266" s="406">
        <v>0</v>
      </c>
      <c r="K266" s="319">
        <v>0</v>
      </c>
      <c r="L266" s="424">
        <v>0</v>
      </c>
      <c r="M266" s="410">
        <v>0</v>
      </c>
      <c r="N266" s="429"/>
      <c r="Q266"/>
      <c r="R266"/>
      <c r="S266"/>
    </row>
    <row r="267" spans="1:19" s="1" customFormat="1" ht="18.25" customHeight="1" outlineLevel="1">
      <c r="A267" s="576"/>
      <c r="B267" s="12" t="s">
        <v>9</v>
      </c>
      <c r="C267" s="13" t="s">
        <v>126</v>
      </c>
      <c r="D267" s="14">
        <v>3</v>
      </c>
      <c r="E267" s="15">
        <v>0</v>
      </c>
      <c r="F267" s="16">
        <v>0</v>
      </c>
      <c r="G267" s="15">
        <v>2</v>
      </c>
      <c r="H267" s="17">
        <v>20942</v>
      </c>
      <c r="I267" s="311">
        <v>2</v>
      </c>
      <c r="J267" s="312">
        <v>1</v>
      </c>
      <c r="K267" s="906">
        <v>0</v>
      </c>
      <c r="L267" s="907">
        <v>0</v>
      </c>
      <c r="M267" s="411">
        <v>0</v>
      </c>
      <c r="N267" s="430">
        <v>0</v>
      </c>
      <c r="O267" s="1" t="s">
        <v>169</v>
      </c>
      <c r="Q267"/>
      <c r="R267"/>
      <c r="S267"/>
    </row>
    <row r="268" spans="1:19" s="1" customFormat="1" ht="18.25" customHeight="1" outlineLevel="2">
      <c r="A268" s="576"/>
      <c r="B268" s="5" t="s">
        <v>9</v>
      </c>
      <c r="C268" s="39" t="s">
        <v>830</v>
      </c>
      <c r="D268" s="23" t="s">
        <v>221</v>
      </c>
      <c r="E268" s="42">
        <v>0</v>
      </c>
      <c r="F268" s="43">
        <v>0</v>
      </c>
      <c r="G268" s="42">
        <v>2</v>
      </c>
      <c r="H268" s="44">
        <v>17122</v>
      </c>
      <c r="I268" s="310">
        <v>1</v>
      </c>
      <c r="J268" s="406">
        <v>0</v>
      </c>
      <c r="K268" s="319">
        <v>0</v>
      </c>
      <c r="L268" s="424"/>
      <c r="M268" s="410">
        <v>0</v>
      </c>
      <c r="N268" s="429"/>
      <c r="Q268"/>
      <c r="R268"/>
      <c r="S268"/>
    </row>
    <row r="269" spans="1:19" s="1" customFormat="1" ht="18.25" customHeight="1" outlineLevel="2">
      <c r="A269" s="576"/>
      <c r="B269" s="5" t="s">
        <v>2</v>
      </c>
      <c r="C269" s="39" t="s">
        <v>818</v>
      </c>
      <c r="D269" s="23" t="s">
        <v>27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6">
        <v>0</v>
      </c>
      <c r="K269" s="319">
        <v>0</v>
      </c>
      <c r="L269" s="424">
        <v>0</v>
      </c>
      <c r="M269" s="410">
        <v>0</v>
      </c>
      <c r="N269" s="429"/>
      <c r="Q269"/>
      <c r="R269"/>
      <c r="S269"/>
    </row>
    <row r="270" spans="1:19" s="1" customFormat="1" ht="18.25" customHeight="1" outlineLevel="2">
      <c r="A270" s="576"/>
      <c r="B270" s="5" t="s">
        <v>2</v>
      </c>
      <c r="C270" s="6" t="s">
        <v>381</v>
      </c>
      <c r="D270" s="7" t="s">
        <v>27</v>
      </c>
      <c r="E270" s="8">
        <v>1</v>
      </c>
      <c r="F270" s="9">
        <v>6734</v>
      </c>
      <c r="G270" s="8">
        <v>2</v>
      </c>
      <c r="H270" s="10">
        <v>10334</v>
      </c>
      <c r="I270" s="310">
        <v>1</v>
      </c>
      <c r="J270" s="406">
        <v>1</v>
      </c>
      <c r="K270" s="319">
        <v>0</v>
      </c>
      <c r="L270" s="424">
        <v>0</v>
      </c>
      <c r="M270" s="410">
        <v>0</v>
      </c>
      <c r="N270" s="429"/>
      <c r="Q270"/>
      <c r="R270"/>
      <c r="S270"/>
    </row>
    <row r="271" spans="1:19" s="1" customFormat="1" ht="18.25" customHeight="1" outlineLevel="1">
      <c r="A271" s="576"/>
      <c r="B271" s="12" t="s">
        <v>9</v>
      </c>
      <c r="C271" s="13" t="s">
        <v>226</v>
      </c>
      <c r="D271" s="14">
        <v>3</v>
      </c>
      <c r="E271" s="15">
        <v>1</v>
      </c>
      <c r="F271" s="16">
        <v>6734</v>
      </c>
      <c r="G271" s="15">
        <v>4</v>
      </c>
      <c r="H271" s="17">
        <v>27456</v>
      </c>
      <c r="I271" s="311">
        <v>2</v>
      </c>
      <c r="J271" s="312">
        <v>1</v>
      </c>
      <c r="K271" s="906">
        <v>0</v>
      </c>
      <c r="L271" s="907">
        <v>0</v>
      </c>
      <c r="M271" s="411">
        <v>0</v>
      </c>
      <c r="N271" s="430">
        <v>0</v>
      </c>
      <c r="O271" s="1" t="s">
        <v>51</v>
      </c>
      <c r="Q271"/>
      <c r="R271"/>
      <c r="S271"/>
    </row>
    <row r="272" spans="1:19" s="1" customFormat="1" ht="18.25" customHeight="1" outlineLevel="2">
      <c r="A272" s="576"/>
      <c r="B272" s="5" t="s">
        <v>9</v>
      </c>
      <c r="C272" s="18" t="s">
        <v>128</v>
      </c>
      <c r="D272" s="19" t="s">
        <v>40</v>
      </c>
      <c r="E272" s="8">
        <v>0</v>
      </c>
      <c r="F272" s="9">
        <v>0</v>
      </c>
      <c r="G272" s="8">
        <v>0</v>
      </c>
      <c r="H272" s="10">
        <v>0</v>
      </c>
      <c r="I272" s="310">
        <v>0</v>
      </c>
      <c r="J272" s="406">
        <v>0</v>
      </c>
      <c r="K272" s="319">
        <v>0</v>
      </c>
      <c r="L272" s="424"/>
      <c r="M272" s="410">
        <v>0</v>
      </c>
      <c r="N272" s="429"/>
      <c r="Q272"/>
      <c r="R272"/>
      <c r="S272"/>
    </row>
    <row r="273" spans="1:19" ht="18.25" customHeight="1" outlineLevel="2">
      <c r="B273" s="5" t="s">
        <v>9</v>
      </c>
      <c r="C273" s="6" t="s">
        <v>129</v>
      </c>
      <c r="D273" s="7" t="s">
        <v>17</v>
      </c>
      <c r="E273" s="8">
        <v>0</v>
      </c>
      <c r="F273" s="9">
        <v>0</v>
      </c>
      <c r="G273" s="8">
        <v>1</v>
      </c>
      <c r="H273" s="10">
        <v>8892</v>
      </c>
      <c r="I273" s="310">
        <v>1</v>
      </c>
      <c r="J273" s="406">
        <v>0</v>
      </c>
      <c r="K273" s="319">
        <v>0</v>
      </c>
      <c r="L273" s="424">
        <v>0</v>
      </c>
      <c r="M273" s="410">
        <v>0</v>
      </c>
      <c r="N273" s="429"/>
    </row>
    <row r="274" spans="1:19" s="65" customFormat="1" ht="18.25" customHeight="1" outlineLevel="1">
      <c r="A274" s="577"/>
      <c r="B274" s="47" t="s">
        <v>9</v>
      </c>
      <c r="C274" s="61" t="s">
        <v>128</v>
      </c>
      <c r="D274" s="26">
        <v>2</v>
      </c>
      <c r="E274" s="62">
        <v>0</v>
      </c>
      <c r="F274" s="63">
        <v>0</v>
      </c>
      <c r="G274" s="62">
        <v>1</v>
      </c>
      <c r="H274" s="64">
        <v>8892</v>
      </c>
      <c r="I274" s="316">
        <v>1</v>
      </c>
      <c r="J274" s="317">
        <v>0</v>
      </c>
      <c r="K274" s="906">
        <v>0</v>
      </c>
      <c r="L274" s="907">
        <v>0</v>
      </c>
      <c r="M274" s="413">
        <v>0</v>
      </c>
      <c r="N274" s="432">
        <v>0</v>
      </c>
      <c r="O274" s="249" t="s">
        <v>51</v>
      </c>
      <c r="P274" s="249"/>
    </row>
    <row r="275" spans="1:19" ht="18.25" customHeight="1" outlineLevel="2">
      <c r="B275" s="5" t="s">
        <v>9</v>
      </c>
      <c r="C275" s="6" t="s">
        <v>478</v>
      </c>
      <c r="D275" s="7" t="s">
        <v>240</v>
      </c>
      <c r="E275" s="8">
        <v>0</v>
      </c>
      <c r="F275" s="9">
        <v>0</v>
      </c>
      <c r="G275" s="8">
        <v>0</v>
      </c>
      <c r="H275" s="10">
        <v>0</v>
      </c>
      <c r="I275" s="310">
        <v>0</v>
      </c>
      <c r="J275" s="406">
        <v>0</v>
      </c>
      <c r="K275" s="319">
        <v>0</v>
      </c>
      <c r="L275" s="424"/>
      <c r="M275" s="410">
        <v>0</v>
      </c>
      <c r="N275" s="429"/>
    </row>
    <row r="276" spans="1:19" ht="18.25" customHeight="1" outlineLevel="2">
      <c r="B276" s="5" t="s">
        <v>9</v>
      </c>
      <c r="C276" s="39" t="s">
        <v>514</v>
      </c>
      <c r="D276" s="7" t="s">
        <v>188</v>
      </c>
      <c r="E276" s="8">
        <v>0</v>
      </c>
      <c r="F276" s="9">
        <v>0</v>
      </c>
      <c r="G276" s="8">
        <v>3</v>
      </c>
      <c r="H276" s="10">
        <v>145520</v>
      </c>
      <c r="I276" s="310">
        <v>1</v>
      </c>
      <c r="J276" s="406">
        <v>1</v>
      </c>
      <c r="K276" s="319">
        <v>1</v>
      </c>
      <c r="L276" s="424">
        <v>0</v>
      </c>
      <c r="M276" s="410">
        <v>1</v>
      </c>
      <c r="N276" s="429"/>
    </row>
    <row r="277" spans="1:19" s="65" customFormat="1" ht="18.25" customHeight="1" outlineLevel="1">
      <c r="A277" s="577"/>
      <c r="B277" s="47" t="s">
        <v>9</v>
      </c>
      <c r="C277" s="61" t="s">
        <v>478</v>
      </c>
      <c r="D277" s="26">
        <v>2</v>
      </c>
      <c r="E277" s="62">
        <v>0</v>
      </c>
      <c r="F277" s="63">
        <v>0</v>
      </c>
      <c r="G277" s="62">
        <v>3</v>
      </c>
      <c r="H277" s="64">
        <v>145520</v>
      </c>
      <c r="I277" s="316">
        <v>1</v>
      </c>
      <c r="J277" s="317">
        <v>1</v>
      </c>
      <c r="K277" s="906">
        <v>1</v>
      </c>
      <c r="L277" s="907">
        <v>0</v>
      </c>
      <c r="M277" s="413">
        <v>1</v>
      </c>
      <c r="N277" s="432">
        <v>0</v>
      </c>
      <c r="O277" s="249" t="s">
        <v>171</v>
      </c>
      <c r="P277" s="249"/>
    </row>
    <row r="278" spans="1:19" ht="18.25" customHeight="1" outlineLevel="2">
      <c r="B278" s="5" t="s">
        <v>9</v>
      </c>
      <c r="C278" s="6" t="s">
        <v>291</v>
      </c>
      <c r="D278" s="7" t="s">
        <v>237</v>
      </c>
      <c r="E278" s="8">
        <v>2</v>
      </c>
      <c r="F278" s="9">
        <v>20650</v>
      </c>
      <c r="G278" s="8">
        <v>2</v>
      </c>
      <c r="H278" s="10">
        <v>20650</v>
      </c>
      <c r="I278" s="310">
        <v>1</v>
      </c>
      <c r="J278" s="406">
        <v>1</v>
      </c>
      <c r="K278" s="319">
        <v>0</v>
      </c>
      <c r="L278" s="424"/>
      <c r="M278" s="410">
        <v>0</v>
      </c>
      <c r="N278" s="429"/>
    </row>
    <row r="279" spans="1:19" s="65" customFormat="1" ht="18.25" customHeight="1" outlineLevel="1">
      <c r="A279" s="577"/>
      <c r="B279" s="47" t="s">
        <v>9</v>
      </c>
      <c r="C279" s="61" t="s">
        <v>291</v>
      </c>
      <c r="D279" s="26">
        <v>1</v>
      </c>
      <c r="E279" s="62">
        <v>2</v>
      </c>
      <c r="F279" s="63">
        <v>20650</v>
      </c>
      <c r="G279" s="62">
        <v>2</v>
      </c>
      <c r="H279" s="64">
        <v>20650</v>
      </c>
      <c r="I279" s="316">
        <v>1</v>
      </c>
      <c r="J279" s="317">
        <v>1</v>
      </c>
      <c r="K279" s="906">
        <v>0</v>
      </c>
      <c r="L279" s="907">
        <v>0</v>
      </c>
      <c r="M279" s="413">
        <v>0</v>
      </c>
      <c r="N279" s="432">
        <v>0</v>
      </c>
      <c r="O279" s="249" t="s">
        <v>669</v>
      </c>
      <c r="P279" s="249"/>
    </row>
    <row r="280" spans="1:19" ht="18.25" customHeight="1" outlineLevel="2">
      <c r="B280" s="5" t="s">
        <v>9</v>
      </c>
      <c r="C280" s="6" t="s">
        <v>277</v>
      </c>
      <c r="D280" s="7" t="s">
        <v>25</v>
      </c>
      <c r="E280" s="8">
        <v>0</v>
      </c>
      <c r="F280" s="9">
        <v>0</v>
      </c>
      <c r="G280" s="8">
        <v>1</v>
      </c>
      <c r="H280" s="10">
        <v>5251</v>
      </c>
      <c r="I280" s="310">
        <v>1</v>
      </c>
      <c r="J280" s="406">
        <v>0</v>
      </c>
      <c r="K280" s="319">
        <v>0</v>
      </c>
      <c r="L280" s="424"/>
      <c r="M280" s="410">
        <v>0</v>
      </c>
      <c r="N280" s="429"/>
    </row>
    <row r="281" spans="1:19" ht="18.25" customHeight="1" outlineLevel="2">
      <c r="B281" s="5" t="s">
        <v>9</v>
      </c>
      <c r="C281" s="6" t="s">
        <v>352</v>
      </c>
      <c r="D281" s="7" t="s">
        <v>17</v>
      </c>
      <c r="E281" s="8">
        <v>0</v>
      </c>
      <c r="F281" s="9">
        <v>0</v>
      </c>
      <c r="G281" s="8">
        <v>1</v>
      </c>
      <c r="H281" s="10">
        <v>14725</v>
      </c>
      <c r="I281" s="310">
        <v>1</v>
      </c>
      <c r="J281" s="406">
        <v>1</v>
      </c>
      <c r="K281" s="319">
        <v>0</v>
      </c>
      <c r="L281" s="424">
        <v>0</v>
      </c>
      <c r="M281" s="410">
        <v>0</v>
      </c>
      <c r="N281" s="429"/>
    </row>
    <row r="282" spans="1:19" s="65" customFormat="1" ht="18.25" customHeight="1" outlineLevel="1">
      <c r="A282" s="577"/>
      <c r="B282" s="47" t="s">
        <v>9</v>
      </c>
      <c r="C282" s="61" t="s">
        <v>372</v>
      </c>
      <c r="D282" s="26">
        <v>2</v>
      </c>
      <c r="E282" s="62">
        <v>0</v>
      </c>
      <c r="F282" s="63">
        <v>0</v>
      </c>
      <c r="G282" s="62">
        <v>2</v>
      </c>
      <c r="H282" s="64">
        <v>19976</v>
      </c>
      <c r="I282" s="316">
        <v>2</v>
      </c>
      <c r="J282" s="317">
        <v>1</v>
      </c>
      <c r="K282" s="906">
        <v>0</v>
      </c>
      <c r="L282" s="907">
        <v>0</v>
      </c>
      <c r="M282" s="413">
        <v>0</v>
      </c>
      <c r="N282" s="432">
        <v>0</v>
      </c>
      <c r="O282" s="249" t="s">
        <v>169</v>
      </c>
      <c r="P282" s="249"/>
    </row>
    <row r="283" spans="1:19" s="149" customFormat="1" ht="18.25" customHeight="1">
      <c r="A283" s="575" t="s">
        <v>847</v>
      </c>
      <c r="B283" s="967" t="s">
        <v>9</v>
      </c>
      <c r="C283" s="968"/>
      <c r="D283" s="145">
        <v>39</v>
      </c>
      <c r="E283" s="146">
        <v>6</v>
      </c>
      <c r="F283" s="147">
        <v>99411</v>
      </c>
      <c r="G283" s="146">
        <v>66</v>
      </c>
      <c r="H283" s="148">
        <v>1372710</v>
      </c>
      <c r="I283" s="314">
        <v>29</v>
      </c>
      <c r="J283" s="315">
        <v>20</v>
      </c>
      <c r="K283" s="908">
        <v>12</v>
      </c>
      <c r="L283" s="909">
        <v>0</v>
      </c>
      <c r="M283" s="412">
        <v>12</v>
      </c>
      <c r="N283" s="431">
        <v>0</v>
      </c>
      <c r="O283" s="248"/>
      <c r="P283" s="248"/>
    </row>
    <row r="284" spans="1:19" ht="18.25" customHeight="1" outlineLevel="2">
      <c r="B284" s="5" t="s">
        <v>3</v>
      </c>
      <c r="C284" s="6" t="s">
        <v>130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6">
        <v>0</v>
      </c>
      <c r="K284" s="319">
        <v>0</v>
      </c>
      <c r="L284" s="424"/>
      <c r="M284" s="410">
        <v>0</v>
      </c>
      <c r="N284" s="429"/>
    </row>
    <row r="285" spans="1:19" ht="18.25" customHeight="1" outlineLevel="1">
      <c r="B285" s="12" t="s">
        <v>3</v>
      </c>
      <c r="C285" s="13" t="s">
        <v>130</v>
      </c>
      <c r="D285" s="14">
        <v>1</v>
      </c>
      <c r="E285" s="15">
        <v>0</v>
      </c>
      <c r="F285" s="16">
        <v>0</v>
      </c>
      <c r="G285" s="15">
        <v>0</v>
      </c>
      <c r="H285" s="17">
        <v>0</v>
      </c>
      <c r="I285" s="311">
        <v>0</v>
      </c>
      <c r="J285" s="312">
        <v>0</v>
      </c>
      <c r="K285" s="906">
        <v>0</v>
      </c>
      <c r="L285" s="907">
        <v>0</v>
      </c>
      <c r="M285" s="411">
        <v>0</v>
      </c>
      <c r="N285" s="430">
        <v>0</v>
      </c>
      <c r="O285" s="1" t="s">
        <v>167</v>
      </c>
    </row>
    <row r="286" spans="1:19" ht="18.25" customHeight="1" outlineLevel="2">
      <c r="B286" s="5" t="s">
        <v>3</v>
      </c>
      <c r="C286" s="6" t="s">
        <v>648</v>
      </c>
      <c r="D286" s="7" t="s">
        <v>25</v>
      </c>
      <c r="E286" s="8">
        <v>0</v>
      </c>
      <c r="F286" s="9">
        <v>0</v>
      </c>
      <c r="G286" s="8">
        <v>0</v>
      </c>
      <c r="H286" s="10">
        <v>0</v>
      </c>
      <c r="I286" s="310">
        <v>0</v>
      </c>
      <c r="J286" s="406">
        <v>0</v>
      </c>
      <c r="K286" s="319">
        <v>0</v>
      </c>
      <c r="L286" s="424"/>
      <c r="M286" s="410">
        <v>0</v>
      </c>
      <c r="N286" s="429"/>
    </row>
    <row r="287" spans="1:19" ht="18.25" customHeight="1" outlineLevel="2">
      <c r="B287" s="5" t="s">
        <v>3</v>
      </c>
      <c r="C287" s="6" t="s">
        <v>806</v>
      </c>
      <c r="D287" s="7" t="s">
        <v>17</v>
      </c>
      <c r="E287" s="8">
        <v>0</v>
      </c>
      <c r="F287" s="9">
        <v>0</v>
      </c>
      <c r="G287" s="8">
        <v>3</v>
      </c>
      <c r="H287" s="10">
        <v>27039</v>
      </c>
      <c r="I287" s="310">
        <v>1</v>
      </c>
      <c r="J287" s="406">
        <v>1</v>
      </c>
      <c r="K287" s="319">
        <v>1</v>
      </c>
      <c r="L287" s="424">
        <v>1</v>
      </c>
      <c r="M287" s="410">
        <v>1</v>
      </c>
      <c r="N287" s="429"/>
    </row>
    <row r="288" spans="1:19" s="1" customFormat="1" ht="18.25" customHeight="1" outlineLevel="1">
      <c r="A288" s="576"/>
      <c r="B288" s="12" t="s">
        <v>3</v>
      </c>
      <c r="C288" s="13" t="s">
        <v>648</v>
      </c>
      <c r="D288" s="14">
        <v>2</v>
      </c>
      <c r="E288" s="15">
        <v>0</v>
      </c>
      <c r="F288" s="16">
        <v>0</v>
      </c>
      <c r="G288" s="15">
        <v>3</v>
      </c>
      <c r="H288" s="17">
        <v>27039</v>
      </c>
      <c r="I288" s="311">
        <v>1</v>
      </c>
      <c r="J288" s="312">
        <v>1</v>
      </c>
      <c r="K288" s="906">
        <v>1</v>
      </c>
      <c r="L288" s="907">
        <v>1</v>
      </c>
      <c r="M288" s="411">
        <v>1</v>
      </c>
      <c r="N288" s="430">
        <v>1</v>
      </c>
      <c r="O288" s="1" t="s">
        <v>169</v>
      </c>
      <c r="Q288"/>
      <c r="R288"/>
      <c r="S288"/>
    </row>
    <row r="289" spans="1:19" s="1" customFormat="1" ht="18.25" customHeight="1" outlineLevel="2">
      <c r="A289" s="576"/>
      <c r="B289" s="5" t="s">
        <v>3</v>
      </c>
      <c r="C289" s="39" t="s">
        <v>727</v>
      </c>
      <c r="D289" s="40" t="s">
        <v>189</v>
      </c>
      <c r="E289" s="8">
        <v>0</v>
      </c>
      <c r="F289" s="9">
        <v>0</v>
      </c>
      <c r="G289" s="8">
        <v>5</v>
      </c>
      <c r="H289" s="10">
        <v>28085</v>
      </c>
      <c r="I289" s="310">
        <v>1</v>
      </c>
      <c r="J289" s="406">
        <v>1</v>
      </c>
      <c r="K289" s="319">
        <v>1</v>
      </c>
      <c r="L289" s="424"/>
      <c r="M289" s="410">
        <v>1</v>
      </c>
      <c r="N289" s="429"/>
      <c r="Q289"/>
      <c r="R289"/>
      <c r="S289"/>
    </row>
    <row r="290" spans="1:19" s="1" customFormat="1" ht="18.25" customHeight="1" outlineLevel="1">
      <c r="A290" s="576"/>
      <c r="B290" s="12" t="s">
        <v>3</v>
      </c>
      <c r="C290" s="25" t="s">
        <v>727</v>
      </c>
      <c r="D290" s="26">
        <v>1</v>
      </c>
      <c r="E290" s="15">
        <v>0</v>
      </c>
      <c r="F290" s="16">
        <v>0</v>
      </c>
      <c r="G290" s="15">
        <v>5</v>
      </c>
      <c r="H290" s="17">
        <v>28085</v>
      </c>
      <c r="I290" s="311">
        <v>1</v>
      </c>
      <c r="J290" s="312">
        <v>1</v>
      </c>
      <c r="K290" s="906">
        <v>1</v>
      </c>
      <c r="L290" s="907">
        <v>0</v>
      </c>
      <c r="M290" s="411">
        <v>1</v>
      </c>
      <c r="N290" s="430">
        <v>0</v>
      </c>
      <c r="O290" s="1" t="s">
        <v>169</v>
      </c>
      <c r="Q290"/>
      <c r="R290"/>
      <c r="S290"/>
    </row>
    <row r="291" spans="1:19" s="1" customFormat="1" ht="18.25" customHeight="1" outlineLevel="2">
      <c r="A291" s="576"/>
      <c r="B291" s="5" t="s">
        <v>3</v>
      </c>
      <c r="C291" s="39" t="s">
        <v>815</v>
      </c>
      <c r="D291" s="40" t="s">
        <v>369</v>
      </c>
      <c r="E291" s="8">
        <v>0</v>
      </c>
      <c r="F291" s="9">
        <v>0</v>
      </c>
      <c r="G291" s="8">
        <v>1</v>
      </c>
      <c r="H291" s="10">
        <v>14798</v>
      </c>
      <c r="I291" s="310">
        <v>1</v>
      </c>
      <c r="J291" s="406">
        <v>0</v>
      </c>
      <c r="K291" s="319">
        <v>0</v>
      </c>
      <c r="L291" s="424"/>
      <c r="M291" s="410">
        <v>0</v>
      </c>
      <c r="N291" s="429"/>
      <c r="Q291"/>
      <c r="R291"/>
      <c r="S291"/>
    </row>
    <row r="292" spans="1:19" s="1" customFormat="1" ht="18.25" customHeight="1" outlineLevel="1">
      <c r="A292" s="576"/>
      <c r="B292" s="12" t="s">
        <v>3</v>
      </c>
      <c r="C292" s="25" t="s">
        <v>815</v>
      </c>
      <c r="D292" s="26">
        <v>1</v>
      </c>
      <c r="E292" s="15">
        <v>0</v>
      </c>
      <c r="F292" s="16">
        <v>0</v>
      </c>
      <c r="G292" s="15">
        <v>1</v>
      </c>
      <c r="H292" s="17">
        <v>14798</v>
      </c>
      <c r="I292" s="311">
        <v>1</v>
      </c>
      <c r="J292" s="312">
        <v>0</v>
      </c>
      <c r="K292" s="906">
        <v>0</v>
      </c>
      <c r="L292" s="907">
        <v>0</v>
      </c>
      <c r="M292" s="411">
        <v>0</v>
      </c>
      <c r="N292" s="430">
        <v>0</v>
      </c>
      <c r="O292" s="1" t="s">
        <v>670</v>
      </c>
      <c r="Q292"/>
      <c r="R292"/>
      <c r="S292"/>
    </row>
    <row r="293" spans="1:19" s="1" customFormat="1" ht="18.25" customHeight="1" outlineLevel="2">
      <c r="A293" s="576"/>
      <c r="B293" s="5" t="s">
        <v>3</v>
      </c>
      <c r="C293" s="39" t="s">
        <v>131</v>
      </c>
      <c r="D293" s="40" t="s">
        <v>40</v>
      </c>
      <c r="E293" s="8">
        <v>0</v>
      </c>
      <c r="F293" s="9">
        <v>0</v>
      </c>
      <c r="G293" s="8">
        <v>6</v>
      </c>
      <c r="H293" s="10">
        <v>14408</v>
      </c>
      <c r="I293" s="310">
        <v>1</v>
      </c>
      <c r="J293" s="406">
        <v>0</v>
      </c>
      <c r="K293" s="319">
        <v>0</v>
      </c>
      <c r="L293" s="424"/>
      <c r="M293" s="410">
        <v>0</v>
      </c>
      <c r="N293" s="429"/>
      <c r="Q293"/>
      <c r="R293"/>
      <c r="S293"/>
    </row>
    <row r="294" spans="1:19" s="1" customFormat="1" ht="18.25" customHeight="1" outlineLevel="2">
      <c r="A294" s="576"/>
      <c r="B294" s="5" t="s">
        <v>3</v>
      </c>
      <c r="C294" s="6" t="s">
        <v>294</v>
      </c>
      <c r="D294" s="7" t="s">
        <v>17</v>
      </c>
      <c r="E294" s="8">
        <v>0</v>
      </c>
      <c r="F294" s="9">
        <v>0</v>
      </c>
      <c r="G294" s="8">
        <v>1</v>
      </c>
      <c r="H294" s="10">
        <v>36000</v>
      </c>
      <c r="I294" s="310">
        <v>1</v>
      </c>
      <c r="J294" s="406">
        <v>1</v>
      </c>
      <c r="K294" s="319">
        <v>1</v>
      </c>
      <c r="L294" s="424">
        <v>0</v>
      </c>
      <c r="M294" s="410">
        <v>1</v>
      </c>
      <c r="N294" s="429"/>
      <c r="Q294"/>
      <c r="R294"/>
      <c r="S294"/>
    </row>
    <row r="295" spans="1:19" s="1" customFormat="1" ht="18.25" customHeight="1" outlineLevel="2">
      <c r="A295" s="576"/>
      <c r="B295" s="5" t="s">
        <v>3</v>
      </c>
      <c r="C295" s="6" t="s">
        <v>652</v>
      </c>
      <c r="D295" s="7" t="s">
        <v>17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6">
        <v>0</v>
      </c>
      <c r="K295" s="319">
        <v>0</v>
      </c>
      <c r="L295" s="424">
        <v>0</v>
      </c>
      <c r="M295" s="410">
        <v>0</v>
      </c>
      <c r="N295" s="429"/>
      <c r="Q295"/>
      <c r="R295"/>
      <c r="S295"/>
    </row>
    <row r="296" spans="1:19" s="1" customFormat="1" ht="18.25" customHeight="1" outlineLevel="1">
      <c r="A296" s="576"/>
      <c r="B296" s="12" t="s">
        <v>3</v>
      </c>
      <c r="C296" s="25" t="s">
        <v>131</v>
      </c>
      <c r="D296" s="26">
        <v>3</v>
      </c>
      <c r="E296" s="15">
        <v>0</v>
      </c>
      <c r="F296" s="16">
        <v>0</v>
      </c>
      <c r="G296" s="15">
        <v>7</v>
      </c>
      <c r="H296" s="17">
        <v>50408</v>
      </c>
      <c r="I296" s="311">
        <v>2</v>
      </c>
      <c r="J296" s="312">
        <v>1</v>
      </c>
      <c r="K296" s="906">
        <v>1</v>
      </c>
      <c r="L296" s="907">
        <v>0</v>
      </c>
      <c r="M296" s="411">
        <v>1</v>
      </c>
      <c r="N296" s="430">
        <v>0</v>
      </c>
      <c r="O296" s="1" t="s">
        <v>51</v>
      </c>
      <c r="Q296"/>
      <c r="R296"/>
      <c r="S296"/>
    </row>
    <row r="297" spans="1:19" s="1" customFormat="1" ht="18" customHeight="1" outlineLevel="2">
      <c r="A297" s="576"/>
      <c r="B297" s="5" t="s">
        <v>3</v>
      </c>
      <c r="C297" s="6" t="s">
        <v>132</v>
      </c>
      <c r="D297" s="19" t="s">
        <v>40</v>
      </c>
      <c r="E297" s="8">
        <v>0</v>
      </c>
      <c r="F297" s="9">
        <v>0</v>
      </c>
      <c r="G297" s="8">
        <v>0</v>
      </c>
      <c r="H297" s="10">
        <v>0</v>
      </c>
      <c r="I297" s="310">
        <v>0</v>
      </c>
      <c r="J297" s="406">
        <v>0</v>
      </c>
      <c r="K297" s="319">
        <v>0</v>
      </c>
      <c r="L297" s="424"/>
      <c r="M297" s="410">
        <v>0</v>
      </c>
      <c r="N297" s="429"/>
      <c r="Q297"/>
      <c r="R297"/>
      <c r="S297"/>
    </row>
    <row r="298" spans="1:19" s="1" customFormat="1" ht="18.25" customHeight="1" outlineLevel="2">
      <c r="A298" s="576"/>
      <c r="B298" s="5" t="s">
        <v>3</v>
      </c>
      <c r="C298" s="6" t="s">
        <v>139</v>
      </c>
      <c r="D298" s="7" t="s">
        <v>17</v>
      </c>
      <c r="E298" s="8">
        <v>0</v>
      </c>
      <c r="F298" s="9">
        <v>0</v>
      </c>
      <c r="G298" s="8">
        <v>10</v>
      </c>
      <c r="H298" s="10">
        <v>124057</v>
      </c>
      <c r="I298" s="310">
        <v>1</v>
      </c>
      <c r="J298" s="406">
        <v>1</v>
      </c>
      <c r="K298" s="319">
        <v>1</v>
      </c>
      <c r="L298" s="424">
        <v>0</v>
      </c>
      <c r="M298" s="410">
        <v>1</v>
      </c>
      <c r="N298" s="429"/>
      <c r="Q298"/>
      <c r="R298"/>
      <c r="S298"/>
    </row>
    <row r="299" spans="1:19" s="1" customFormat="1" ht="18.25" customHeight="1" outlineLevel="2">
      <c r="A299" s="576"/>
      <c r="B299" s="5" t="s">
        <v>3</v>
      </c>
      <c r="C299" s="6" t="s">
        <v>285</v>
      </c>
      <c r="D299" s="7" t="s">
        <v>17</v>
      </c>
      <c r="E299" s="8">
        <v>0</v>
      </c>
      <c r="F299" s="9">
        <v>0</v>
      </c>
      <c r="G299" s="8">
        <v>1</v>
      </c>
      <c r="H299" s="10">
        <v>11589</v>
      </c>
      <c r="I299" s="310">
        <v>1</v>
      </c>
      <c r="J299" s="406">
        <v>1</v>
      </c>
      <c r="K299" s="319">
        <v>0</v>
      </c>
      <c r="L299" s="424">
        <v>0</v>
      </c>
      <c r="M299" s="410">
        <v>0</v>
      </c>
      <c r="N299" s="429"/>
      <c r="Q299"/>
      <c r="R299"/>
      <c r="S299"/>
    </row>
    <row r="300" spans="1:19" s="1" customFormat="1" ht="18.25" customHeight="1" outlineLevel="1">
      <c r="A300" s="576"/>
      <c r="B300" s="12" t="s">
        <v>3</v>
      </c>
      <c r="C300" s="13" t="s">
        <v>132</v>
      </c>
      <c r="D300" s="14">
        <v>3</v>
      </c>
      <c r="E300" s="15">
        <v>0</v>
      </c>
      <c r="F300" s="16">
        <v>0</v>
      </c>
      <c r="G300" s="15">
        <v>11</v>
      </c>
      <c r="H300" s="17">
        <v>135646</v>
      </c>
      <c r="I300" s="311">
        <v>2</v>
      </c>
      <c r="J300" s="312">
        <v>2</v>
      </c>
      <c r="K300" s="906">
        <v>1</v>
      </c>
      <c r="L300" s="907">
        <v>0</v>
      </c>
      <c r="M300" s="411">
        <v>1</v>
      </c>
      <c r="N300" s="430">
        <v>0</v>
      </c>
      <c r="O300" s="1" t="s">
        <v>51</v>
      </c>
      <c r="Q300"/>
      <c r="R300"/>
      <c r="S300"/>
    </row>
    <row r="301" spans="1:19" s="1" customFormat="1" ht="18.25" customHeight="1" outlineLevel="2">
      <c r="A301" s="576"/>
      <c r="B301" s="5" t="s">
        <v>3</v>
      </c>
      <c r="C301" s="39" t="s">
        <v>720</v>
      </c>
      <c r="D301" s="40" t="s">
        <v>369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6">
        <v>0</v>
      </c>
      <c r="K301" s="319">
        <v>0</v>
      </c>
      <c r="L301" s="424"/>
      <c r="M301" s="410">
        <v>0</v>
      </c>
      <c r="N301" s="429"/>
      <c r="Q301"/>
      <c r="R301"/>
      <c r="S301"/>
    </row>
    <row r="302" spans="1:19" s="1" customFormat="1" ht="18.25" customHeight="1" outlineLevel="1">
      <c r="A302" s="576"/>
      <c r="B302" s="12" t="s">
        <v>3</v>
      </c>
      <c r="C302" s="25" t="s">
        <v>720</v>
      </c>
      <c r="D302" s="26">
        <v>1</v>
      </c>
      <c r="E302" s="15">
        <v>0</v>
      </c>
      <c r="F302" s="16">
        <v>0</v>
      </c>
      <c r="G302" s="15">
        <v>0</v>
      </c>
      <c r="H302" s="17">
        <v>0</v>
      </c>
      <c r="I302" s="311">
        <v>0</v>
      </c>
      <c r="J302" s="312">
        <v>0</v>
      </c>
      <c r="K302" s="906">
        <v>0</v>
      </c>
      <c r="L302" s="907">
        <v>0</v>
      </c>
      <c r="M302" s="411">
        <v>0</v>
      </c>
      <c r="N302" s="430">
        <v>0</v>
      </c>
      <c r="O302" s="1" t="s">
        <v>670</v>
      </c>
      <c r="Q302"/>
      <c r="R302"/>
      <c r="S302"/>
    </row>
    <row r="303" spans="1:19" s="1" customFormat="1" ht="18" customHeight="1" outlineLevel="2">
      <c r="A303" s="576"/>
      <c r="B303" s="5" t="s">
        <v>3</v>
      </c>
      <c r="C303" s="6" t="s">
        <v>343</v>
      </c>
      <c r="D303" s="19" t="s">
        <v>25</v>
      </c>
      <c r="E303" s="8">
        <v>0</v>
      </c>
      <c r="F303" s="9">
        <v>0</v>
      </c>
      <c r="G303" s="8">
        <v>0</v>
      </c>
      <c r="H303" s="10">
        <v>0</v>
      </c>
      <c r="I303" s="310">
        <v>0</v>
      </c>
      <c r="J303" s="406">
        <v>0</v>
      </c>
      <c r="K303" s="319">
        <v>0</v>
      </c>
      <c r="L303" s="424"/>
      <c r="M303" s="410">
        <v>0</v>
      </c>
      <c r="N303" s="429"/>
      <c r="Q303"/>
      <c r="R303"/>
      <c r="S303"/>
    </row>
    <row r="304" spans="1:19" s="1" customFormat="1" ht="18.25" customHeight="1" outlineLevel="2">
      <c r="A304" s="576"/>
      <c r="B304" s="5" t="s">
        <v>3</v>
      </c>
      <c r="C304" s="6" t="s">
        <v>622</v>
      </c>
      <c r="D304" s="7" t="s">
        <v>17</v>
      </c>
      <c r="E304" s="8">
        <v>0</v>
      </c>
      <c r="F304" s="9">
        <v>0</v>
      </c>
      <c r="G304" s="8">
        <v>1</v>
      </c>
      <c r="H304" s="10">
        <v>27720</v>
      </c>
      <c r="I304" s="310">
        <v>1</v>
      </c>
      <c r="J304" s="406">
        <v>1</v>
      </c>
      <c r="K304" s="319">
        <v>1</v>
      </c>
      <c r="L304" s="424">
        <v>0</v>
      </c>
      <c r="M304" s="410">
        <v>1</v>
      </c>
      <c r="N304" s="429"/>
      <c r="Q304"/>
      <c r="R304"/>
      <c r="S304"/>
    </row>
    <row r="305" spans="1:19" s="1" customFormat="1" ht="18.25" customHeight="1" outlineLevel="1">
      <c r="A305" s="576"/>
      <c r="B305" s="12" t="s">
        <v>3</v>
      </c>
      <c r="C305" s="13" t="s">
        <v>343</v>
      </c>
      <c r="D305" s="14">
        <v>2</v>
      </c>
      <c r="E305" s="15">
        <v>0</v>
      </c>
      <c r="F305" s="16">
        <v>0</v>
      </c>
      <c r="G305" s="15">
        <v>1</v>
      </c>
      <c r="H305" s="17">
        <v>27720</v>
      </c>
      <c r="I305" s="311">
        <v>1</v>
      </c>
      <c r="J305" s="312">
        <v>1</v>
      </c>
      <c r="K305" s="906">
        <v>1</v>
      </c>
      <c r="L305" s="907">
        <v>0</v>
      </c>
      <c r="M305" s="411">
        <v>1</v>
      </c>
      <c r="N305" s="430">
        <v>1</v>
      </c>
      <c r="O305" s="1" t="s">
        <v>169</v>
      </c>
      <c r="Q305"/>
      <c r="R305"/>
      <c r="S305"/>
    </row>
    <row r="306" spans="1:19" s="1" customFormat="1" ht="18.25" customHeight="1" outlineLevel="2">
      <c r="A306" s="576"/>
      <c r="B306" s="5" t="s">
        <v>3</v>
      </c>
      <c r="C306" s="11" t="s">
        <v>204</v>
      </c>
      <c r="D306" s="7" t="s">
        <v>22</v>
      </c>
      <c r="E306" s="8">
        <v>0</v>
      </c>
      <c r="F306" s="9">
        <v>0</v>
      </c>
      <c r="G306" s="8">
        <v>0</v>
      </c>
      <c r="H306" s="10">
        <v>0</v>
      </c>
      <c r="I306" s="310">
        <v>0</v>
      </c>
      <c r="J306" s="406">
        <v>0</v>
      </c>
      <c r="K306" s="319">
        <v>0</v>
      </c>
      <c r="L306" s="424"/>
      <c r="M306" s="410">
        <v>0</v>
      </c>
      <c r="N306" s="429"/>
      <c r="Q306"/>
      <c r="R306"/>
      <c r="S306"/>
    </row>
    <row r="307" spans="1:19" s="1" customFormat="1" ht="18.25" customHeight="1" outlineLevel="2">
      <c r="A307" s="576"/>
      <c r="B307" s="5" t="s">
        <v>3</v>
      </c>
      <c r="C307" s="11" t="s">
        <v>356</v>
      </c>
      <c r="D307" s="7" t="s">
        <v>17</v>
      </c>
      <c r="E307" s="8">
        <v>0</v>
      </c>
      <c r="F307" s="9">
        <v>0</v>
      </c>
      <c r="G307" s="8">
        <v>4</v>
      </c>
      <c r="H307" s="10">
        <v>62049</v>
      </c>
      <c r="I307" s="310">
        <v>1</v>
      </c>
      <c r="J307" s="406">
        <v>1</v>
      </c>
      <c r="K307" s="319">
        <v>1</v>
      </c>
      <c r="L307" s="424">
        <v>0</v>
      </c>
      <c r="M307" s="410">
        <v>1</v>
      </c>
      <c r="N307" s="429"/>
      <c r="Q307"/>
      <c r="R307"/>
      <c r="S307"/>
    </row>
    <row r="308" spans="1:19" s="1" customFormat="1" ht="18.25" customHeight="1" outlineLevel="1">
      <c r="A308" s="576"/>
      <c r="B308" s="12" t="s">
        <v>3</v>
      </c>
      <c r="C308" s="13" t="s">
        <v>495</v>
      </c>
      <c r="D308" s="14">
        <v>2</v>
      </c>
      <c r="E308" s="15">
        <v>0</v>
      </c>
      <c r="F308" s="16">
        <v>0</v>
      </c>
      <c r="G308" s="15">
        <v>4</v>
      </c>
      <c r="H308" s="17">
        <v>62049</v>
      </c>
      <c r="I308" s="311">
        <v>1</v>
      </c>
      <c r="J308" s="312">
        <v>1</v>
      </c>
      <c r="K308" s="906">
        <v>1</v>
      </c>
      <c r="L308" s="907">
        <v>0</v>
      </c>
      <c r="M308" s="411">
        <v>1</v>
      </c>
      <c r="N308" s="430">
        <v>0</v>
      </c>
      <c r="O308" s="1" t="s">
        <v>171</v>
      </c>
      <c r="Q308"/>
      <c r="R308"/>
      <c r="S308"/>
    </row>
    <row r="309" spans="1:19" s="1" customFormat="1" ht="18.25" customHeight="1" outlineLevel="2">
      <c r="A309" s="576"/>
      <c r="B309" s="5" t="s">
        <v>3</v>
      </c>
      <c r="C309" s="11" t="s">
        <v>224</v>
      </c>
      <c r="D309" s="7" t="s">
        <v>25</v>
      </c>
      <c r="E309" s="8">
        <v>0</v>
      </c>
      <c r="F309" s="9">
        <v>0</v>
      </c>
      <c r="G309" s="8">
        <v>3</v>
      </c>
      <c r="H309" s="10">
        <v>4000</v>
      </c>
      <c r="I309" s="310">
        <v>1</v>
      </c>
      <c r="J309" s="406">
        <v>0</v>
      </c>
      <c r="K309" s="319">
        <v>0</v>
      </c>
      <c r="L309" s="424"/>
      <c r="M309" s="410">
        <v>0</v>
      </c>
      <c r="N309" s="429"/>
      <c r="Q309"/>
      <c r="R309"/>
      <c r="S309"/>
    </row>
    <row r="310" spans="1:19" s="1" customFormat="1" ht="18.25" customHeight="1" outlineLevel="2">
      <c r="A310" s="576"/>
      <c r="B310" s="5" t="s">
        <v>3</v>
      </c>
      <c r="C310" s="11" t="s">
        <v>475</v>
      </c>
      <c r="D310" s="7" t="s">
        <v>17</v>
      </c>
      <c r="E310" s="8">
        <v>0</v>
      </c>
      <c r="F310" s="9">
        <v>0</v>
      </c>
      <c r="G310" s="8">
        <v>0</v>
      </c>
      <c r="H310" s="10">
        <v>0</v>
      </c>
      <c r="I310" s="310">
        <v>0</v>
      </c>
      <c r="J310" s="406">
        <v>0</v>
      </c>
      <c r="K310" s="319">
        <v>0</v>
      </c>
      <c r="L310" s="424">
        <v>0</v>
      </c>
      <c r="M310" s="410">
        <v>0</v>
      </c>
      <c r="N310" s="429"/>
      <c r="Q310"/>
      <c r="R310"/>
      <c r="S310"/>
    </row>
    <row r="311" spans="1:19" s="1" customFormat="1" ht="18.25" customHeight="1" outlineLevel="1">
      <c r="A311" s="576"/>
      <c r="B311" s="12" t="s">
        <v>3</v>
      </c>
      <c r="C311" s="13" t="s">
        <v>480</v>
      </c>
      <c r="D311" s="14">
        <v>2</v>
      </c>
      <c r="E311" s="15">
        <v>0</v>
      </c>
      <c r="F311" s="16">
        <v>0</v>
      </c>
      <c r="G311" s="15">
        <v>3</v>
      </c>
      <c r="H311" s="17">
        <v>4000</v>
      </c>
      <c r="I311" s="311">
        <v>1</v>
      </c>
      <c r="J311" s="312">
        <v>0</v>
      </c>
      <c r="K311" s="906">
        <v>0</v>
      </c>
      <c r="L311" s="907">
        <v>0</v>
      </c>
      <c r="M311" s="411">
        <v>0</v>
      </c>
      <c r="N311" s="430">
        <v>0</v>
      </c>
      <c r="O311" s="1" t="s">
        <v>169</v>
      </c>
      <c r="Q311"/>
      <c r="R311"/>
      <c r="S311"/>
    </row>
    <row r="312" spans="1:19" s="1" customFormat="1" ht="18.25" customHeight="1" outlineLevel="2">
      <c r="A312" s="576"/>
      <c r="B312" s="5" t="s">
        <v>3</v>
      </c>
      <c r="C312" s="6" t="s">
        <v>311</v>
      </c>
      <c r="D312" s="7" t="s">
        <v>25</v>
      </c>
      <c r="E312" s="8">
        <v>0</v>
      </c>
      <c r="F312" s="9">
        <v>0</v>
      </c>
      <c r="G312" s="8">
        <v>4</v>
      </c>
      <c r="H312" s="10">
        <v>5503</v>
      </c>
      <c r="I312" s="310">
        <v>1</v>
      </c>
      <c r="J312" s="406">
        <v>0</v>
      </c>
      <c r="K312" s="319">
        <v>0</v>
      </c>
      <c r="L312" s="424"/>
      <c r="M312" s="410">
        <v>0</v>
      </c>
      <c r="N312" s="429"/>
      <c r="Q312"/>
      <c r="R312"/>
      <c r="S312"/>
    </row>
    <row r="313" spans="1:19" s="1" customFormat="1" ht="18.25" customHeight="1" outlineLevel="2">
      <c r="A313" s="576"/>
      <c r="B313" s="5" t="s">
        <v>3</v>
      </c>
      <c r="C313" s="38" t="s">
        <v>531</v>
      </c>
      <c r="D313" s="24" t="s">
        <v>17</v>
      </c>
      <c r="E313" s="8">
        <v>0</v>
      </c>
      <c r="F313" s="9">
        <v>0</v>
      </c>
      <c r="G313" s="8">
        <v>0</v>
      </c>
      <c r="H313" s="10">
        <v>0</v>
      </c>
      <c r="I313" s="310">
        <v>0</v>
      </c>
      <c r="J313" s="406">
        <v>0</v>
      </c>
      <c r="K313" s="319">
        <v>0</v>
      </c>
      <c r="L313" s="424">
        <v>0</v>
      </c>
      <c r="M313" s="410">
        <v>0</v>
      </c>
      <c r="N313" s="429"/>
      <c r="Q313"/>
      <c r="R313"/>
      <c r="S313"/>
    </row>
    <row r="314" spans="1:19" s="1" customFormat="1" ht="18.25" customHeight="1" outlineLevel="1">
      <c r="A314" s="576"/>
      <c r="B314" s="12" t="s">
        <v>3</v>
      </c>
      <c r="C314" s="13" t="s">
        <v>311</v>
      </c>
      <c r="D314" s="14">
        <v>2</v>
      </c>
      <c r="E314" s="15">
        <v>0</v>
      </c>
      <c r="F314" s="16">
        <v>0</v>
      </c>
      <c r="G314" s="15">
        <v>4</v>
      </c>
      <c r="H314" s="17">
        <v>5503</v>
      </c>
      <c r="I314" s="311">
        <v>1</v>
      </c>
      <c r="J314" s="312">
        <v>0</v>
      </c>
      <c r="K314" s="906">
        <v>0</v>
      </c>
      <c r="L314" s="907">
        <v>0</v>
      </c>
      <c r="M314" s="411">
        <v>0</v>
      </c>
      <c r="N314" s="430">
        <v>0</v>
      </c>
      <c r="O314" s="1" t="s">
        <v>169</v>
      </c>
      <c r="Q314"/>
      <c r="R314"/>
      <c r="S314"/>
    </row>
    <row r="315" spans="1:19" s="1" customFormat="1" ht="18.25" customHeight="1" outlineLevel="2">
      <c r="A315" s="576"/>
      <c r="B315" s="5" t="s">
        <v>3</v>
      </c>
      <c r="C315" s="18" t="s">
        <v>137</v>
      </c>
      <c r="D315" s="7" t="s">
        <v>22</v>
      </c>
      <c r="E315" s="8">
        <v>0</v>
      </c>
      <c r="F315" s="9">
        <v>0</v>
      </c>
      <c r="G315" s="8">
        <v>1</v>
      </c>
      <c r="H315" s="10">
        <v>6600</v>
      </c>
      <c r="I315" s="310">
        <v>1</v>
      </c>
      <c r="J315" s="406">
        <v>0</v>
      </c>
      <c r="K315" s="319">
        <v>0</v>
      </c>
      <c r="L315" s="424"/>
      <c r="M315" s="410">
        <v>0</v>
      </c>
      <c r="N315" s="429"/>
      <c r="Q315"/>
      <c r="R315"/>
      <c r="S315"/>
    </row>
    <row r="316" spans="1:19" s="1" customFormat="1" ht="18.25" customHeight="1" outlineLevel="2">
      <c r="A316" s="576"/>
      <c r="B316" s="5" t="s">
        <v>3</v>
      </c>
      <c r="C316" s="18" t="s">
        <v>138</v>
      </c>
      <c r="D316" s="7" t="s">
        <v>188</v>
      </c>
      <c r="E316" s="8">
        <v>0</v>
      </c>
      <c r="F316" s="9">
        <v>0</v>
      </c>
      <c r="G316" s="8">
        <v>0</v>
      </c>
      <c r="H316" s="10">
        <v>0</v>
      </c>
      <c r="I316" s="310">
        <v>0</v>
      </c>
      <c r="J316" s="406">
        <v>0</v>
      </c>
      <c r="K316" s="319">
        <v>0</v>
      </c>
      <c r="L316" s="424">
        <v>0</v>
      </c>
      <c r="M316" s="410">
        <v>0</v>
      </c>
      <c r="N316" s="429"/>
      <c r="Q316"/>
      <c r="R316"/>
      <c r="S316"/>
    </row>
    <row r="317" spans="1:19" s="1" customFormat="1" ht="18.25" customHeight="1" outlineLevel="1">
      <c r="A317" s="576"/>
      <c r="B317" s="12" t="s">
        <v>3</v>
      </c>
      <c r="C317" s="13" t="s">
        <v>137</v>
      </c>
      <c r="D317" s="14">
        <v>2</v>
      </c>
      <c r="E317" s="15">
        <v>0</v>
      </c>
      <c r="F317" s="16">
        <v>0</v>
      </c>
      <c r="G317" s="15">
        <v>1</v>
      </c>
      <c r="H317" s="17">
        <v>6600</v>
      </c>
      <c r="I317" s="311">
        <v>1</v>
      </c>
      <c r="J317" s="312">
        <v>0</v>
      </c>
      <c r="K317" s="906">
        <v>0</v>
      </c>
      <c r="L317" s="907">
        <v>0</v>
      </c>
      <c r="M317" s="411">
        <v>0</v>
      </c>
      <c r="N317" s="430">
        <v>0</v>
      </c>
      <c r="O317" s="1" t="s">
        <v>171</v>
      </c>
      <c r="Q317"/>
      <c r="R317"/>
      <c r="S317"/>
    </row>
    <row r="318" spans="1:19" s="1" customFormat="1" ht="18.25" customHeight="1" outlineLevel="2">
      <c r="A318" s="576"/>
      <c r="B318" s="5" t="s">
        <v>3</v>
      </c>
      <c r="C318" s="6" t="s">
        <v>228</v>
      </c>
      <c r="D318" s="7" t="s">
        <v>240</v>
      </c>
      <c r="E318" s="8">
        <v>0</v>
      </c>
      <c r="F318" s="9">
        <v>0</v>
      </c>
      <c r="G318" s="8">
        <v>0</v>
      </c>
      <c r="H318" s="10">
        <v>0</v>
      </c>
      <c r="I318" s="310">
        <v>0</v>
      </c>
      <c r="J318" s="406">
        <v>0</v>
      </c>
      <c r="K318" s="319">
        <v>0</v>
      </c>
      <c r="L318" s="424"/>
      <c r="M318" s="410">
        <v>0</v>
      </c>
      <c r="N318" s="429"/>
      <c r="Q318"/>
      <c r="R318"/>
      <c r="S318"/>
    </row>
    <row r="319" spans="1:19" s="1" customFormat="1" ht="18.25" customHeight="1" outlineLevel="2">
      <c r="A319" s="576"/>
      <c r="B319" s="5" t="s">
        <v>3</v>
      </c>
      <c r="C319" s="6" t="s">
        <v>345</v>
      </c>
      <c r="D319" s="7" t="s">
        <v>17</v>
      </c>
      <c r="E319" s="8">
        <v>0</v>
      </c>
      <c r="F319" s="9">
        <v>0</v>
      </c>
      <c r="G319" s="8">
        <v>1</v>
      </c>
      <c r="H319" s="10">
        <v>18532</v>
      </c>
      <c r="I319" s="310">
        <v>1</v>
      </c>
      <c r="J319" s="406">
        <v>1</v>
      </c>
      <c r="K319" s="319">
        <v>0</v>
      </c>
      <c r="L319" s="424">
        <v>0</v>
      </c>
      <c r="M319" s="410">
        <v>0</v>
      </c>
      <c r="N319" s="429"/>
      <c r="Q319"/>
      <c r="R319"/>
      <c r="S319"/>
    </row>
    <row r="320" spans="1:19" s="1" customFormat="1" ht="18.25" customHeight="1" outlineLevel="1">
      <c r="A320" s="576"/>
      <c r="B320" s="12" t="s">
        <v>3</v>
      </c>
      <c r="C320" s="13" t="s">
        <v>248</v>
      </c>
      <c r="D320" s="14">
        <v>2</v>
      </c>
      <c r="E320" s="15">
        <v>0</v>
      </c>
      <c r="F320" s="16">
        <v>0</v>
      </c>
      <c r="G320" s="15">
        <v>1</v>
      </c>
      <c r="H320" s="17">
        <v>18532</v>
      </c>
      <c r="I320" s="311">
        <v>1</v>
      </c>
      <c r="J320" s="312">
        <v>1</v>
      </c>
      <c r="K320" s="906">
        <v>0</v>
      </c>
      <c r="L320" s="907">
        <v>0</v>
      </c>
      <c r="M320" s="411">
        <v>0</v>
      </c>
      <c r="N320" s="430">
        <v>0</v>
      </c>
      <c r="O320" s="1" t="s">
        <v>171</v>
      </c>
      <c r="Q320"/>
      <c r="R320"/>
      <c r="S320"/>
    </row>
    <row r="321" spans="1:19" s="1" customFormat="1" ht="18.25" customHeight="1" outlineLevel="2">
      <c r="A321" s="576"/>
      <c r="B321" s="5" t="s">
        <v>3</v>
      </c>
      <c r="C321" s="6" t="s">
        <v>140</v>
      </c>
      <c r="D321" s="7" t="s">
        <v>40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6">
        <v>0</v>
      </c>
      <c r="K321" s="319">
        <v>0</v>
      </c>
      <c r="L321" s="424"/>
      <c r="M321" s="410">
        <v>0</v>
      </c>
      <c r="N321" s="429"/>
      <c r="Q321"/>
      <c r="R321"/>
      <c r="S321"/>
    </row>
    <row r="322" spans="1:19" s="1" customFormat="1" ht="18.25" customHeight="1" outlineLevel="2">
      <c r="A322" s="576"/>
      <c r="B322" s="5" t="s">
        <v>3</v>
      </c>
      <c r="C322" s="11" t="s">
        <v>144</v>
      </c>
      <c r="D322" s="7" t="s">
        <v>17</v>
      </c>
      <c r="E322" s="8">
        <v>0</v>
      </c>
      <c r="F322" s="9">
        <v>0</v>
      </c>
      <c r="G322" s="8">
        <v>2</v>
      </c>
      <c r="H322" s="10">
        <v>9085</v>
      </c>
      <c r="I322" s="310">
        <v>1</v>
      </c>
      <c r="J322" s="406">
        <v>0</v>
      </c>
      <c r="K322" s="319">
        <v>0</v>
      </c>
      <c r="L322" s="424">
        <v>0</v>
      </c>
      <c r="M322" s="410">
        <v>0</v>
      </c>
      <c r="N322" s="429"/>
      <c r="Q322"/>
      <c r="R322"/>
      <c r="S322"/>
    </row>
    <row r="323" spans="1:19" s="1" customFormat="1" ht="18.25" customHeight="1" outlineLevel="2">
      <c r="A323" s="576"/>
      <c r="B323" s="5" t="s">
        <v>3</v>
      </c>
      <c r="C323" s="11" t="s">
        <v>141</v>
      </c>
      <c r="D323" s="7" t="s">
        <v>17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6">
        <v>0</v>
      </c>
      <c r="K323" s="319">
        <v>0</v>
      </c>
      <c r="L323" s="424">
        <v>0</v>
      </c>
      <c r="M323" s="410">
        <v>0</v>
      </c>
      <c r="N323" s="429"/>
      <c r="Q323"/>
      <c r="R323"/>
      <c r="S323"/>
    </row>
    <row r="324" spans="1:19" s="1" customFormat="1" ht="18.25" customHeight="1" outlineLevel="1">
      <c r="A324" s="576"/>
      <c r="B324" s="12" t="s">
        <v>3</v>
      </c>
      <c r="C324" s="13" t="s">
        <v>140</v>
      </c>
      <c r="D324" s="14">
        <v>3</v>
      </c>
      <c r="E324" s="15">
        <v>0</v>
      </c>
      <c r="F324" s="16">
        <v>0</v>
      </c>
      <c r="G324" s="15">
        <v>2</v>
      </c>
      <c r="H324" s="17">
        <v>9085</v>
      </c>
      <c r="I324" s="311">
        <v>1</v>
      </c>
      <c r="J324" s="312">
        <v>0</v>
      </c>
      <c r="K324" s="906">
        <v>0</v>
      </c>
      <c r="L324" s="907">
        <v>0</v>
      </c>
      <c r="M324" s="411">
        <v>0</v>
      </c>
      <c r="N324" s="430">
        <v>0</v>
      </c>
      <c r="O324" s="1" t="s">
        <v>51</v>
      </c>
      <c r="Q324"/>
      <c r="R324"/>
      <c r="S324"/>
    </row>
    <row r="325" spans="1:19" s="1" customFormat="1" ht="18.25" customHeight="1" outlineLevel="2">
      <c r="A325" s="576"/>
      <c r="B325" s="5" t="s">
        <v>3</v>
      </c>
      <c r="C325" s="18" t="s">
        <v>142</v>
      </c>
      <c r="D325" s="23" t="s">
        <v>22</v>
      </c>
      <c r="E325" s="8">
        <v>0</v>
      </c>
      <c r="F325" s="9">
        <v>0</v>
      </c>
      <c r="G325" s="8">
        <v>3.5</v>
      </c>
      <c r="H325" s="10">
        <v>71223</v>
      </c>
      <c r="I325" s="310">
        <v>1</v>
      </c>
      <c r="J325" s="406">
        <v>1</v>
      </c>
      <c r="K325" s="319">
        <v>1</v>
      </c>
      <c r="L325" s="424"/>
      <c r="M325" s="410">
        <v>1</v>
      </c>
      <c r="N325" s="429"/>
      <c r="Q325"/>
      <c r="R325"/>
      <c r="S325"/>
    </row>
    <row r="326" spans="1:19" s="1" customFormat="1" ht="18.25" customHeight="1" outlineLevel="2">
      <c r="A326" s="576"/>
      <c r="B326" s="5" t="s">
        <v>3</v>
      </c>
      <c r="C326" s="39" t="s">
        <v>535</v>
      </c>
      <c r="D326" s="23" t="s">
        <v>188</v>
      </c>
      <c r="E326" s="8">
        <v>0</v>
      </c>
      <c r="F326" s="9">
        <v>0</v>
      </c>
      <c r="G326" s="8">
        <v>1</v>
      </c>
      <c r="H326" s="10">
        <v>13612</v>
      </c>
      <c r="I326" s="313">
        <v>1</v>
      </c>
      <c r="J326" s="426">
        <v>1</v>
      </c>
      <c r="K326" s="906">
        <v>0</v>
      </c>
      <c r="L326" s="424">
        <v>0</v>
      </c>
      <c r="M326" s="416">
        <v>0</v>
      </c>
      <c r="N326" s="436"/>
      <c r="Q326"/>
      <c r="R326"/>
      <c r="S326"/>
    </row>
    <row r="327" spans="1:19" s="1" customFormat="1" ht="18.25" customHeight="1" outlineLevel="1">
      <c r="A327" s="576"/>
      <c r="B327" s="12" t="s">
        <v>3</v>
      </c>
      <c r="C327" s="13" t="s">
        <v>143</v>
      </c>
      <c r="D327" s="14">
        <v>2</v>
      </c>
      <c r="E327" s="15">
        <v>0</v>
      </c>
      <c r="F327" s="16">
        <v>0</v>
      </c>
      <c r="G327" s="15">
        <v>4.5</v>
      </c>
      <c r="H327" s="17">
        <v>84835</v>
      </c>
      <c r="I327" s="311">
        <v>2</v>
      </c>
      <c r="J327" s="312">
        <v>2</v>
      </c>
      <c r="K327" s="906">
        <v>1</v>
      </c>
      <c r="L327" s="907">
        <v>0</v>
      </c>
      <c r="M327" s="411">
        <v>1</v>
      </c>
      <c r="N327" s="430">
        <v>0</v>
      </c>
      <c r="O327" s="1" t="s">
        <v>171</v>
      </c>
      <c r="Q327"/>
      <c r="R327"/>
      <c r="S327"/>
    </row>
    <row r="328" spans="1:19" s="1" customFormat="1" ht="18.25" customHeight="1" outlineLevel="2">
      <c r="A328" s="576"/>
      <c r="B328" s="5" t="s">
        <v>3</v>
      </c>
      <c r="C328" s="18" t="s">
        <v>278</v>
      </c>
      <c r="D328" s="23" t="s">
        <v>20</v>
      </c>
      <c r="E328" s="8">
        <v>0</v>
      </c>
      <c r="F328" s="9">
        <v>0</v>
      </c>
      <c r="G328" s="8">
        <v>3.5</v>
      </c>
      <c r="H328" s="10">
        <v>74541</v>
      </c>
      <c r="I328" s="310">
        <v>1</v>
      </c>
      <c r="J328" s="406">
        <v>1</v>
      </c>
      <c r="K328" s="319">
        <v>1</v>
      </c>
      <c r="L328" s="424"/>
      <c r="M328" s="410">
        <v>1</v>
      </c>
      <c r="N328" s="429"/>
      <c r="Q328"/>
      <c r="R328"/>
      <c r="S328"/>
    </row>
    <row r="329" spans="1:19" s="1" customFormat="1" ht="18.25" customHeight="1" outlineLevel="2">
      <c r="A329" s="576"/>
      <c r="B329" s="5" t="s">
        <v>3</v>
      </c>
      <c r="C329" s="39" t="s">
        <v>208</v>
      </c>
      <c r="D329" s="23" t="s">
        <v>188</v>
      </c>
      <c r="E329" s="8">
        <v>0</v>
      </c>
      <c r="F329" s="9">
        <v>0</v>
      </c>
      <c r="G329" s="8">
        <v>0</v>
      </c>
      <c r="H329" s="10">
        <v>0</v>
      </c>
      <c r="I329" s="310">
        <v>0</v>
      </c>
      <c r="J329" s="406">
        <v>0</v>
      </c>
      <c r="K329" s="319">
        <v>0</v>
      </c>
      <c r="L329" s="424">
        <v>0</v>
      </c>
      <c r="M329" s="410">
        <v>0</v>
      </c>
      <c r="N329" s="429"/>
      <c r="Q329"/>
      <c r="R329"/>
      <c r="S329"/>
    </row>
    <row r="330" spans="1:19" s="1" customFormat="1" ht="18.25" customHeight="1" outlineLevel="1">
      <c r="A330" s="576"/>
      <c r="B330" s="12" t="s">
        <v>3</v>
      </c>
      <c r="C330" s="13" t="s">
        <v>278</v>
      </c>
      <c r="D330" s="14">
        <v>2</v>
      </c>
      <c r="E330" s="15">
        <v>0</v>
      </c>
      <c r="F330" s="16">
        <v>0</v>
      </c>
      <c r="G330" s="15">
        <v>3.5</v>
      </c>
      <c r="H330" s="17">
        <v>74541</v>
      </c>
      <c r="I330" s="311">
        <v>1</v>
      </c>
      <c r="J330" s="312">
        <v>1</v>
      </c>
      <c r="K330" s="906">
        <v>1</v>
      </c>
      <c r="L330" s="907">
        <v>0</v>
      </c>
      <c r="M330" s="411">
        <v>1</v>
      </c>
      <c r="N330" s="430">
        <v>1</v>
      </c>
      <c r="O330" s="1" t="s">
        <v>169</v>
      </c>
      <c r="Q330"/>
      <c r="R330"/>
      <c r="S330"/>
    </row>
    <row r="331" spans="1:19" s="1" customFormat="1" ht="18.25" customHeight="1" outlineLevel="2">
      <c r="A331" s="576"/>
      <c r="B331" s="5" t="s">
        <v>3</v>
      </c>
      <c r="C331" s="18" t="s">
        <v>301</v>
      </c>
      <c r="D331" s="7" t="s">
        <v>497</v>
      </c>
      <c r="E331" s="8">
        <v>0</v>
      </c>
      <c r="F331" s="9">
        <v>0</v>
      </c>
      <c r="G331" s="8">
        <v>0</v>
      </c>
      <c r="H331" s="10">
        <v>0</v>
      </c>
      <c r="I331" s="310">
        <v>0</v>
      </c>
      <c r="J331" s="406">
        <v>0</v>
      </c>
      <c r="K331" s="319">
        <v>0</v>
      </c>
      <c r="L331" s="424"/>
      <c r="M331" s="410">
        <v>0</v>
      </c>
      <c r="N331" s="429"/>
      <c r="Q331"/>
      <c r="R331"/>
      <c r="S331"/>
    </row>
    <row r="332" spans="1:19" s="1" customFormat="1" ht="18.25" customHeight="1" outlineLevel="1">
      <c r="A332" s="576"/>
      <c r="B332" s="12" t="s">
        <v>3</v>
      </c>
      <c r="C332" s="13" t="s">
        <v>301</v>
      </c>
      <c r="D332" s="14">
        <v>1</v>
      </c>
      <c r="E332" s="15">
        <v>0</v>
      </c>
      <c r="F332" s="16">
        <v>0</v>
      </c>
      <c r="G332" s="15">
        <v>0</v>
      </c>
      <c r="H332" s="17">
        <v>0</v>
      </c>
      <c r="I332" s="311">
        <v>0</v>
      </c>
      <c r="J332" s="312">
        <v>0</v>
      </c>
      <c r="K332" s="906">
        <v>0</v>
      </c>
      <c r="L332" s="907">
        <v>0</v>
      </c>
      <c r="M332" s="411">
        <v>0</v>
      </c>
      <c r="N332" s="430">
        <v>0</v>
      </c>
      <c r="O332" s="1" t="s">
        <v>355</v>
      </c>
      <c r="Q332"/>
      <c r="R332"/>
      <c r="S332"/>
    </row>
    <row r="333" spans="1:19" s="1" customFormat="1" ht="18.25" customHeight="1" outlineLevel="2">
      <c r="A333" s="576"/>
      <c r="B333" s="5" t="s">
        <v>3</v>
      </c>
      <c r="C333" s="6" t="s">
        <v>145</v>
      </c>
      <c r="D333" s="7" t="s">
        <v>47</v>
      </c>
      <c r="E333" s="8">
        <v>0</v>
      </c>
      <c r="F333" s="9">
        <v>0</v>
      </c>
      <c r="G333" s="8">
        <v>2</v>
      </c>
      <c r="H333" s="10">
        <v>90248</v>
      </c>
      <c r="I333" s="310">
        <v>1</v>
      </c>
      <c r="J333" s="406">
        <v>1</v>
      </c>
      <c r="K333" s="319">
        <v>1</v>
      </c>
      <c r="L333" s="424"/>
      <c r="M333" s="410">
        <v>1</v>
      </c>
      <c r="N333" s="429"/>
      <c r="Q333"/>
      <c r="R333"/>
      <c r="S333"/>
    </row>
    <row r="334" spans="1:19" s="1" customFormat="1" ht="18.25" customHeight="1" outlineLevel="2">
      <c r="A334" s="576"/>
      <c r="B334" s="5" t="s">
        <v>3</v>
      </c>
      <c r="C334" s="18" t="s">
        <v>146</v>
      </c>
      <c r="D334" s="23" t="s">
        <v>17</v>
      </c>
      <c r="E334" s="8">
        <v>0</v>
      </c>
      <c r="F334" s="9">
        <v>0</v>
      </c>
      <c r="G334" s="8">
        <v>0</v>
      </c>
      <c r="H334" s="10">
        <v>0</v>
      </c>
      <c r="I334" s="310">
        <v>0</v>
      </c>
      <c r="J334" s="406">
        <v>0</v>
      </c>
      <c r="K334" s="319">
        <v>0</v>
      </c>
      <c r="L334" s="424">
        <v>0</v>
      </c>
      <c r="M334" s="410">
        <v>0</v>
      </c>
      <c r="N334" s="429"/>
      <c r="Q334"/>
      <c r="R334"/>
      <c r="S334"/>
    </row>
    <row r="335" spans="1:19" s="1" customFormat="1" ht="18.25" customHeight="1" outlineLevel="1">
      <c r="A335" s="576"/>
      <c r="B335" s="12" t="s">
        <v>3</v>
      </c>
      <c r="C335" s="13" t="s">
        <v>145</v>
      </c>
      <c r="D335" s="14">
        <v>2</v>
      </c>
      <c r="E335" s="15">
        <v>0</v>
      </c>
      <c r="F335" s="16">
        <v>0</v>
      </c>
      <c r="G335" s="15">
        <v>2</v>
      </c>
      <c r="H335" s="17">
        <v>90248</v>
      </c>
      <c r="I335" s="311">
        <v>1</v>
      </c>
      <c r="J335" s="312">
        <v>1</v>
      </c>
      <c r="K335" s="906">
        <v>1</v>
      </c>
      <c r="L335" s="907">
        <v>0</v>
      </c>
      <c r="M335" s="411">
        <v>1</v>
      </c>
      <c r="N335" s="430">
        <v>0</v>
      </c>
      <c r="O335" s="1" t="s">
        <v>51</v>
      </c>
      <c r="Q335"/>
      <c r="R335"/>
      <c r="S335"/>
    </row>
    <row r="336" spans="1:19" s="1" customFormat="1" ht="18.25" customHeight="1" outlineLevel="2">
      <c r="A336" s="576"/>
      <c r="B336" s="5" t="s">
        <v>3</v>
      </c>
      <c r="C336" s="18" t="s">
        <v>147</v>
      </c>
      <c r="D336" s="23" t="s">
        <v>20</v>
      </c>
      <c r="E336" s="8">
        <v>0</v>
      </c>
      <c r="F336" s="9">
        <v>0</v>
      </c>
      <c r="G336" s="8">
        <v>1.5</v>
      </c>
      <c r="H336" s="10">
        <v>8273</v>
      </c>
      <c r="I336" s="310">
        <v>1</v>
      </c>
      <c r="J336" s="406">
        <v>0</v>
      </c>
      <c r="K336" s="319">
        <v>0</v>
      </c>
      <c r="L336" s="424"/>
      <c r="M336" s="410">
        <v>0</v>
      </c>
      <c r="N336" s="429"/>
      <c r="Q336"/>
      <c r="R336"/>
      <c r="S336"/>
    </row>
    <row r="337" spans="1:19" s="1" customFormat="1" ht="18.25" customHeight="1" outlineLevel="2">
      <c r="A337" s="576"/>
      <c r="B337" s="41" t="s">
        <v>3</v>
      </c>
      <c r="C337" s="39" t="s">
        <v>734</v>
      </c>
      <c r="D337" s="23" t="s">
        <v>17</v>
      </c>
      <c r="E337" s="8">
        <v>0</v>
      </c>
      <c r="F337" s="9">
        <v>0</v>
      </c>
      <c r="G337" s="8">
        <v>0.5</v>
      </c>
      <c r="H337" s="10">
        <v>3473</v>
      </c>
      <c r="I337" s="310">
        <v>1</v>
      </c>
      <c r="J337" s="406">
        <v>0</v>
      </c>
      <c r="K337" s="319">
        <v>0</v>
      </c>
      <c r="L337" s="424">
        <v>0</v>
      </c>
      <c r="M337" s="410">
        <v>0</v>
      </c>
      <c r="N337" s="429"/>
      <c r="Q337"/>
      <c r="R337"/>
      <c r="S337"/>
    </row>
    <row r="338" spans="1:19" s="1" customFormat="1" ht="18.25" customHeight="1" outlineLevel="1">
      <c r="A338" s="576"/>
      <c r="B338" s="12" t="s">
        <v>3</v>
      </c>
      <c r="C338" s="13" t="s">
        <v>148</v>
      </c>
      <c r="D338" s="14">
        <v>2</v>
      </c>
      <c r="E338" s="15">
        <v>0</v>
      </c>
      <c r="F338" s="16">
        <v>0</v>
      </c>
      <c r="G338" s="15">
        <v>2</v>
      </c>
      <c r="H338" s="17">
        <v>11746</v>
      </c>
      <c r="I338" s="311">
        <v>2</v>
      </c>
      <c r="J338" s="312">
        <v>0</v>
      </c>
      <c r="K338" s="906">
        <v>0</v>
      </c>
      <c r="L338" s="907">
        <v>0</v>
      </c>
      <c r="M338" s="411">
        <v>0</v>
      </c>
      <c r="N338" s="430">
        <v>0</v>
      </c>
      <c r="O338" s="1" t="s">
        <v>169</v>
      </c>
      <c r="Q338"/>
      <c r="R338"/>
      <c r="S338"/>
    </row>
    <row r="339" spans="1:19" s="1" customFormat="1" ht="18.25" customHeight="1" outlineLevel="2">
      <c r="A339" s="576"/>
      <c r="B339" s="5" t="s">
        <v>3</v>
      </c>
      <c r="C339" s="18" t="s">
        <v>133</v>
      </c>
      <c r="D339" s="7" t="s">
        <v>25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6">
        <v>0</v>
      </c>
      <c r="K339" s="319">
        <v>0</v>
      </c>
      <c r="L339" s="424"/>
      <c r="M339" s="410">
        <v>0</v>
      </c>
      <c r="N339" s="429"/>
      <c r="Q339"/>
      <c r="R339"/>
      <c r="S339"/>
    </row>
    <row r="340" spans="1:19" s="1" customFormat="1" ht="18.25" customHeight="1" outlineLevel="2">
      <c r="A340" s="576"/>
      <c r="B340" s="41" t="s">
        <v>3</v>
      </c>
      <c r="C340" s="39" t="s">
        <v>368</v>
      </c>
      <c r="D340" s="23" t="s">
        <v>17</v>
      </c>
      <c r="E340" s="8">
        <v>0</v>
      </c>
      <c r="F340" s="9">
        <v>0</v>
      </c>
      <c r="G340" s="8">
        <v>0</v>
      </c>
      <c r="H340" s="10">
        <v>0</v>
      </c>
      <c r="I340" s="310">
        <v>0</v>
      </c>
      <c r="J340" s="406">
        <v>0</v>
      </c>
      <c r="K340" s="319">
        <v>0</v>
      </c>
      <c r="L340" s="424">
        <v>0</v>
      </c>
      <c r="M340" s="410">
        <v>0</v>
      </c>
      <c r="N340" s="429"/>
      <c r="Q340"/>
      <c r="R340"/>
      <c r="S340"/>
    </row>
    <row r="341" spans="1:19" s="1" customFormat="1" ht="18.25" customHeight="1" outlineLevel="2">
      <c r="A341" s="576"/>
      <c r="B341" s="5" t="s">
        <v>3</v>
      </c>
      <c r="C341" s="18" t="s">
        <v>359</v>
      </c>
      <c r="D341" s="7" t="s">
        <v>17</v>
      </c>
      <c r="E341" s="8">
        <v>0</v>
      </c>
      <c r="F341" s="9">
        <v>0</v>
      </c>
      <c r="G341" s="8">
        <v>1</v>
      </c>
      <c r="H341" s="10">
        <v>13672</v>
      </c>
      <c r="I341" s="310">
        <v>1</v>
      </c>
      <c r="J341" s="406">
        <v>1</v>
      </c>
      <c r="K341" s="319">
        <v>0</v>
      </c>
      <c r="L341" s="424">
        <v>0</v>
      </c>
      <c r="M341" s="410">
        <v>0</v>
      </c>
      <c r="N341" s="429"/>
      <c r="Q341"/>
      <c r="R341"/>
      <c r="S341"/>
    </row>
    <row r="342" spans="1:19" s="1" customFormat="1" ht="18.25" customHeight="1" outlineLevel="1">
      <c r="A342" s="576"/>
      <c r="B342" s="12" t="s">
        <v>3</v>
      </c>
      <c r="C342" s="61" t="s">
        <v>133</v>
      </c>
      <c r="D342" s="14">
        <v>3</v>
      </c>
      <c r="E342" s="15">
        <v>0</v>
      </c>
      <c r="F342" s="16">
        <v>0</v>
      </c>
      <c r="G342" s="15">
        <v>1</v>
      </c>
      <c r="H342" s="17">
        <v>13672</v>
      </c>
      <c r="I342" s="311">
        <v>1</v>
      </c>
      <c r="J342" s="312">
        <v>1</v>
      </c>
      <c r="K342" s="906">
        <v>0</v>
      </c>
      <c r="L342" s="907">
        <v>0</v>
      </c>
      <c r="M342" s="411">
        <v>0</v>
      </c>
      <c r="N342" s="430">
        <v>0</v>
      </c>
      <c r="O342" s="1" t="s">
        <v>169</v>
      </c>
      <c r="Q342"/>
      <c r="R342"/>
      <c r="S342"/>
    </row>
    <row r="343" spans="1:19" s="1" customFormat="1" ht="18.25" customHeight="1" outlineLevel="2">
      <c r="A343" s="576"/>
      <c r="B343" s="5" t="s">
        <v>3</v>
      </c>
      <c r="C343" s="6" t="s">
        <v>134</v>
      </c>
      <c r="D343" s="7" t="s">
        <v>40</v>
      </c>
      <c r="E343" s="8">
        <v>0</v>
      </c>
      <c r="F343" s="9">
        <v>0</v>
      </c>
      <c r="G343" s="8">
        <v>0</v>
      </c>
      <c r="H343" s="10">
        <v>0</v>
      </c>
      <c r="I343" s="310">
        <v>0</v>
      </c>
      <c r="J343" s="406">
        <v>0</v>
      </c>
      <c r="K343" s="319">
        <v>0</v>
      </c>
      <c r="L343" s="424"/>
      <c r="M343" s="410">
        <v>0</v>
      </c>
      <c r="N343" s="429"/>
      <c r="Q343"/>
      <c r="R343"/>
      <c r="S343"/>
    </row>
    <row r="344" spans="1:19" s="1" customFormat="1" ht="18.25" customHeight="1" outlineLevel="2">
      <c r="A344" s="576"/>
      <c r="B344" s="5" t="s">
        <v>3</v>
      </c>
      <c r="C344" s="18" t="s">
        <v>135</v>
      </c>
      <c r="D344" s="7" t="s">
        <v>17</v>
      </c>
      <c r="E344" s="8">
        <v>0</v>
      </c>
      <c r="F344" s="9">
        <v>0</v>
      </c>
      <c r="G344" s="8">
        <v>2</v>
      </c>
      <c r="H344" s="10">
        <v>37132</v>
      </c>
      <c r="I344" s="310">
        <v>1</v>
      </c>
      <c r="J344" s="406">
        <v>1</v>
      </c>
      <c r="K344" s="319">
        <v>1</v>
      </c>
      <c r="L344" s="424">
        <v>0</v>
      </c>
      <c r="M344" s="410">
        <v>1</v>
      </c>
      <c r="N344" s="429"/>
      <c r="Q344"/>
      <c r="R344"/>
      <c r="S344"/>
    </row>
    <row r="345" spans="1:19" s="1" customFormat="1" ht="18.25" customHeight="1" outlineLevel="1">
      <c r="A345" s="576"/>
      <c r="B345" s="12" t="s">
        <v>3</v>
      </c>
      <c r="C345" s="61" t="s">
        <v>134</v>
      </c>
      <c r="D345" s="14">
        <v>2</v>
      </c>
      <c r="E345" s="15">
        <v>0</v>
      </c>
      <c r="F345" s="16">
        <v>0</v>
      </c>
      <c r="G345" s="15">
        <v>2</v>
      </c>
      <c r="H345" s="17">
        <v>37132</v>
      </c>
      <c r="I345" s="311">
        <v>1</v>
      </c>
      <c r="J345" s="312">
        <v>1</v>
      </c>
      <c r="K345" s="906">
        <v>1</v>
      </c>
      <c r="L345" s="907">
        <v>0</v>
      </c>
      <c r="M345" s="411">
        <v>1</v>
      </c>
      <c r="N345" s="430">
        <v>0</v>
      </c>
      <c r="O345" s="1" t="s">
        <v>51</v>
      </c>
      <c r="Q345"/>
      <c r="R345"/>
      <c r="S345"/>
    </row>
    <row r="346" spans="1:19" s="1" customFormat="1" ht="18.25" customHeight="1" outlineLevel="2">
      <c r="A346" s="576"/>
      <c r="B346" s="5" t="s">
        <v>3</v>
      </c>
      <c r="C346" s="6" t="s">
        <v>339</v>
      </c>
      <c r="D346" s="7" t="s">
        <v>169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6">
        <v>0</v>
      </c>
      <c r="K346" s="319">
        <v>0</v>
      </c>
      <c r="L346" s="424"/>
      <c r="M346" s="410">
        <v>0</v>
      </c>
      <c r="N346" s="429"/>
      <c r="Q346"/>
      <c r="R346"/>
      <c r="S346"/>
    </row>
    <row r="347" spans="1:19" s="1" customFormat="1" ht="18.25" customHeight="1" outlineLevel="2">
      <c r="A347" s="576"/>
      <c r="B347" s="5" t="s">
        <v>3</v>
      </c>
      <c r="C347" s="6" t="s">
        <v>750</v>
      </c>
      <c r="D347" s="7" t="s">
        <v>27</v>
      </c>
      <c r="E347" s="8">
        <v>0</v>
      </c>
      <c r="F347" s="9">
        <v>0</v>
      </c>
      <c r="G347" s="8">
        <v>1</v>
      </c>
      <c r="H347" s="10">
        <v>3331</v>
      </c>
      <c r="I347" s="310">
        <v>1</v>
      </c>
      <c r="J347" s="406">
        <v>0</v>
      </c>
      <c r="K347" s="319">
        <v>0</v>
      </c>
      <c r="L347" s="424">
        <v>0</v>
      </c>
      <c r="M347" s="410">
        <v>0</v>
      </c>
      <c r="N347" s="429"/>
      <c r="Q347"/>
      <c r="R347"/>
      <c r="S347"/>
    </row>
    <row r="348" spans="1:19" ht="18.25" customHeight="1" outlineLevel="1">
      <c r="B348" s="12" t="s">
        <v>3</v>
      </c>
      <c r="C348" s="61" t="s">
        <v>339</v>
      </c>
      <c r="D348" s="14">
        <v>2</v>
      </c>
      <c r="E348" s="15">
        <v>0</v>
      </c>
      <c r="F348" s="16">
        <v>0</v>
      </c>
      <c r="G348" s="15">
        <v>1</v>
      </c>
      <c r="H348" s="17">
        <v>3331</v>
      </c>
      <c r="I348" s="311">
        <v>1</v>
      </c>
      <c r="J348" s="312">
        <v>0</v>
      </c>
      <c r="K348" s="906">
        <v>0</v>
      </c>
      <c r="L348" s="907">
        <v>0</v>
      </c>
      <c r="M348" s="411">
        <v>0</v>
      </c>
      <c r="N348" s="430">
        <v>0</v>
      </c>
      <c r="O348" s="1" t="s">
        <v>169</v>
      </c>
    </row>
    <row r="349" spans="1:19" ht="18.25" customHeight="1" outlineLevel="2">
      <c r="B349" s="5" t="s">
        <v>3</v>
      </c>
      <c r="C349" s="6" t="s">
        <v>136</v>
      </c>
      <c r="D349" s="7" t="s">
        <v>20</v>
      </c>
      <c r="E349" s="8">
        <v>0</v>
      </c>
      <c r="F349" s="9">
        <v>0</v>
      </c>
      <c r="G349" s="8">
        <v>0</v>
      </c>
      <c r="H349" s="10">
        <v>0</v>
      </c>
      <c r="I349" s="310">
        <v>0</v>
      </c>
      <c r="J349" s="406">
        <v>0</v>
      </c>
      <c r="K349" s="319">
        <v>0</v>
      </c>
      <c r="L349" s="424"/>
      <c r="M349" s="410">
        <v>0</v>
      </c>
      <c r="N349" s="429"/>
    </row>
    <row r="350" spans="1:19" ht="18.25" customHeight="1" outlineLevel="2">
      <c r="B350" s="5" t="s">
        <v>3</v>
      </c>
      <c r="C350" s="6" t="s">
        <v>499</v>
      </c>
      <c r="D350" s="23" t="s">
        <v>17</v>
      </c>
      <c r="E350" s="8">
        <v>0</v>
      </c>
      <c r="F350" s="9">
        <v>0</v>
      </c>
      <c r="G350" s="8">
        <v>0</v>
      </c>
      <c r="H350" s="10">
        <v>0</v>
      </c>
      <c r="I350" s="310">
        <v>0</v>
      </c>
      <c r="J350" s="406">
        <v>0</v>
      </c>
      <c r="K350" s="319">
        <v>0</v>
      </c>
      <c r="L350" s="424">
        <v>0</v>
      </c>
      <c r="M350" s="410">
        <v>0</v>
      </c>
      <c r="N350" s="429"/>
    </row>
    <row r="351" spans="1:19" ht="18.25" customHeight="1" outlineLevel="1">
      <c r="B351" s="12" t="s">
        <v>3</v>
      </c>
      <c r="C351" s="61" t="s">
        <v>136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1">
        <v>0</v>
      </c>
      <c r="J351" s="312">
        <v>0</v>
      </c>
      <c r="K351" s="906">
        <v>0</v>
      </c>
      <c r="L351" s="907">
        <v>0</v>
      </c>
      <c r="M351" s="411">
        <v>0</v>
      </c>
      <c r="N351" s="430">
        <v>0</v>
      </c>
      <c r="O351" s="1" t="s">
        <v>169</v>
      </c>
    </row>
    <row r="352" spans="1:19" s="149" customFormat="1" ht="18.25" customHeight="1">
      <c r="A352" s="575" t="s">
        <v>848</v>
      </c>
      <c r="B352" s="967" t="s">
        <v>10</v>
      </c>
      <c r="C352" s="968"/>
      <c r="D352" s="145">
        <v>45</v>
      </c>
      <c r="E352" s="150">
        <v>0</v>
      </c>
      <c r="F352" s="148">
        <v>0</v>
      </c>
      <c r="G352" s="146">
        <v>59</v>
      </c>
      <c r="H352" s="152">
        <v>704970</v>
      </c>
      <c r="I352" s="314">
        <v>23</v>
      </c>
      <c r="J352" s="315">
        <v>14</v>
      </c>
      <c r="K352" s="908">
        <v>10</v>
      </c>
      <c r="L352" s="909">
        <v>1</v>
      </c>
      <c r="M352" s="412">
        <v>10</v>
      </c>
      <c r="N352" s="431">
        <v>3</v>
      </c>
      <c r="O352" s="248"/>
      <c r="P352" s="248"/>
    </row>
    <row r="353" spans="1:19" ht="18.25" customHeight="1" outlineLevel="2">
      <c r="B353" s="5" t="s">
        <v>268</v>
      </c>
      <c r="C353" s="6" t="s">
        <v>81</v>
      </c>
      <c r="D353" s="7" t="s">
        <v>54</v>
      </c>
      <c r="E353" s="8">
        <v>0</v>
      </c>
      <c r="F353" s="9">
        <v>0</v>
      </c>
      <c r="G353" s="8">
        <v>2</v>
      </c>
      <c r="H353" s="10">
        <v>18694</v>
      </c>
      <c r="I353" s="310">
        <v>1</v>
      </c>
      <c r="J353" s="406">
        <v>0</v>
      </c>
      <c r="K353" s="319">
        <v>0</v>
      </c>
      <c r="L353" s="424"/>
      <c r="M353" s="410">
        <v>0</v>
      </c>
      <c r="N353" s="429"/>
    </row>
    <row r="354" spans="1:19" ht="18.25" customHeight="1" outlineLevel="2">
      <c r="B354" s="5" t="s">
        <v>268</v>
      </c>
      <c r="C354" s="18" t="s">
        <v>87</v>
      </c>
      <c r="D354" s="7" t="s">
        <v>17</v>
      </c>
      <c r="E354" s="8">
        <v>0</v>
      </c>
      <c r="F354" s="9">
        <v>0</v>
      </c>
      <c r="G354" s="8">
        <v>1</v>
      </c>
      <c r="H354" s="10">
        <v>10951</v>
      </c>
      <c r="I354" s="310">
        <v>1</v>
      </c>
      <c r="J354" s="406">
        <v>1</v>
      </c>
      <c r="K354" s="319">
        <v>0</v>
      </c>
      <c r="L354" s="424">
        <v>0</v>
      </c>
      <c r="M354" s="410">
        <v>0</v>
      </c>
      <c r="N354" s="429"/>
    </row>
    <row r="355" spans="1:19" ht="18.25" customHeight="1" outlineLevel="2">
      <c r="B355" s="5" t="s">
        <v>268</v>
      </c>
      <c r="C355" s="18" t="s">
        <v>82</v>
      </c>
      <c r="D355" s="7" t="s">
        <v>17</v>
      </c>
      <c r="E355" s="8">
        <v>0</v>
      </c>
      <c r="F355" s="9">
        <v>0</v>
      </c>
      <c r="G355" s="8">
        <v>2</v>
      </c>
      <c r="H355" s="10">
        <v>18648</v>
      </c>
      <c r="I355" s="310">
        <v>1</v>
      </c>
      <c r="J355" s="406">
        <v>1</v>
      </c>
      <c r="K355" s="319">
        <v>0</v>
      </c>
      <c r="L355" s="424">
        <v>0</v>
      </c>
      <c r="M355" s="410">
        <v>0</v>
      </c>
      <c r="N355" s="429"/>
    </row>
    <row r="356" spans="1:19" ht="18.25" customHeight="1" outlineLevel="1">
      <c r="B356" s="12" t="s">
        <v>268</v>
      </c>
      <c r="C356" s="13" t="s">
        <v>85</v>
      </c>
      <c r="D356" s="14">
        <v>3</v>
      </c>
      <c r="E356" s="15">
        <v>0</v>
      </c>
      <c r="F356" s="16">
        <v>0</v>
      </c>
      <c r="G356" s="15">
        <v>5</v>
      </c>
      <c r="H356" s="17">
        <v>48293</v>
      </c>
      <c r="I356" s="311">
        <v>3</v>
      </c>
      <c r="J356" s="312">
        <v>2</v>
      </c>
      <c r="K356" s="906">
        <v>0</v>
      </c>
      <c r="L356" s="907">
        <v>0</v>
      </c>
      <c r="M356" s="411">
        <v>0</v>
      </c>
      <c r="N356" s="430">
        <v>0</v>
      </c>
      <c r="O356" s="1" t="s">
        <v>167</v>
      </c>
    </row>
    <row r="357" spans="1:19" ht="18.25" customHeight="1" outlineLevel="2">
      <c r="B357" s="5" t="s">
        <v>268</v>
      </c>
      <c r="C357" s="6" t="s">
        <v>577</v>
      </c>
      <c r="D357" s="7" t="s">
        <v>237</v>
      </c>
      <c r="E357" s="8">
        <v>0</v>
      </c>
      <c r="F357" s="9">
        <v>0</v>
      </c>
      <c r="G357" s="8">
        <v>1</v>
      </c>
      <c r="H357" s="10">
        <v>18797</v>
      </c>
      <c r="I357" s="310">
        <v>1</v>
      </c>
      <c r="J357" s="406">
        <v>0</v>
      </c>
      <c r="K357" s="319">
        <v>0</v>
      </c>
      <c r="L357" s="424"/>
      <c r="M357" s="410">
        <v>0</v>
      </c>
      <c r="N357" s="429"/>
    </row>
    <row r="358" spans="1:19" ht="18.25" customHeight="1" outlineLevel="1">
      <c r="B358" s="12" t="s">
        <v>268</v>
      </c>
      <c r="C358" s="13" t="s">
        <v>577</v>
      </c>
      <c r="D358" s="14">
        <v>1</v>
      </c>
      <c r="E358" s="15">
        <v>0</v>
      </c>
      <c r="F358" s="16">
        <v>0</v>
      </c>
      <c r="G358" s="15">
        <v>1</v>
      </c>
      <c r="H358" s="17">
        <v>18797</v>
      </c>
      <c r="I358" s="311">
        <v>1</v>
      </c>
      <c r="J358" s="312">
        <v>0</v>
      </c>
      <c r="K358" s="906">
        <v>0</v>
      </c>
      <c r="L358" s="907">
        <v>0</v>
      </c>
      <c r="M358" s="411">
        <v>0</v>
      </c>
      <c r="N358" s="430">
        <v>0</v>
      </c>
      <c r="O358" s="1" t="s">
        <v>669</v>
      </c>
    </row>
    <row r="359" spans="1:19" ht="18" customHeight="1" outlineLevel="2">
      <c r="B359" s="5" t="s">
        <v>268</v>
      </c>
      <c r="C359" s="18" t="s">
        <v>83</v>
      </c>
      <c r="D359" s="7" t="s">
        <v>22</v>
      </c>
      <c r="E359" s="8">
        <v>0</v>
      </c>
      <c r="F359" s="9">
        <v>0</v>
      </c>
      <c r="G359" s="8">
        <v>8</v>
      </c>
      <c r="H359" s="10">
        <v>63400</v>
      </c>
      <c r="I359" s="310">
        <v>1</v>
      </c>
      <c r="J359" s="406">
        <v>1</v>
      </c>
      <c r="K359" s="319">
        <v>1</v>
      </c>
      <c r="L359" s="424"/>
      <c r="M359" s="410">
        <v>1</v>
      </c>
      <c r="N359" s="429"/>
    </row>
    <row r="360" spans="1:19" ht="18.25" customHeight="1" outlineLevel="2">
      <c r="B360" s="5" t="s">
        <v>269</v>
      </c>
      <c r="C360" s="18" t="s">
        <v>745</v>
      </c>
      <c r="D360" s="7" t="s">
        <v>17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6">
        <v>0</v>
      </c>
      <c r="K360" s="319">
        <v>0</v>
      </c>
      <c r="L360" s="424">
        <v>0</v>
      </c>
      <c r="M360" s="410">
        <v>0</v>
      </c>
      <c r="N360" s="429"/>
    </row>
    <row r="361" spans="1:19" ht="18.25" customHeight="1" outlineLevel="2">
      <c r="B361" s="5" t="s">
        <v>269</v>
      </c>
      <c r="C361" s="18" t="s">
        <v>344</v>
      </c>
      <c r="D361" s="7" t="s">
        <v>17</v>
      </c>
      <c r="E361" s="8">
        <v>0</v>
      </c>
      <c r="F361" s="9">
        <v>0</v>
      </c>
      <c r="G361" s="8">
        <v>0</v>
      </c>
      <c r="H361" s="10">
        <v>0</v>
      </c>
      <c r="I361" s="310">
        <v>0</v>
      </c>
      <c r="J361" s="406">
        <v>0</v>
      </c>
      <c r="K361" s="319">
        <v>0</v>
      </c>
      <c r="L361" s="424">
        <v>0</v>
      </c>
      <c r="M361" s="410">
        <v>0</v>
      </c>
      <c r="N361" s="429"/>
    </row>
    <row r="362" spans="1:19" s="1" customFormat="1" ht="18.25" customHeight="1" outlineLevel="2">
      <c r="A362" s="576"/>
      <c r="B362" s="5" t="s">
        <v>269</v>
      </c>
      <c r="C362" s="18" t="s">
        <v>563</v>
      </c>
      <c r="D362" s="7" t="s">
        <v>17</v>
      </c>
      <c r="E362" s="8">
        <v>0</v>
      </c>
      <c r="F362" s="9">
        <v>0</v>
      </c>
      <c r="G362" s="8">
        <v>0</v>
      </c>
      <c r="H362" s="10">
        <v>0</v>
      </c>
      <c r="I362" s="310">
        <v>0</v>
      </c>
      <c r="J362" s="406">
        <v>0</v>
      </c>
      <c r="K362" s="319">
        <v>0</v>
      </c>
      <c r="L362" s="424">
        <v>0</v>
      </c>
      <c r="M362" s="410">
        <v>0</v>
      </c>
      <c r="N362" s="429"/>
      <c r="Q362"/>
      <c r="R362"/>
      <c r="S362"/>
    </row>
    <row r="363" spans="1:19" s="1" customFormat="1" ht="18.25" customHeight="1" outlineLevel="1">
      <c r="A363" s="576"/>
      <c r="B363" s="12" t="s">
        <v>268</v>
      </c>
      <c r="C363" s="13" t="s">
        <v>83</v>
      </c>
      <c r="D363" s="14">
        <v>4</v>
      </c>
      <c r="E363" s="15">
        <v>0</v>
      </c>
      <c r="F363" s="16">
        <v>0</v>
      </c>
      <c r="G363" s="15">
        <v>8</v>
      </c>
      <c r="H363" s="17">
        <v>63400</v>
      </c>
      <c r="I363" s="311">
        <v>1</v>
      </c>
      <c r="J363" s="312">
        <v>1</v>
      </c>
      <c r="K363" s="906">
        <v>1</v>
      </c>
      <c r="L363" s="907">
        <v>0</v>
      </c>
      <c r="M363" s="411">
        <v>1</v>
      </c>
      <c r="N363" s="430">
        <v>0</v>
      </c>
      <c r="O363" s="1" t="s">
        <v>171</v>
      </c>
      <c r="Q363"/>
      <c r="R363"/>
      <c r="S363"/>
    </row>
    <row r="364" spans="1:19" s="1" customFormat="1" ht="18.25" customHeight="1" outlineLevel="2">
      <c r="A364" s="576"/>
      <c r="B364" s="5" t="s">
        <v>268</v>
      </c>
      <c r="C364" s="6" t="s">
        <v>86</v>
      </c>
      <c r="D364" s="7" t="s">
        <v>25</v>
      </c>
      <c r="E364" s="8">
        <v>0</v>
      </c>
      <c r="F364" s="9">
        <v>0</v>
      </c>
      <c r="G364" s="8">
        <v>0</v>
      </c>
      <c r="H364" s="10">
        <v>0</v>
      </c>
      <c r="I364" s="310">
        <v>0</v>
      </c>
      <c r="J364" s="406">
        <v>0</v>
      </c>
      <c r="K364" s="319">
        <v>0</v>
      </c>
      <c r="L364" s="424"/>
      <c r="M364" s="410">
        <v>0</v>
      </c>
      <c r="N364" s="429"/>
      <c r="Q364"/>
      <c r="R364"/>
      <c r="S364"/>
    </row>
    <row r="365" spans="1:19" s="1" customFormat="1" ht="18.25" customHeight="1" outlineLevel="2">
      <c r="A365" s="576"/>
      <c r="B365" s="5" t="s">
        <v>268</v>
      </c>
      <c r="C365" s="6" t="s">
        <v>230</v>
      </c>
      <c r="D365" s="7" t="s">
        <v>17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6">
        <v>0</v>
      </c>
      <c r="K365" s="319">
        <v>0</v>
      </c>
      <c r="L365" s="424">
        <v>0</v>
      </c>
      <c r="M365" s="410">
        <v>0</v>
      </c>
      <c r="N365" s="429"/>
      <c r="Q365"/>
      <c r="R365"/>
      <c r="S365"/>
    </row>
    <row r="366" spans="1:19" s="1" customFormat="1" ht="18.25" customHeight="1" outlineLevel="1">
      <c r="A366" s="576"/>
      <c r="B366" s="12" t="s">
        <v>268</v>
      </c>
      <c r="C366" s="13" t="s">
        <v>86</v>
      </c>
      <c r="D366" s="14">
        <v>2</v>
      </c>
      <c r="E366" s="15">
        <v>0</v>
      </c>
      <c r="F366" s="16">
        <v>0</v>
      </c>
      <c r="G366" s="15">
        <v>0</v>
      </c>
      <c r="H366" s="17">
        <v>0</v>
      </c>
      <c r="I366" s="311">
        <v>0</v>
      </c>
      <c r="J366" s="312">
        <v>0</v>
      </c>
      <c r="K366" s="906">
        <v>0</v>
      </c>
      <c r="L366" s="907">
        <v>0</v>
      </c>
      <c r="M366" s="411">
        <v>0</v>
      </c>
      <c r="N366" s="430">
        <v>0</v>
      </c>
      <c r="O366" s="1" t="s">
        <v>169</v>
      </c>
      <c r="Q366"/>
      <c r="R366"/>
      <c r="S366"/>
    </row>
    <row r="367" spans="1:19" s="1" customFormat="1" ht="18.25" customHeight="1" outlineLevel="2">
      <c r="A367" s="576"/>
      <c r="B367" s="5" t="s">
        <v>268</v>
      </c>
      <c r="C367" s="6" t="s">
        <v>84</v>
      </c>
      <c r="D367" s="7" t="s">
        <v>20</v>
      </c>
      <c r="E367" s="8">
        <v>0</v>
      </c>
      <c r="F367" s="9">
        <v>0</v>
      </c>
      <c r="G367" s="8">
        <v>0</v>
      </c>
      <c r="H367" s="10">
        <v>0</v>
      </c>
      <c r="I367" s="310">
        <v>0</v>
      </c>
      <c r="J367" s="406">
        <v>0</v>
      </c>
      <c r="K367" s="319">
        <v>0</v>
      </c>
      <c r="L367" s="424"/>
      <c r="M367" s="410">
        <v>0</v>
      </c>
      <c r="N367" s="429"/>
      <c r="Q367"/>
      <c r="R367"/>
      <c r="S367"/>
    </row>
    <row r="368" spans="1:19" s="1" customFormat="1" ht="18.25" customHeight="1" outlineLevel="2">
      <c r="A368" s="576"/>
      <c r="B368" s="5" t="s">
        <v>268</v>
      </c>
      <c r="C368" s="6" t="s">
        <v>200</v>
      </c>
      <c r="D368" s="7" t="s">
        <v>17</v>
      </c>
      <c r="E368" s="8">
        <v>0</v>
      </c>
      <c r="F368" s="9">
        <v>0</v>
      </c>
      <c r="G368" s="8">
        <v>4</v>
      </c>
      <c r="H368" s="10">
        <v>53350</v>
      </c>
      <c r="I368" s="310">
        <v>1</v>
      </c>
      <c r="J368" s="406">
        <v>1</v>
      </c>
      <c r="K368" s="319">
        <v>1</v>
      </c>
      <c r="L368" s="424">
        <v>0</v>
      </c>
      <c r="M368" s="410">
        <v>1</v>
      </c>
      <c r="N368" s="429"/>
      <c r="Q368"/>
      <c r="R368"/>
      <c r="S368"/>
    </row>
    <row r="369" spans="1:19" s="1" customFormat="1" ht="18.25" customHeight="1" outlineLevel="1">
      <c r="A369" s="576"/>
      <c r="B369" s="12" t="s">
        <v>268</v>
      </c>
      <c r="C369" s="13" t="s">
        <v>84</v>
      </c>
      <c r="D369" s="14">
        <v>2</v>
      </c>
      <c r="E369" s="15">
        <v>0</v>
      </c>
      <c r="F369" s="16">
        <v>0</v>
      </c>
      <c r="G369" s="15">
        <v>4</v>
      </c>
      <c r="H369" s="17">
        <v>53350</v>
      </c>
      <c r="I369" s="311">
        <v>1</v>
      </c>
      <c r="J369" s="312">
        <v>1</v>
      </c>
      <c r="K369" s="906">
        <v>1</v>
      </c>
      <c r="L369" s="907">
        <v>0</v>
      </c>
      <c r="M369" s="411">
        <v>1</v>
      </c>
      <c r="N369" s="430">
        <v>1</v>
      </c>
      <c r="O369" s="1" t="s">
        <v>169</v>
      </c>
      <c r="Q369"/>
      <c r="R369"/>
      <c r="S369"/>
    </row>
    <row r="370" spans="1:19" s="1" customFormat="1" ht="18.25" customHeight="1" outlineLevel="2">
      <c r="A370" s="576"/>
      <c r="B370" s="5" t="s">
        <v>268</v>
      </c>
      <c r="C370" s="6" t="s">
        <v>215</v>
      </c>
      <c r="D370" s="7" t="s">
        <v>40</v>
      </c>
      <c r="E370" s="8">
        <v>0</v>
      </c>
      <c r="F370" s="9">
        <v>0</v>
      </c>
      <c r="G370" s="8">
        <v>0</v>
      </c>
      <c r="H370" s="10">
        <v>0</v>
      </c>
      <c r="I370" s="310">
        <v>0</v>
      </c>
      <c r="J370" s="406">
        <v>0</v>
      </c>
      <c r="K370" s="319">
        <v>0</v>
      </c>
      <c r="L370" s="424"/>
      <c r="M370" s="410">
        <v>0</v>
      </c>
      <c r="N370" s="429"/>
      <c r="Q370"/>
      <c r="R370"/>
      <c r="S370"/>
    </row>
    <row r="371" spans="1:19" s="1" customFormat="1" ht="18.25" customHeight="1" outlineLevel="2">
      <c r="A371" s="576"/>
      <c r="B371" s="5" t="s">
        <v>268</v>
      </c>
      <c r="C371" s="39" t="s">
        <v>502</v>
      </c>
      <c r="D371" s="7" t="s">
        <v>17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6">
        <v>0</v>
      </c>
      <c r="K371" s="319">
        <v>0</v>
      </c>
      <c r="L371" s="424">
        <v>0</v>
      </c>
      <c r="M371" s="410">
        <v>0</v>
      </c>
      <c r="N371" s="429"/>
      <c r="Q371"/>
      <c r="R371"/>
      <c r="S371"/>
    </row>
    <row r="372" spans="1:19" s="1" customFormat="1" ht="18.25" customHeight="1" outlineLevel="2">
      <c r="A372" s="576"/>
      <c r="B372" s="5" t="s">
        <v>268</v>
      </c>
      <c r="C372" s="39" t="s">
        <v>621</v>
      </c>
      <c r="D372" s="7" t="s">
        <v>17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6">
        <v>0</v>
      </c>
      <c r="K372" s="319">
        <v>0</v>
      </c>
      <c r="L372" s="424">
        <v>0</v>
      </c>
      <c r="M372" s="410">
        <v>0</v>
      </c>
      <c r="N372" s="429"/>
      <c r="Q372"/>
      <c r="R372"/>
      <c r="S372"/>
    </row>
    <row r="373" spans="1:19" s="1" customFormat="1" ht="18.25" customHeight="1" outlineLevel="2">
      <c r="A373" s="576"/>
      <c r="B373" s="5" t="s">
        <v>268</v>
      </c>
      <c r="C373" s="6" t="s">
        <v>324</v>
      </c>
      <c r="D373" s="7" t="s">
        <v>188</v>
      </c>
      <c r="E373" s="8">
        <v>2</v>
      </c>
      <c r="F373" s="9">
        <v>17476</v>
      </c>
      <c r="G373" s="8">
        <v>7</v>
      </c>
      <c r="H373" s="10">
        <v>55700</v>
      </c>
      <c r="I373" s="310">
        <v>1</v>
      </c>
      <c r="J373" s="406">
        <v>1</v>
      </c>
      <c r="K373" s="319">
        <v>1</v>
      </c>
      <c r="L373" s="424">
        <v>0</v>
      </c>
      <c r="M373" s="410">
        <v>1</v>
      </c>
      <c r="N373" s="429"/>
      <c r="Q373"/>
      <c r="R373"/>
      <c r="S373"/>
    </row>
    <row r="374" spans="1:19" s="1" customFormat="1" ht="18.25" customHeight="1" outlineLevel="1">
      <c r="A374" s="576"/>
      <c r="B374" s="12" t="s">
        <v>268</v>
      </c>
      <c r="C374" s="13" t="s">
        <v>241</v>
      </c>
      <c r="D374" s="14">
        <v>4</v>
      </c>
      <c r="E374" s="15">
        <v>2</v>
      </c>
      <c r="F374" s="16">
        <v>17476</v>
      </c>
      <c r="G374" s="15">
        <v>7</v>
      </c>
      <c r="H374" s="17">
        <v>55700</v>
      </c>
      <c r="I374" s="311">
        <v>1</v>
      </c>
      <c r="J374" s="312">
        <v>1</v>
      </c>
      <c r="K374" s="906">
        <v>1</v>
      </c>
      <c r="L374" s="907">
        <v>0</v>
      </c>
      <c r="M374" s="411">
        <v>1</v>
      </c>
      <c r="N374" s="430">
        <v>0</v>
      </c>
      <c r="O374" s="1" t="s">
        <v>51</v>
      </c>
      <c r="Q374"/>
      <c r="R374"/>
      <c r="S374"/>
    </row>
    <row r="375" spans="1:19" s="1" customFormat="1" ht="18.25" customHeight="1" outlineLevel="2">
      <c r="A375" s="576"/>
      <c r="B375" s="5" t="s">
        <v>268</v>
      </c>
      <c r="C375" s="6" t="s">
        <v>807</v>
      </c>
      <c r="D375" s="19" t="s">
        <v>25</v>
      </c>
      <c r="E375" s="8">
        <v>0</v>
      </c>
      <c r="F375" s="9">
        <v>0</v>
      </c>
      <c r="G375" s="8">
        <v>8</v>
      </c>
      <c r="H375" s="10">
        <v>55045</v>
      </c>
      <c r="I375" s="310">
        <v>1</v>
      </c>
      <c r="J375" s="406">
        <v>1</v>
      </c>
      <c r="K375" s="319">
        <v>1</v>
      </c>
      <c r="L375" s="424"/>
      <c r="M375" s="410">
        <v>1</v>
      </c>
      <c r="N375" s="429"/>
      <c r="Q375"/>
      <c r="R375"/>
      <c r="S375"/>
    </row>
    <row r="376" spans="1:19" s="1" customFormat="1" ht="18.25" customHeight="1" outlineLevel="2">
      <c r="A376" s="576"/>
      <c r="B376" s="5" t="s">
        <v>268</v>
      </c>
      <c r="C376" s="6" t="s">
        <v>747</v>
      </c>
      <c r="D376" s="7" t="s">
        <v>17</v>
      </c>
      <c r="E376" s="8">
        <v>0</v>
      </c>
      <c r="F376" s="9">
        <v>0</v>
      </c>
      <c r="G376" s="8">
        <v>0</v>
      </c>
      <c r="H376" s="10">
        <v>0</v>
      </c>
      <c r="I376" s="310">
        <v>0</v>
      </c>
      <c r="J376" s="406">
        <v>0</v>
      </c>
      <c r="K376" s="319">
        <v>0</v>
      </c>
      <c r="L376" s="424">
        <v>0</v>
      </c>
      <c r="M376" s="410">
        <v>0</v>
      </c>
      <c r="N376" s="429"/>
      <c r="Q376"/>
      <c r="R376"/>
      <c r="S376"/>
    </row>
    <row r="377" spans="1:19" s="1" customFormat="1" ht="18.25" customHeight="1" outlineLevel="1">
      <c r="A377" s="576"/>
      <c r="B377" s="12" t="s">
        <v>268</v>
      </c>
      <c r="C377" s="13" t="s">
        <v>295</v>
      </c>
      <c r="D377" s="14">
        <v>2</v>
      </c>
      <c r="E377" s="15">
        <v>0</v>
      </c>
      <c r="F377" s="16">
        <v>0</v>
      </c>
      <c r="G377" s="15">
        <v>8</v>
      </c>
      <c r="H377" s="17">
        <v>55045</v>
      </c>
      <c r="I377" s="311">
        <v>1</v>
      </c>
      <c r="J377" s="312">
        <v>1</v>
      </c>
      <c r="K377" s="906">
        <v>1</v>
      </c>
      <c r="L377" s="907">
        <v>0</v>
      </c>
      <c r="M377" s="411">
        <v>1</v>
      </c>
      <c r="N377" s="430">
        <v>1</v>
      </c>
      <c r="O377" s="1" t="s">
        <v>169</v>
      </c>
      <c r="Q377"/>
      <c r="R377"/>
      <c r="S377"/>
    </row>
    <row r="378" spans="1:19" ht="18.25" customHeight="1" outlineLevel="2">
      <c r="B378" s="5" t="s">
        <v>268</v>
      </c>
      <c r="C378" s="6" t="s">
        <v>88</v>
      </c>
      <c r="D378" s="7" t="s">
        <v>22</v>
      </c>
      <c r="E378" s="8">
        <v>0</v>
      </c>
      <c r="F378" s="9">
        <v>0</v>
      </c>
      <c r="G378" s="8">
        <v>5</v>
      </c>
      <c r="H378" s="10">
        <v>55951</v>
      </c>
      <c r="I378" s="310">
        <v>1</v>
      </c>
      <c r="J378" s="406">
        <v>1</v>
      </c>
      <c r="K378" s="319">
        <v>1</v>
      </c>
      <c r="L378" s="424"/>
      <c r="M378" s="410">
        <v>1</v>
      </c>
      <c r="N378" s="429"/>
    </row>
    <row r="379" spans="1:19" ht="18.25" customHeight="1" outlineLevel="2">
      <c r="B379" s="5" t="s">
        <v>268</v>
      </c>
      <c r="C379" s="6" t="s">
        <v>89</v>
      </c>
      <c r="D379" s="7" t="s">
        <v>17</v>
      </c>
      <c r="E379" s="8">
        <v>0</v>
      </c>
      <c r="F379" s="9">
        <v>0</v>
      </c>
      <c r="G379" s="8">
        <v>0</v>
      </c>
      <c r="H379" s="10">
        <v>0</v>
      </c>
      <c r="I379" s="310">
        <v>0</v>
      </c>
      <c r="J379" s="406">
        <v>0</v>
      </c>
      <c r="K379" s="319">
        <v>0</v>
      </c>
      <c r="L379" s="424">
        <v>0</v>
      </c>
      <c r="M379" s="410">
        <v>0</v>
      </c>
      <c r="N379" s="429"/>
    </row>
    <row r="380" spans="1:19" ht="18.25" customHeight="1" outlineLevel="1">
      <c r="B380" s="12" t="s">
        <v>268</v>
      </c>
      <c r="C380" s="13" t="s">
        <v>88</v>
      </c>
      <c r="D380" s="14">
        <v>2</v>
      </c>
      <c r="E380" s="15">
        <v>0</v>
      </c>
      <c r="F380" s="16">
        <v>0</v>
      </c>
      <c r="G380" s="15">
        <v>5</v>
      </c>
      <c r="H380" s="17">
        <v>55951</v>
      </c>
      <c r="I380" s="311">
        <v>1</v>
      </c>
      <c r="J380" s="312">
        <v>1</v>
      </c>
      <c r="K380" s="906">
        <v>1</v>
      </c>
      <c r="L380" s="907">
        <v>0</v>
      </c>
      <c r="M380" s="411">
        <v>1</v>
      </c>
      <c r="N380" s="430">
        <v>0</v>
      </c>
      <c r="O380" s="1" t="s">
        <v>171</v>
      </c>
    </row>
    <row r="381" spans="1:19" s="149" customFormat="1" ht="18.25" customHeight="1">
      <c r="A381" s="575" t="s">
        <v>268</v>
      </c>
      <c r="B381" s="967" t="s">
        <v>268</v>
      </c>
      <c r="C381" s="968"/>
      <c r="D381" s="145">
        <v>20</v>
      </c>
      <c r="E381" s="150">
        <v>2</v>
      </c>
      <c r="F381" s="151">
        <v>17476</v>
      </c>
      <c r="G381" s="146">
        <v>38</v>
      </c>
      <c r="H381" s="152">
        <v>350536</v>
      </c>
      <c r="I381" s="314">
        <v>9</v>
      </c>
      <c r="J381" s="315">
        <v>7</v>
      </c>
      <c r="K381" s="908">
        <v>5</v>
      </c>
      <c r="L381" s="909">
        <v>0</v>
      </c>
      <c r="M381" s="412">
        <v>5</v>
      </c>
      <c r="N381" s="431">
        <v>2</v>
      </c>
      <c r="O381" s="248"/>
      <c r="P381" s="248"/>
    </row>
    <row r="382" spans="1:19" ht="18.25" customHeight="1" outlineLevel="2">
      <c r="B382" s="5" t="s">
        <v>207</v>
      </c>
      <c r="C382" s="6" t="s">
        <v>97</v>
      </c>
      <c r="D382" s="19" t="s">
        <v>54</v>
      </c>
      <c r="E382" s="8">
        <v>0</v>
      </c>
      <c r="F382" s="9">
        <v>0</v>
      </c>
      <c r="G382" s="8">
        <v>0</v>
      </c>
      <c r="H382" s="10">
        <v>0</v>
      </c>
      <c r="I382" s="310">
        <v>0</v>
      </c>
      <c r="J382" s="406">
        <v>0</v>
      </c>
      <c r="K382" s="319">
        <v>0</v>
      </c>
      <c r="L382" s="424"/>
      <c r="M382" s="410">
        <v>0</v>
      </c>
      <c r="N382" s="429"/>
    </row>
    <row r="383" spans="1:19" ht="18.25" customHeight="1" outlineLevel="2">
      <c r="B383" s="5" t="s">
        <v>206</v>
      </c>
      <c r="C383" s="6" t="s">
        <v>688</v>
      </c>
      <c r="D383" s="7" t="s">
        <v>39</v>
      </c>
      <c r="E383" s="8">
        <v>0</v>
      </c>
      <c r="F383" s="9">
        <v>0</v>
      </c>
      <c r="G383" s="8">
        <v>0</v>
      </c>
      <c r="H383" s="10">
        <v>0</v>
      </c>
      <c r="I383" s="310">
        <v>0</v>
      </c>
      <c r="J383" s="406">
        <v>0</v>
      </c>
      <c r="K383" s="319">
        <v>0</v>
      </c>
      <c r="L383" s="424">
        <v>0</v>
      </c>
      <c r="M383" s="410">
        <v>0</v>
      </c>
      <c r="N383" s="429"/>
    </row>
    <row r="384" spans="1:19" ht="18.25" customHeight="1" outlineLevel="2">
      <c r="B384" s="5" t="s">
        <v>206</v>
      </c>
      <c r="C384" s="6" t="s">
        <v>98</v>
      </c>
      <c r="D384" s="23" t="s">
        <v>17</v>
      </c>
      <c r="E384" s="8">
        <v>0</v>
      </c>
      <c r="F384" s="9">
        <v>0</v>
      </c>
      <c r="G384" s="8">
        <v>1</v>
      </c>
      <c r="H384" s="10">
        <v>11012</v>
      </c>
      <c r="I384" s="310">
        <v>1</v>
      </c>
      <c r="J384" s="406">
        <v>1</v>
      </c>
      <c r="K384" s="319">
        <v>0</v>
      </c>
      <c r="L384" s="424">
        <v>0</v>
      </c>
      <c r="M384" s="410">
        <v>0</v>
      </c>
      <c r="N384" s="429"/>
    </row>
    <row r="385" spans="1:19" ht="18.25" customHeight="1" outlineLevel="1">
      <c r="B385" s="12" t="s">
        <v>206</v>
      </c>
      <c r="C385" s="13" t="s">
        <v>100</v>
      </c>
      <c r="D385" s="14">
        <v>3</v>
      </c>
      <c r="E385" s="15">
        <v>0</v>
      </c>
      <c r="F385" s="16">
        <v>0</v>
      </c>
      <c r="G385" s="15">
        <v>1</v>
      </c>
      <c r="H385" s="17">
        <v>11012</v>
      </c>
      <c r="I385" s="311">
        <v>1</v>
      </c>
      <c r="J385" s="312">
        <v>1</v>
      </c>
      <c r="K385" s="906">
        <v>0</v>
      </c>
      <c r="L385" s="907">
        <v>0</v>
      </c>
      <c r="M385" s="411">
        <v>0</v>
      </c>
      <c r="N385" s="430">
        <v>0</v>
      </c>
      <c r="O385" s="1" t="s">
        <v>167</v>
      </c>
    </row>
    <row r="386" spans="1:19" ht="18.25" customHeight="1" outlineLevel="2">
      <c r="B386" s="5" t="s">
        <v>207</v>
      </c>
      <c r="C386" s="6" t="s">
        <v>178</v>
      </c>
      <c r="D386" s="19" t="s">
        <v>51</v>
      </c>
      <c r="E386" s="8">
        <v>0</v>
      </c>
      <c r="F386" s="9">
        <v>0</v>
      </c>
      <c r="G386" s="8">
        <v>0</v>
      </c>
      <c r="H386" s="10">
        <v>0</v>
      </c>
      <c r="I386" s="310">
        <v>0</v>
      </c>
      <c r="J386" s="406">
        <v>0</v>
      </c>
      <c r="K386" s="319">
        <v>0</v>
      </c>
      <c r="L386" s="424"/>
      <c r="M386" s="410">
        <v>0</v>
      </c>
      <c r="N386" s="429"/>
    </row>
    <row r="387" spans="1:19" ht="18.25" customHeight="1" outlineLevel="2">
      <c r="B387" s="5" t="s">
        <v>206</v>
      </c>
      <c r="C387" s="6" t="s">
        <v>179</v>
      </c>
      <c r="D387" s="7" t="s">
        <v>27</v>
      </c>
      <c r="E387" s="8">
        <v>0</v>
      </c>
      <c r="F387" s="9">
        <v>0</v>
      </c>
      <c r="G387" s="8">
        <v>3</v>
      </c>
      <c r="H387" s="10">
        <v>22724</v>
      </c>
      <c r="I387" s="310">
        <v>1</v>
      </c>
      <c r="J387" s="406">
        <v>1</v>
      </c>
      <c r="K387" s="319">
        <v>0</v>
      </c>
      <c r="L387" s="424">
        <v>0</v>
      </c>
      <c r="M387" s="410">
        <v>0</v>
      </c>
      <c r="N387" s="429"/>
    </row>
    <row r="388" spans="1:19" ht="18.25" customHeight="1" outlineLevel="1">
      <c r="B388" s="12" t="s">
        <v>206</v>
      </c>
      <c r="C388" s="13" t="s">
        <v>178</v>
      </c>
      <c r="D388" s="14">
        <v>2</v>
      </c>
      <c r="E388" s="15">
        <v>0</v>
      </c>
      <c r="F388" s="16">
        <v>0</v>
      </c>
      <c r="G388" s="15">
        <v>3</v>
      </c>
      <c r="H388" s="17">
        <v>22724</v>
      </c>
      <c r="I388" s="311">
        <v>1</v>
      </c>
      <c r="J388" s="312">
        <v>1</v>
      </c>
      <c r="K388" s="906">
        <v>0</v>
      </c>
      <c r="L388" s="907">
        <v>0</v>
      </c>
      <c r="M388" s="411">
        <v>0</v>
      </c>
      <c r="N388" s="430">
        <v>0</v>
      </c>
      <c r="O388" s="1" t="s">
        <v>51</v>
      </c>
    </row>
    <row r="389" spans="1:19" ht="18.25" customHeight="1" outlineLevel="2">
      <c r="B389" s="5" t="s">
        <v>207</v>
      </c>
      <c r="C389" s="6" t="s">
        <v>319</v>
      </c>
      <c r="D389" s="19" t="s">
        <v>22</v>
      </c>
      <c r="E389" s="8">
        <v>0</v>
      </c>
      <c r="F389" s="9">
        <v>0</v>
      </c>
      <c r="G389" s="8">
        <v>5</v>
      </c>
      <c r="H389" s="10">
        <v>45604</v>
      </c>
      <c r="I389" s="310">
        <v>1</v>
      </c>
      <c r="J389" s="406">
        <v>1</v>
      </c>
      <c r="K389" s="319">
        <v>1</v>
      </c>
      <c r="L389" s="424"/>
      <c r="M389" s="410">
        <v>1</v>
      </c>
      <c r="N389" s="429"/>
    </row>
    <row r="390" spans="1:19" ht="18.25" customHeight="1" outlineLevel="2">
      <c r="B390" s="5" t="s">
        <v>206</v>
      </c>
      <c r="C390" s="39" t="s">
        <v>739</v>
      </c>
      <c r="D390" s="7" t="s">
        <v>39</v>
      </c>
      <c r="E390" s="8">
        <v>1</v>
      </c>
      <c r="F390" s="9">
        <v>12347</v>
      </c>
      <c r="G390" s="8">
        <v>2</v>
      </c>
      <c r="H390" s="10">
        <v>15947</v>
      </c>
      <c r="I390" s="310">
        <v>1</v>
      </c>
      <c r="J390" s="406">
        <v>1</v>
      </c>
      <c r="K390" s="319">
        <v>0</v>
      </c>
      <c r="L390" s="424">
        <v>0</v>
      </c>
      <c r="M390" s="410">
        <v>0</v>
      </c>
      <c r="N390" s="429"/>
    </row>
    <row r="391" spans="1:19" ht="18.25" customHeight="1" outlineLevel="2">
      <c r="B391" s="5" t="s">
        <v>206</v>
      </c>
      <c r="C391" s="74" t="s">
        <v>914</v>
      </c>
      <c r="D391" s="45"/>
      <c r="E391" s="8">
        <v>0</v>
      </c>
      <c r="F391" s="9">
        <v>0</v>
      </c>
      <c r="G391" s="8">
        <v>2</v>
      </c>
      <c r="H391" s="10">
        <v>51686</v>
      </c>
      <c r="I391" s="318"/>
      <c r="J391" s="408"/>
      <c r="K391" s="319"/>
      <c r="L391" s="424"/>
      <c r="M391" s="415"/>
      <c r="N391" s="429"/>
    </row>
    <row r="392" spans="1:19" ht="18.25" customHeight="1" outlineLevel="2">
      <c r="B392" s="5" t="s">
        <v>206</v>
      </c>
      <c r="C392" s="6" t="s">
        <v>811</v>
      </c>
      <c r="D392" s="7" t="s">
        <v>39</v>
      </c>
      <c r="E392" s="8">
        <v>0</v>
      </c>
      <c r="F392" s="9">
        <v>0</v>
      </c>
      <c r="G392" s="8">
        <v>4</v>
      </c>
      <c r="H392" s="10">
        <v>49039</v>
      </c>
      <c r="I392" s="310">
        <v>1</v>
      </c>
      <c r="J392" s="406">
        <v>1</v>
      </c>
      <c r="K392" s="319">
        <v>1</v>
      </c>
      <c r="L392" s="424">
        <v>1</v>
      </c>
      <c r="M392" s="410">
        <v>1</v>
      </c>
      <c r="N392" s="429"/>
    </row>
    <row r="393" spans="1:19" ht="18.25" customHeight="1" outlineLevel="1">
      <c r="B393" s="12" t="s">
        <v>206</v>
      </c>
      <c r="C393" s="13" t="s">
        <v>319</v>
      </c>
      <c r="D393" s="14">
        <v>3</v>
      </c>
      <c r="E393" s="15">
        <v>1</v>
      </c>
      <c r="F393" s="16">
        <v>12347</v>
      </c>
      <c r="G393" s="15">
        <v>13</v>
      </c>
      <c r="H393" s="17">
        <v>162276</v>
      </c>
      <c r="I393" s="311">
        <v>3</v>
      </c>
      <c r="J393" s="312">
        <v>3</v>
      </c>
      <c r="K393" s="906">
        <v>2</v>
      </c>
      <c r="L393" s="907">
        <v>1</v>
      </c>
      <c r="M393" s="411">
        <v>2</v>
      </c>
      <c r="N393" s="430">
        <v>1</v>
      </c>
      <c r="O393" s="1" t="s">
        <v>171</v>
      </c>
    </row>
    <row r="394" spans="1:19" s="1" customFormat="1" ht="18.25" customHeight="1" outlineLevel="2">
      <c r="A394" s="576"/>
      <c r="B394" s="5" t="s">
        <v>207</v>
      </c>
      <c r="C394" s="6" t="s">
        <v>874</v>
      </c>
      <c r="D394" s="19" t="s">
        <v>22</v>
      </c>
      <c r="E394" s="8">
        <v>0</v>
      </c>
      <c r="F394" s="9">
        <v>0</v>
      </c>
      <c r="G394" s="8">
        <v>4</v>
      </c>
      <c r="H394" s="10">
        <v>139456</v>
      </c>
      <c r="I394" s="310">
        <v>1</v>
      </c>
      <c r="J394" s="406">
        <v>1</v>
      </c>
      <c r="K394" s="319">
        <v>1</v>
      </c>
      <c r="L394" s="424"/>
      <c r="M394" s="410">
        <v>1</v>
      </c>
      <c r="N394" s="429"/>
      <c r="Q394"/>
      <c r="R394"/>
      <c r="S394"/>
    </row>
    <row r="395" spans="1:19" s="1" customFormat="1" ht="18.25" customHeight="1" outlineLevel="1">
      <c r="A395" s="576"/>
      <c r="B395" s="12" t="s">
        <v>206</v>
      </c>
      <c r="C395" s="13" t="s">
        <v>874</v>
      </c>
      <c r="D395" s="14">
        <v>1</v>
      </c>
      <c r="E395" s="15">
        <v>0</v>
      </c>
      <c r="F395" s="16">
        <v>0</v>
      </c>
      <c r="G395" s="15">
        <v>4</v>
      </c>
      <c r="H395" s="17">
        <v>139456</v>
      </c>
      <c r="I395" s="311">
        <v>1</v>
      </c>
      <c r="J395" s="312">
        <v>1</v>
      </c>
      <c r="K395" s="906">
        <v>1</v>
      </c>
      <c r="L395" s="907">
        <v>0</v>
      </c>
      <c r="M395" s="411">
        <v>1</v>
      </c>
      <c r="N395" s="430">
        <v>0</v>
      </c>
      <c r="O395" s="1" t="s">
        <v>171</v>
      </c>
      <c r="Q395"/>
      <c r="R395"/>
      <c r="S395"/>
    </row>
    <row r="396" spans="1:19" s="1" customFormat="1" ht="18.25" customHeight="1" outlineLevel="2">
      <c r="A396" s="576"/>
      <c r="B396" s="5" t="s">
        <v>206</v>
      </c>
      <c r="C396" s="18" t="s">
        <v>99</v>
      </c>
      <c r="D396" s="23" t="s">
        <v>22</v>
      </c>
      <c r="E396" s="8">
        <v>0</v>
      </c>
      <c r="F396" s="9">
        <v>0</v>
      </c>
      <c r="G396" s="8">
        <v>5</v>
      </c>
      <c r="H396" s="10">
        <v>55451</v>
      </c>
      <c r="I396" s="310">
        <v>1</v>
      </c>
      <c r="J396" s="406">
        <v>1</v>
      </c>
      <c r="K396" s="319">
        <v>1</v>
      </c>
      <c r="L396" s="424"/>
      <c r="M396" s="410">
        <v>1</v>
      </c>
      <c r="N396" s="429"/>
      <c r="Q396"/>
      <c r="R396"/>
      <c r="S396"/>
    </row>
    <row r="397" spans="1:19" s="1" customFormat="1" ht="18.25" customHeight="1" outlineLevel="2">
      <c r="A397" s="576"/>
      <c r="B397" s="5" t="s">
        <v>206</v>
      </c>
      <c r="C397" s="18" t="s">
        <v>829</v>
      </c>
      <c r="D397" s="23" t="s">
        <v>17</v>
      </c>
      <c r="E397" s="8">
        <v>0</v>
      </c>
      <c r="F397" s="9">
        <v>0</v>
      </c>
      <c r="G397" s="8">
        <v>0</v>
      </c>
      <c r="H397" s="10">
        <v>0</v>
      </c>
      <c r="I397" s="310">
        <v>0</v>
      </c>
      <c r="J397" s="406">
        <v>0</v>
      </c>
      <c r="K397" s="319">
        <v>0</v>
      </c>
      <c r="L397" s="424">
        <v>1</v>
      </c>
      <c r="M397" s="410">
        <v>0</v>
      </c>
      <c r="N397" s="429"/>
      <c r="Q397"/>
      <c r="R397"/>
      <c r="S397"/>
    </row>
    <row r="398" spans="1:19" s="1" customFormat="1" ht="18.25" customHeight="1" outlineLevel="2">
      <c r="A398" s="576"/>
      <c r="B398" s="5" t="s">
        <v>206</v>
      </c>
      <c r="C398" s="18" t="s">
        <v>740</v>
      </c>
      <c r="D398" s="23" t="s">
        <v>17</v>
      </c>
      <c r="E398" s="8">
        <v>0</v>
      </c>
      <c r="F398" s="9">
        <v>0</v>
      </c>
      <c r="G398" s="8">
        <v>1</v>
      </c>
      <c r="H398" s="10">
        <v>5919</v>
      </c>
      <c r="I398" s="310">
        <v>1</v>
      </c>
      <c r="J398" s="406">
        <v>0</v>
      </c>
      <c r="K398" s="319">
        <v>0</v>
      </c>
      <c r="L398" s="424">
        <v>0</v>
      </c>
      <c r="M398" s="410">
        <v>0</v>
      </c>
      <c r="N398" s="429"/>
      <c r="Q398"/>
      <c r="R398"/>
      <c r="S398"/>
    </row>
    <row r="399" spans="1:19" s="1" customFormat="1" ht="18.25" customHeight="1" outlineLevel="1">
      <c r="A399" s="576"/>
      <c r="B399" s="12" t="s">
        <v>206</v>
      </c>
      <c r="C399" s="13" t="s">
        <v>99</v>
      </c>
      <c r="D399" s="14">
        <v>3</v>
      </c>
      <c r="E399" s="15">
        <v>0</v>
      </c>
      <c r="F399" s="16">
        <v>0</v>
      </c>
      <c r="G399" s="15">
        <v>6</v>
      </c>
      <c r="H399" s="17">
        <v>61370</v>
      </c>
      <c r="I399" s="311">
        <v>2</v>
      </c>
      <c r="J399" s="312">
        <v>1</v>
      </c>
      <c r="K399" s="906">
        <v>1</v>
      </c>
      <c r="L399" s="907">
        <v>1</v>
      </c>
      <c r="M399" s="411">
        <v>1</v>
      </c>
      <c r="N399" s="430">
        <v>0</v>
      </c>
      <c r="O399" s="1" t="s">
        <v>171</v>
      </c>
      <c r="Q399"/>
      <c r="R399"/>
      <c r="S399"/>
    </row>
    <row r="400" spans="1:19" s="1" customFormat="1" ht="18.25" customHeight="1" outlineLevel="2">
      <c r="A400" s="576"/>
      <c r="B400" s="5" t="s">
        <v>206</v>
      </c>
      <c r="C400" s="18" t="s">
        <v>350</v>
      </c>
      <c r="D400" s="23" t="s">
        <v>25</v>
      </c>
      <c r="E400" s="8">
        <v>0</v>
      </c>
      <c r="F400" s="9">
        <v>0</v>
      </c>
      <c r="G400" s="8">
        <v>0</v>
      </c>
      <c r="H400" s="10">
        <v>0</v>
      </c>
      <c r="I400" s="310">
        <v>0</v>
      </c>
      <c r="J400" s="406">
        <v>0</v>
      </c>
      <c r="K400" s="319">
        <v>0</v>
      </c>
      <c r="L400" s="424"/>
      <c r="M400" s="410">
        <v>0</v>
      </c>
      <c r="N400" s="429"/>
      <c r="Q400"/>
      <c r="R400"/>
      <c r="S400"/>
    </row>
    <row r="401" spans="1:19" s="1" customFormat="1" ht="18.25" customHeight="1" outlineLevel="2">
      <c r="A401" s="576"/>
      <c r="B401" s="5" t="s">
        <v>206</v>
      </c>
      <c r="C401" s="18" t="s">
        <v>751</v>
      </c>
      <c r="D401" s="23" t="s">
        <v>17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6">
        <v>0</v>
      </c>
      <c r="K401" s="319">
        <v>0</v>
      </c>
      <c r="L401" s="424">
        <v>0</v>
      </c>
      <c r="M401" s="410">
        <v>0</v>
      </c>
      <c r="N401" s="429"/>
      <c r="Q401"/>
      <c r="R401"/>
      <c r="S401"/>
    </row>
    <row r="402" spans="1:19" s="1" customFormat="1" ht="18.25" customHeight="1" outlineLevel="1">
      <c r="A402" s="576"/>
      <c r="B402" s="12" t="s">
        <v>206</v>
      </c>
      <c r="C402" s="13" t="s">
        <v>350</v>
      </c>
      <c r="D402" s="14">
        <v>2</v>
      </c>
      <c r="E402" s="15">
        <v>0</v>
      </c>
      <c r="F402" s="16">
        <v>0</v>
      </c>
      <c r="G402" s="15">
        <v>0</v>
      </c>
      <c r="H402" s="17">
        <v>0</v>
      </c>
      <c r="I402" s="311">
        <v>0</v>
      </c>
      <c r="J402" s="312">
        <v>0</v>
      </c>
      <c r="K402" s="906">
        <v>0</v>
      </c>
      <c r="L402" s="907">
        <v>0</v>
      </c>
      <c r="M402" s="411">
        <v>0</v>
      </c>
      <c r="N402" s="430">
        <v>0</v>
      </c>
      <c r="O402" s="1" t="s">
        <v>169</v>
      </c>
      <c r="Q402"/>
      <c r="R402"/>
      <c r="S402"/>
    </row>
    <row r="403" spans="1:19" s="1" customFormat="1" ht="18.25" customHeight="1" outlineLevel="2">
      <c r="A403" s="576"/>
      <c r="B403" s="5" t="s">
        <v>206</v>
      </c>
      <c r="C403" s="18" t="s">
        <v>202</v>
      </c>
      <c r="D403" s="7" t="s">
        <v>22</v>
      </c>
      <c r="E403" s="8">
        <v>0</v>
      </c>
      <c r="F403" s="9">
        <v>0</v>
      </c>
      <c r="G403" s="8">
        <v>0</v>
      </c>
      <c r="H403" s="10">
        <v>0</v>
      </c>
      <c r="I403" s="310">
        <v>0</v>
      </c>
      <c r="J403" s="406">
        <v>0</v>
      </c>
      <c r="K403" s="319">
        <v>0</v>
      </c>
      <c r="L403" s="424"/>
      <c r="M403" s="410">
        <v>0</v>
      </c>
      <c r="N403" s="429"/>
      <c r="Q403"/>
      <c r="R403"/>
      <c r="S403"/>
    </row>
    <row r="404" spans="1:19" s="1" customFormat="1" ht="18.25" customHeight="1" outlineLevel="2">
      <c r="A404" s="576"/>
      <c r="B404" s="5" t="s">
        <v>206</v>
      </c>
      <c r="C404" s="18" t="s">
        <v>199</v>
      </c>
      <c r="D404" s="7" t="s">
        <v>39</v>
      </c>
      <c r="E404" s="8">
        <v>0</v>
      </c>
      <c r="F404" s="9">
        <v>0</v>
      </c>
      <c r="G404" s="8">
        <v>1</v>
      </c>
      <c r="H404" s="10">
        <v>11012</v>
      </c>
      <c r="I404" s="310">
        <v>1</v>
      </c>
      <c r="J404" s="406">
        <v>1</v>
      </c>
      <c r="K404" s="319">
        <v>0</v>
      </c>
      <c r="L404" s="424">
        <v>0</v>
      </c>
      <c r="M404" s="410">
        <v>0</v>
      </c>
      <c r="N404" s="429"/>
      <c r="Q404"/>
      <c r="R404"/>
      <c r="S404"/>
    </row>
    <row r="405" spans="1:19" s="1" customFormat="1" ht="18.25" customHeight="1" outlineLevel="1">
      <c r="A405" s="576"/>
      <c r="B405" s="12" t="s">
        <v>206</v>
      </c>
      <c r="C405" s="13" t="s">
        <v>202</v>
      </c>
      <c r="D405" s="14">
        <v>2</v>
      </c>
      <c r="E405" s="15">
        <v>0</v>
      </c>
      <c r="F405" s="16">
        <v>0</v>
      </c>
      <c r="G405" s="15">
        <v>1</v>
      </c>
      <c r="H405" s="17">
        <v>11012</v>
      </c>
      <c r="I405" s="311">
        <v>1</v>
      </c>
      <c r="J405" s="312">
        <v>1</v>
      </c>
      <c r="K405" s="906">
        <v>0</v>
      </c>
      <c r="L405" s="907">
        <v>0</v>
      </c>
      <c r="M405" s="411">
        <v>0</v>
      </c>
      <c r="N405" s="430">
        <v>0</v>
      </c>
      <c r="O405" s="1" t="s">
        <v>171</v>
      </c>
      <c r="Q405"/>
      <c r="R405"/>
      <c r="S405"/>
    </row>
    <row r="406" spans="1:19" s="1" customFormat="1" ht="18.25" customHeight="1" outlineLevel="2">
      <c r="A406" s="576"/>
      <c r="B406" s="5" t="s">
        <v>206</v>
      </c>
      <c r="C406" s="18" t="s">
        <v>101</v>
      </c>
      <c r="D406" s="7" t="s">
        <v>22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6">
        <v>0</v>
      </c>
      <c r="K406" s="319">
        <v>0</v>
      </c>
      <c r="L406" s="424"/>
      <c r="M406" s="410">
        <v>0</v>
      </c>
      <c r="N406" s="429"/>
      <c r="Q406"/>
      <c r="R406"/>
      <c r="S406"/>
    </row>
    <row r="407" spans="1:19" s="1" customFormat="1" ht="18.25" customHeight="1" outlineLevel="2">
      <c r="A407" s="576"/>
      <c r="B407" s="5" t="s">
        <v>206</v>
      </c>
      <c r="C407" s="18" t="s">
        <v>338</v>
      </c>
      <c r="D407" s="7" t="s">
        <v>39</v>
      </c>
      <c r="E407" s="8">
        <v>1</v>
      </c>
      <c r="F407" s="9">
        <v>3596</v>
      </c>
      <c r="G407" s="8">
        <v>2</v>
      </c>
      <c r="H407" s="10">
        <v>14560</v>
      </c>
      <c r="I407" s="310">
        <v>1</v>
      </c>
      <c r="J407" s="406">
        <v>1</v>
      </c>
      <c r="K407" s="319">
        <v>0</v>
      </c>
      <c r="L407" s="424">
        <v>0</v>
      </c>
      <c r="M407" s="410">
        <v>0</v>
      </c>
      <c r="N407" s="429"/>
      <c r="Q407"/>
      <c r="R407"/>
      <c r="S407"/>
    </row>
    <row r="408" spans="1:19" s="1" customFormat="1" ht="18.25" customHeight="1" outlineLevel="1">
      <c r="A408" s="576"/>
      <c r="B408" s="12" t="s">
        <v>206</v>
      </c>
      <c r="C408" s="13" t="s">
        <v>101</v>
      </c>
      <c r="D408" s="14">
        <v>2</v>
      </c>
      <c r="E408" s="15">
        <v>1</v>
      </c>
      <c r="F408" s="16">
        <v>3596</v>
      </c>
      <c r="G408" s="15">
        <v>2</v>
      </c>
      <c r="H408" s="17">
        <v>14560</v>
      </c>
      <c r="I408" s="311">
        <v>1</v>
      </c>
      <c r="J408" s="312">
        <v>1</v>
      </c>
      <c r="K408" s="906">
        <v>0</v>
      </c>
      <c r="L408" s="907">
        <v>0</v>
      </c>
      <c r="M408" s="411">
        <v>0</v>
      </c>
      <c r="N408" s="430">
        <v>0</v>
      </c>
      <c r="O408" s="1" t="s">
        <v>171</v>
      </c>
      <c r="Q408"/>
      <c r="R408"/>
      <c r="S408"/>
    </row>
    <row r="409" spans="1:19" s="1" customFormat="1" ht="18.25" customHeight="1" outlineLevel="2">
      <c r="A409" s="576"/>
      <c r="B409" s="5" t="s">
        <v>206</v>
      </c>
      <c r="C409" s="18" t="s">
        <v>336</v>
      </c>
      <c r="D409" s="7" t="s">
        <v>189</v>
      </c>
      <c r="E409" s="8">
        <v>0</v>
      </c>
      <c r="F409" s="9">
        <v>0</v>
      </c>
      <c r="G409" s="8">
        <v>4</v>
      </c>
      <c r="H409" s="10">
        <v>31991</v>
      </c>
      <c r="I409" s="310">
        <v>1</v>
      </c>
      <c r="J409" s="406">
        <v>1</v>
      </c>
      <c r="K409" s="319">
        <v>1</v>
      </c>
      <c r="L409" s="424"/>
      <c r="M409" s="410">
        <v>1</v>
      </c>
      <c r="N409" s="429"/>
      <c r="Q409"/>
      <c r="R409"/>
      <c r="S409"/>
    </row>
    <row r="410" spans="1:19" s="1" customFormat="1" ht="18.25" customHeight="1" outlineLevel="2">
      <c r="A410" s="576"/>
      <c r="B410" s="5" t="s">
        <v>206</v>
      </c>
      <c r="C410" s="11" t="s">
        <v>640</v>
      </c>
      <c r="D410" s="19" t="s">
        <v>39</v>
      </c>
      <c r="E410" s="8">
        <v>0</v>
      </c>
      <c r="F410" s="9">
        <v>0</v>
      </c>
      <c r="G410" s="8">
        <v>0</v>
      </c>
      <c r="H410" s="10">
        <v>0</v>
      </c>
      <c r="I410" s="310">
        <v>0</v>
      </c>
      <c r="J410" s="406">
        <v>0</v>
      </c>
      <c r="K410" s="319">
        <v>0</v>
      </c>
      <c r="L410" s="424">
        <v>0</v>
      </c>
      <c r="M410" s="410">
        <v>0</v>
      </c>
      <c r="N410" s="429"/>
      <c r="Q410"/>
      <c r="R410"/>
      <c r="S410"/>
    </row>
    <row r="411" spans="1:19" s="1" customFormat="1" ht="18.25" customHeight="1" outlineLevel="1">
      <c r="A411" s="576"/>
      <c r="B411" s="12" t="s">
        <v>206</v>
      </c>
      <c r="C411" s="13" t="s">
        <v>336</v>
      </c>
      <c r="D411" s="14">
        <v>2</v>
      </c>
      <c r="E411" s="15">
        <v>0</v>
      </c>
      <c r="F411" s="15">
        <v>0</v>
      </c>
      <c r="G411" s="15">
        <v>4</v>
      </c>
      <c r="H411" s="21">
        <v>31991</v>
      </c>
      <c r="I411" s="311">
        <v>1</v>
      </c>
      <c r="J411" s="312">
        <v>1</v>
      </c>
      <c r="K411" s="906">
        <v>1</v>
      </c>
      <c r="L411" s="907">
        <v>0</v>
      </c>
      <c r="M411" s="411">
        <v>1</v>
      </c>
      <c r="N411" s="430">
        <v>1</v>
      </c>
      <c r="O411" s="1" t="s">
        <v>169</v>
      </c>
      <c r="Q411"/>
      <c r="R411"/>
      <c r="S411"/>
    </row>
    <row r="412" spans="1:19" s="1" customFormat="1" ht="18.25" customHeight="1" outlineLevel="2">
      <c r="A412" s="576"/>
      <c r="B412" s="5" t="s">
        <v>206</v>
      </c>
      <c r="C412" s="18" t="s">
        <v>488</v>
      </c>
      <c r="D412" s="7" t="s">
        <v>240</v>
      </c>
      <c r="E412" s="8">
        <v>0</v>
      </c>
      <c r="F412" s="9">
        <v>0</v>
      </c>
      <c r="G412" s="8">
        <v>1</v>
      </c>
      <c r="H412" s="10">
        <v>7102</v>
      </c>
      <c r="I412" s="310">
        <v>1</v>
      </c>
      <c r="J412" s="406">
        <v>0</v>
      </c>
      <c r="K412" s="319">
        <v>0</v>
      </c>
      <c r="L412" s="424"/>
      <c r="M412" s="410">
        <v>0</v>
      </c>
      <c r="N412" s="429"/>
      <c r="Q412"/>
      <c r="R412"/>
      <c r="S412"/>
    </row>
    <row r="413" spans="1:19" s="1" customFormat="1" ht="18.25" customHeight="1" outlineLevel="2">
      <c r="A413" s="576"/>
      <c r="B413" s="5" t="s">
        <v>206</v>
      </c>
      <c r="C413" s="50" t="s">
        <v>713</v>
      </c>
      <c r="D413" s="19" t="s">
        <v>39</v>
      </c>
      <c r="E413" s="8">
        <v>0</v>
      </c>
      <c r="F413" s="9">
        <v>0</v>
      </c>
      <c r="G413" s="8">
        <v>1</v>
      </c>
      <c r="H413" s="10">
        <v>12600</v>
      </c>
      <c r="I413" s="310">
        <v>1</v>
      </c>
      <c r="J413" s="406">
        <v>1</v>
      </c>
      <c r="K413" s="319">
        <v>0</v>
      </c>
      <c r="L413" s="424">
        <v>0</v>
      </c>
      <c r="M413" s="410">
        <v>0</v>
      </c>
      <c r="N413" s="429"/>
      <c r="Q413"/>
      <c r="R413"/>
      <c r="S413"/>
    </row>
    <row r="414" spans="1:19" s="1" customFormat="1" ht="18.25" customHeight="1" outlineLevel="1">
      <c r="A414" s="576"/>
      <c r="B414" s="12" t="s">
        <v>206</v>
      </c>
      <c r="C414" s="13" t="s">
        <v>488</v>
      </c>
      <c r="D414" s="14">
        <v>2</v>
      </c>
      <c r="E414" s="15">
        <v>0</v>
      </c>
      <c r="F414" s="15">
        <v>0</v>
      </c>
      <c r="G414" s="15">
        <v>2</v>
      </c>
      <c r="H414" s="21">
        <v>19702</v>
      </c>
      <c r="I414" s="311">
        <v>2</v>
      </c>
      <c r="J414" s="312">
        <v>1</v>
      </c>
      <c r="K414" s="906">
        <v>0</v>
      </c>
      <c r="L414" s="907">
        <v>0</v>
      </c>
      <c r="M414" s="411">
        <v>0</v>
      </c>
      <c r="N414" s="430">
        <v>0</v>
      </c>
      <c r="O414" s="1" t="s">
        <v>171</v>
      </c>
      <c r="Q414"/>
      <c r="R414"/>
      <c r="S414"/>
    </row>
    <row r="415" spans="1:19" s="1" customFormat="1" ht="18.25" customHeight="1" outlineLevel="2">
      <c r="A415" s="576"/>
      <c r="B415" s="5" t="s">
        <v>206</v>
      </c>
      <c r="C415" s="6" t="s">
        <v>102</v>
      </c>
      <c r="D415" s="7" t="s">
        <v>40</v>
      </c>
      <c r="E415" s="8">
        <v>0</v>
      </c>
      <c r="F415" s="9">
        <v>0</v>
      </c>
      <c r="G415" s="8">
        <v>0</v>
      </c>
      <c r="H415" s="10">
        <v>0</v>
      </c>
      <c r="I415" s="310">
        <v>0</v>
      </c>
      <c r="J415" s="406">
        <v>0</v>
      </c>
      <c r="K415" s="319">
        <v>0</v>
      </c>
      <c r="L415" s="424"/>
      <c r="M415" s="410">
        <v>0</v>
      </c>
      <c r="N415" s="429"/>
      <c r="Q415"/>
      <c r="R415"/>
      <c r="S415"/>
    </row>
    <row r="416" spans="1:19" s="1" customFormat="1" ht="18.25" customHeight="1" outlineLevel="2">
      <c r="A416" s="576"/>
      <c r="B416" s="5" t="s">
        <v>206</v>
      </c>
      <c r="C416" s="891" t="s">
        <v>924</v>
      </c>
      <c r="D416" s="40" t="s">
        <v>27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6">
        <v>0</v>
      </c>
      <c r="K416" s="319">
        <v>0</v>
      </c>
      <c r="L416" s="424">
        <v>0</v>
      </c>
      <c r="M416" s="410">
        <v>0</v>
      </c>
      <c r="N416" s="434"/>
      <c r="Q416"/>
      <c r="R416"/>
      <c r="S416"/>
    </row>
    <row r="417" spans="1:19" s="1" customFormat="1" ht="18.25" customHeight="1" outlineLevel="2">
      <c r="A417" s="576"/>
      <c r="B417" s="5" t="s">
        <v>206</v>
      </c>
      <c r="C417" s="11" t="s">
        <v>234</v>
      </c>
      <c r="D417" s="19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6">
        <v>0</v>
      </c>
      <c r="K417" s="319">
        <v>0</v>
      </c>
      <c r="L417" s="424">
        <v>0</v>
      </c>
      <c r="M417" s="410">
        <v>0</v>
      </c>
      <c r="N417" s="429"/>
      <c r="Q417"/>
      <c r="R417"/>
      <c r="S417"/>
    </row>
    <row r="418" spans="1:19" s="1" customFormat="1" ht="18.25" customHeight="1" outlineLevel="1">
      <c r="A418" s="576"/>
      <c r="B418" s="12" t="s">
        <v>206</v>
      </c>
      <c r="C418" s="13" t="s">
        <v>102</v>
      </c>
      <c r="D418" s="14">
        <v>3</v>
      </c>
      <c r="E418" s="15">
        <v>0</v>
      </c>
      <c r="F418" s="15">
        <v>0</v>
      </c>
      <c r="G418" s="15">
        <v>0</v>
      </c>
      <c r="H418" s="21">
        <v>0</v>
      </c>
      <c r="I418" s="311">
        <v>0</v>
      </c>
      <c r="J418" s="312">
        <v>0</v>
      </c>
      <c r="K418" s="906">
        <v>0</v>
      </c>
      <c r="L418" s="907">
        <v>0</v>
      </c>
      <c r="M418" s="411">
        <v>0</v>
      </c>
      <c r="N418" s="430">
        <v>0</v>
      </c>
      <c r="O418" s="1" t="s">
        <v>51</v>
      </c>
      <c r="Q418"/>
      <c r="R418"/>
      <c r="S418"/>
    </row>
    <row r="419" spans="1:19" s="1" customFormat="1" ht="18.25" customHeight="1" outlineLevel="2">
      <c r="A419" s="576"/>
      <c r="B419" s="5" t="s">
        <v>206</v>
      </c>
      <c r="C419" s="11" t="s">
        <v>353</v>
      </c>
      <c r="D419" s="19" t="s">
        <v>25</v>
      </c>
      <c r="E419" s="8">
        <v>0</v>
      </c>
      <c r="F419" s="9">
        <v>0</v>
      </c>
      <c r="G419" s="8">
        <v>0</v>
      </c>
      <c r="H419" s="10">
        <v>0</v>
      </c>
      <c r="I419" s="310">
        <v>0</v>
      </c>
      <c r="J419" s="406">
        <v>0</v>
      </c>
      <c r="K419" s="319">
        <v>0</v>
      </c>
      <c r="L419" s="424"/>
      <c r="M419" s="410">
        <v>0</v>
      </c>
      <c r="N419" s="429"/>
      <c r="Q419"/>
      <c r="R419"/>
      <c r="S419"/>
    </row>
    <row r="420" spans="1:19" s="1" customFormat="1" ht="18.25" customHeight="1" outlineLevel="2">
      <c r="A420" s="576"/>
      <c r="B420" s="5" t="s">
        <v>206</v>
      </c>
      <c r="C420" s="50" t="s">
        <v>262</v>
      </c>
      <c r="D420" s="19" t="s">
        <v>39</v>
      </c>
      <c r="E420" s="8">
        <v>0</v>
      </c>
      <c r="F420" s="9">
        <v>0</v>
      </c>
      <c r="G420" s="8">
        <v>0</v>
      </c>
      <c r="H420" s="10">
        <v>0</v>
      </c>
      <c r="I420" s="310">
        <v>0</v>
      </c>
      <c r="J420" s="406">
        <v>0</v>
      </c>
      <c r="K420" s="319">
        <v>0</v>
      </c>
      <c r="L420" s="424">
        <v>0</v>
      </c>
      <c r="M420" s="410">
        <v>0</v>
      </c>
      <c r="N420" s="429"/>
      <c r="Q420"/>
      <c r="R420"/>
      <c r="S420"/>
    </row>
    <row r="421" spans="1:19" s="1" customFormat="1" ht="18.25" customHeight="1" outlineLevel="1">
      <c r="A421" s="576"/>
      <c r="B421" s="12" t="s">
        <v>206</v>
      </c>
      <c r="C421" s="13" t="s">
        <v>465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311">
        <v>0</v>
      </c>
      <c r="J421" s="312">
        <v>0</v>
      </c>
      <c r="K421" s="906">
        <v>0</v>
      </c>
      <c r="L421" s="907">
        <v>0</v>
      </c>
      <c r="M421" s="411">
        <v>0</v>
      </c>
      <c r="N421" s="430">
        <v>0</v>
      </c>
      <c r="O421" s="1" t="s">
        <v>169</v>
      </c>
      <c r="Q421"/>
      <c r="R421"/>
      <c r="S421"/>
    </row>
    <row r="422" spans="1:19" s="1" customFormat="1" ht="18.25" customHeight="1" outlineLevel="2">
      <c r="A422" s="576"/>
      <c r="B422" s="5" t="s">
        <v>206</v>
      </c>
      <c r="C422" s="18" t="s">
        <v>103</v>
      </c>
      <c r="D422" s="7" t="s">
        <v>40</v>
      </c>
      <c r="E422" s="8">
        <v>0</v>
      </c>
      <c r="F422" s="9">
        <v>0</v>
      </c>
      <c r="G422" s="8">
        <v>2</v>
      </c>
      <c r="H422" s="10">
        <v>43066</v>
      </c>
      <c r="I422" s="310">
        <v>1</v>
      </c>
      <c r="J422" s="406">
        <v>1</v>
      </c>
      <c r="K422" s="319">
        <v>1</v>
      </c>
      <c r="L422" s="424"/>
      <c r="M422" s="410">
        <v>1</v>
      </c>
      <c r="N422" s="429"/>
      <c r="Q422"/>
      <c r="R422"/>
      <c r="S422"/>
    </row>
    <row r="423" spans="1:19" s="1" customFormat="1" ht="18.25" customHeight="1" outlineLevel="2">
      <c r="A423" s="576"/>
      <c r="B423" s="5" t="s">
        <v>206</v>
      </c>
      <c r="C423" s="18" t="s">
        <v>783</v>
      </c>
      <c r="D423" s="7" t="s">
        <v>188</v>
      </c>
      <c r="E423" s="8">
        <v>0</v>
      </c>
      <c r="F423" s="9">
        <v>0</v>
      </c>
      <c r="G423" s="8">
        <v>1</v>
      </c>
      <c r="H423" s="10">
        <v>13474</v>
      </c>
      <c r="I423" s="310">
        <v>1</v>
      </c>
      <c r="J423" s="406">
        <v>1</v>
      </c>
      <c r="K423" s="319">
        <v>0</v>
      </c>
      <c r="L423" s="424">
        <v>0</v>
      </c>
      <c r="M423" s="410">
        <v>0</v>
      </c>
      <c r="N423" s="429"/>
      <c r="Q423"/>
      <c r="R423"/>
      <c r="S423"/>
    </row>
    <row r="424" spans="1:19" s="1" customFormat="1" ht="18.25" customHeight="1" outlineLevel="1">
      <c r="A424" s="576"/>
      <c r="B424" s="12" t="s">
        <v>206</v>
      </c>
      <c r="C424" s="13" t="s">
        <v>104</v>
      </c>
      <c r="D424" s="14">
        <v>2</v>
      </c>
      <c r="E424" s="15">
        <v>0</v>
      </c>
      <c r="F424" s="16">
        <v>0</v>
      </c>
      <c r="G424" s="15">
        <v>3</v>
      </c>
      <c r="H424" s="17">
        <v>56540</v>
      </c>
      <c r="I424" s="311">
        <v>2</v>
      </c>
      <c r="J424" s="312">
        <v>2</v>
      </c>
      <c r="K424" s="906">
        <v>1</v>
      </c>
      <c r="L424" s="907">
        <v>0</v>
      </c>
      <c r="M424" s="411">
        <v>1</v>
      </c>
      <c r="N424" s="430">
        <v>0</v>
      </c>
      <c r="O424" s="1" t="s">
        <v>51</v>
      </c>
      <c r="Q424"/>
      <c r="R424"/>
      <c r="S424"/>
    </row>
    <row r="425" spans="1:19" s="1" customFormat="1" ht="18.25" customHeight="1" outlineLevel="2">
      <c r="A425" s="576"/>
      <c r="B425" s="5" t="s">
        <v>206</v>
      </c>
      <c r="C425" s="6" t="s">
        <v>105</v>
      </c>
      <c r="D425" s="7" t="s">
        <v>22</v>
      </c>
      <c r="E425" s="8">
        <v>0</v>
      </c>
      <c r="F425" s="9">
        <v>0</v>
      </c>
      <c r="G425" s="8">
        <v>0</v>
      </c>
      <c r="H425" s="10">
        <v>0</v>
      </c>
      <c r="I425" s="310">
        <v>0</v>
      </c>
      <c r="J425" s="406">
        <v>0</v>
      </c>
      <c r="K425" s="319">
        <v>0</v>
      </c>
      <c r="L425" s="424"/>
      <c r="M425" s="410">
        <v>0</v>
      </c>
      <c r="N425" s="429"/>
      <c r="Q425"/>
      <c r="R425"/>
      <c r="S425"/>
    </row>
    <row r="426" spans="1:19" s="1" customFormat="1" ht="18.25" customHeight="1" outlineLevel="2">
      <c r="A426" s="576"/>
      <c r="B426" s="5" t="s">
        <v>206</v>
      </c>
      <c r="C426" s="6" t="s">
        <v>471</v>
      </c>
      <c r="D426" s="7" t="s">
        <v>39</v>
      </c>
      <c r="E426" s="8">
        <v>0</v>
      </c>
      <c r="F426" s="9">
        <v>0</v>
      </c>
      <c r="G426" s="8">
        <v>1</v>
      </c>
      <c r="H426" s="10">
        <v>8796</v>
      </c>
      <c r="I426" s="310">
        <v>1</v>
      </c>
      <c r="J426" s="406">
        <v>0</v>
      </c>
      <c r="K426" s="319">
        <v>0</v>
      </c>
      <c r="L426" s="424">
        <v>0</v>
      </c>
      <c r="M426" s="410">
        <v>0</v>
      </c>
      <c r="N426" s="429"/>
      <c r="Q426"/>
      <c r="R426"/>
      <c r="S426"/>
    </row>
    <row r="427" spans="1:19" s="1" customFormat="1" ht="18.25" customHeight="1" outlineLevel="2">
      <c r="A427" s="576"/>
      <c r="B427" s="5" t="s">
        <v>206</v>
      </c>
      <c r="C427" s="6" t="s">
        <v>348</v>
      </c>
      <c r="D427" s="7" t="s">
        <v>39</v>
      </c>
      <c r="E427" s="8">
        <v>0</v>
      </c>
      <c r="F427" s="9">
        <v>0</v>
      </c>
      <c r="G427" s="8">
        <v>9</v>
      </c>
      <c r="H427" s="10">
        <v>90595</v>
      </c>
      <c r="I427" s="310">
        <v>1</v>
      </c>
      <c r="J427" s="406">
        <v>1</v>
      </c>
      <c r="K427" s="319">
        <v>1</v>
      </c>
      <c r="L427" s="424">
        <v>0</v>
      </c>
      <c r="M427" s="410">
        <v>1</v>
      </c>
      <c r="N427" s="429"/>
      <c r="Q427"/>
      <c r="R427"/>
      <c r="S427"/>
    </row>
    <row r="428" spans="1:19" s="1" customFormat="1" ht="18.25" customHeight="1" outlineLevel="1">
      <c r="A428" s="576"/>
      <c r="B428" s="12" t="s">
        <v>206</v>
      </c>
      <c r="C428" s="13" t="s">
        <v>107</v>
      </c>
      <c r="D428" s="14">
        <v>3</v>
      </c>
      <c r="E428" s="15">
        <v>0</v>
      </c>
      <c r="F428" s="16">
        <v>0</v>
      </c>
      <c r="G428" s="15">
        <v>10</v>
      </c>
      <c r="H428" s="17">
        <v>99391</v>
      </c>
      <c r="I428" s="311">
        <v>2</v>
      </c>
      <c r="J428" s="312">
        <v>1</v>
      </c>
      <c r="K428" s="906">
        <v>1</v>
      </c>
      <c r="L428" s="907">
        <v>0</v>
      </c>
      <c r="M428" s="411">
        <v>1</v>
      </c>
      <c r="N428" s="430">
        <v>0</v>
      </c>
      <c r="O428" s="1" t="s">
        <v>171</v>
      </c>
      <c r="Q428"/>
      <c r="R428"/>
      <c r="S428"/>
    </row>
    <row r="429" spans="1:19" s="1" customFormat="1" ht="18.25" customHeight="1" outlineLevel="2">
      <c r="A429" s="576"/>
      <c r="B429" s="5" t="s">
        <v>206</v>
      </c>
      <c r="C429" s="6" t="s">
        <v>106</v>
      </c>
      <c r="D429" s="7" t="s">
        <v>20</v>
      </c>
      <c r="E429" s="8">
        <v>0</v>
      </c>
      <c r="F429" s="9">
        <v>0</v>
      </c>
      <c r="G429" s="8">
        <v>4</v>
      </c>
      <c r="H429" s="10">
        <v>36541</v>
      </c>
      <c r="I429" s="310">
        <v>1</v>
      </c>
      <c r="J429" s="406">
        <v>1</v>
      </c>
      <c r="K429" s="319">
        <v>1</v>
      </c>
      <c r="L429" s="424"/>
      <c r="M429" s="410">
        <v>1</v>
      </c>
      <c r="N429" s="429"/>
      <c r="Q429"/>
      <c r="R429"/>
      <c r="S429"/>
    </row>
    <row r="430" spans="1:19" s="1" customFormat="1" ht="18.25" customHeight="1" outlineLevel="2">
      <c r="A430" s="576"/>
      <c r="B430" s="5" t="s">
        <v>206</v>
      </c>
      <c r="C430" s="6" t="s">
        <v>358</v>
      </c>
      <c r="D430" s="7" t="s">
        <v>39</v>
      </c>
      <c r="E430" s="8">
        <v>1</v>
      </c>
      <c r="F430" s="9">
        <v>4160</v>
      </c>
      <c r="G430" s="8">
        <v>1</v>
      </c>
      <c r="H430" s="10">
        <v>4160</v>
      </c>
      <c r="I430" s="310">
        <v>1</v>
      </c>
      <c r="J430" s="406">
        <v>0</v>
      </c>
      <c r="K430" s="319">
        <v>0</v>
      </c>
      <c r="L430" s="424">
        <v>0</v>
      </c>
      <c r="M430" s="410">
        <v>0</v>
      </c>
      <c r="N430" s="429"/>
      <c r="Q430"/>
      <c r="R430"/>
      <c r="S430"/>
    </row>
    <row r="431" spans="1:19" s="1" customFormat="1" ht="18.25" customHeight="1" outlineLevel="1">
      <c r="A431" s="576"/>
      <c r="B431" s="12" t="s">
        <v>206</v>
      </c>
      <c r="C431" s="13" t="s">
        <v>106</v>
      </c>
      <c r="D431" s="14">
        <v>2</v>
      </c>
      <c r="E431" s="15">
        <v>1</v>
      </c>
      <c r="F431" s="16">
        <v>4160</v>
      </c>
      <c r="G431" s="15">
        <v>5</v>
      </c>
      <c r="H431" s="17">
        <v>40701</v>
      </c>
      <c r="I431" s="311">
        <v>2</v>
      </c>
      <c r="J431" s="312">
        <v>1</v>
      </c>
      <c r="K431" s="906">
        <v>1</v>
      </c>
      <c r="L431" s="907">
        <v>0</v>
      </c>
      <c r="M431" s="411">
        <v>1</v>
      </c>
      <c r="N431" s="430">
        <v>1</v>
      </c>
      <c r="O431" s="1" t="s">
        <v>169</v>
      </c>
      <c r="Q431"/>
      <c r="R431"/>
      <c r="S431"/>
    </row>
    <row r="432" spans="1:19" s="1" customFormat="1" ht="18.25" customHeight="1" outlineLevel="2">
      <c r="A432" s="576"/>
      <c r="B432" s="5" t="s">
        <v>206</v>
      </c>
      <c r="C432" s="6" t="s">
        <v>511</v>
      </c>
      <c r="D432" s="7" t="s">
        <v>221</v>
      </c>
      <c r="E432" s="8">
        <v>0</v>
      </c>
      <c r="F432" s="9">
        <v>0</v>
      </c>
      <c r="G432" s="8">
        <v>8</v>
      </c>
      <c r="H432" s="10">
        <v>51992</v>
      </c>
      <c r="I432" s="310">
        <v>1</v>
      </c>
      <c r="J432" s="406">
        <v>1</v>
      </c>
      <c r="K432" s="319">
        <v>1</v>
      </c>
      <c r="L432" s="424"/>
      <c r="M432" s="410">
        <v>1</v>
      </c>
      <c r="N432" s="429"/>
      <c r="Q432"/>
      <c r="R432"/>
      <c r="S432"/>
    </row>
    <row r="433" spans="1:19" s="1" customFormat="1" ht="18.25" customHeight="1" outlineLevel="2">
      <c r="A433" s="576"/>
      <c r="B433" s="5" t="s">
        <v>206</v>
      </c>
      <c r="C433" s="6" t="s">
        <v>927</v>
      </c>
      <c r="D433" s="7" t="s">
        <v>39</v>
      </c>
      <c r="E433" s="8">
        <v>0</v>
      </c>
      <c r="F433" s="9">
        <v>0</v>
      </c>
      <c r="G433" s="8">
        <v>2</v>
      </c>
      <c r="H433" s="10">
        <v>5458</v>
      </c>
      <c r="I433" s="310">
        <v>1</v>
      </c>
      <c r="J433" s="406">
        <v>0</v>
      </c>
      <c r="K433" s="319">
        <v>0</v>
      </c>
      <c r="L433" s="424">
        <v>1</v>
      </c>
      <c r="M433" s="410">
        <v>0</v>
      </c>
      <c r="N433" s="429"/>
      <c r="Q433"/>
      <c r="R433"/>
      <c r="S433"/>
    </row>
    <row r="434" spans="1:19" s="1" customFormat="1" ht="18.25" customHeight="1" outlineLevel="1">
      <c r="A434" s="576"/>
      <c r="B434" s="12" t="s">
        <v>206</v>
      </c>
      <c r="C434" s="13" t="s">
        <v>90</v>
      </c>
      <c r="D434" s="14">
        <v>2</v>
      </c>
      <c r="E434" s="15">
        <v>0</v>
      </c>
      <c r="F434" s="16">
        <v>0</v>
      </c>
      <c r="G434" s="15">
        <v>10</v>
      </c>
      <c r="H434" s="17">
        <v>57450</v>
      </c>
      <c r="I434" s="311">
        <v>2</v>
      </c>
      <c r="J434" s="312">
        <v>1</v>
      </c>
      <c r="K434" s="906">
        <v>1</v>
      </c>
      <c r="L434" s="907">
        <v>1</v>
      </c>
      <c r="M434" s="411">
        <v>1</v>
      </c>
      <c r="N434" s="430">
        <v>0</v>
      </c>
      <c r="O434" s="1" t="s">
        <v>51</v>
      </c>
      <c r="Q434"/>
      <c r="R434"/>
      <c r="S434"/>
    </row>
    <row r="435" spans="1:19" s="1" customFormat="1" ht="18.25" customHeight="1" outlineLevel="2">
      <c r="A435" s="576"/>
      <c r="B435" s="5" t="s">
        <v>206</v>
      </c>
      <c r="C435" s="6" t="s">
        <v>493</v>
      </c>
      <c r="D435" s="7" t="s">
        <v>169</v>
      </c>
      <c r="E435" s="8">
        <v>0</v>
      </c>
      <c r="F435" s="9">
        <v>0</v>
      </c>
      <c r="G435" s="8">
        <v>7</v>
      </c>
      <c r="H435" s="10">
        <v>34462</v>
      </c>
      <c r="I435" s="310">
        <v>1</v>
      </c>
      <c r="J435" s="406">
        <v>1</v>
      </c>
      <c r="K435" s="319">
        <v>1</v>
      </c>
      <c r="L435" s="424"/>
      <c r="M435" s="410">
        <v>1</v>
      </c>
      <c r="N435" s="429"/>
      <c r="Q435"/>
      <c r="R435"/>
      <c r="S435"/>
    </row>
    <row r="436" spans="1:19" s="1" customFormat="1" ht="18.25" customHeight="1" outlineLevel="2">
      <c r="A436" s="576"/>
      <c r="B436" s="5" t="s">
        <v>206</v>
      </c>
      <c r="C436" s="6" t="s">
        <v>897</v>
      </c>
      <c r="D436" s="7" t="s">
        <v>39</v>
      </c>
      <c r="E436" s="8">
        <v>0</v>
      </c>
      <c r="F436" s="9">
        <v>0</v>
      </c>
      <c r="G436" s="8">
        <v>0</v>
      </c>
      <c r="H436" s="10">
        <v>0</v>
      </c>
      <c r="I436" s="310">
        <v>0</v>
      </c>
      <c r="J436" s="406">
        <v>0</v>
      </c>
      <c r="K436" s="319">
        <v>0</v>
      </c>
      <c r="L436" s="424">
        <v>1</v>
      </c>
      <c r="M436" s="410">
        <v>0</v>
      </c>
      <c r="N436" s="429"/>
      <c r="Q436"/>
      <c r="R436"/>
      <c r="S436"/>
    </row>
    <row r="437" spans="1:19" s="1" customFormat="1" ht="18.25" customHeight="1" outlineLevel="2">
      <c r="A437" s="576"/>
      <c r="B437" s="5" t="s">
        <v>206</v>
      </c>
      <c r="C437" s="6" t="s">
        <v>825</v>
      </c>
      <c r="D437" s="7" t="s">
        <v>39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6">
        <v>0</v>
      </c>
      <c r="K437" s="319">
        <v>0</v>
      </c>
      <c r="L437" s="424">
        <v>1</v>
      </c>
      <c r="M437" s="410">
        <v>0</v>
      </c>
      <c r="N437" s="429"/>
      <c r="Q437"/>
      <c r="R437"/>
      <c r="S437"/>
    </row>
    <row r="438" spans="1:19" s="1" customFormat="1" ht="18.25" customHeight="1" outlineLevel="1">
      <c r="A438" s="576"/>
      <c r="B438" s="12" t="s">
        <v>206</v>
      </c>
      <c r="C438" s="13" t="s">
        <v>493</v>
      </c>
      <c r="D438" s="14">
        <v>3</v>
      </c>
      <c r="E438" s="15">
        <v>0</v>
      </c>
      <c r="F438" s="16">
        <v>0</v>
      </c>
      <c r="G438" s="15">
        <v>7</v>
      </c>
      <c r="H438" s="17">
        <v>34462</v>
      </c>
      <c r="I438" s="311">
        <v>1</v>
      </c>
      <c r="J438" s="312">
        <v>1</v>
      </c>
      <c r="K438" s="906">
        <v>1</v>
      </c>
      <c r="L438" s="907">
        <v>2</v>
      </c>
      <c r="M438" s="411">
        <v>1</v>
      </c>
      <c r="N438" s="430">
        <v>1</v>
      </c>
      <c r="O438" s="1" t="s">
        <v>169</v>
      </c>
      <c r="Q438"/>
      <c r="R438"/>
      <c r="S438"/>
    </row>
    <row r="439" spans="1:19" s="1" customFormat="1" ht="18.25" customHeight="1" outlineLevel="2">
      <c r="A439" s="576"/>
      <c r="B439" s="5" t="s">
        <v>206</v>
      </c>
      <c r="C439" s="6" t="s">
        <v>564</v>
      </c>
      <c r="D439" s="7" t="s">
        <v>169</v>
      </c>
      <c r="E439" s="8">
        <v>0</v>
      </c>
      <c r="F439" s="9">
        <v>0</v>
      </c>
      <c r="G439" s="8">
        <v>1</v>
      </c>
      <c r="H439" s="10">
        <v>14014</v>
      </c>
      <c r="I439" s="310">
        <v>1</v>
      </c>
      <c r="J439" s="406">
        <v>0</v>
      </c>
      <c r="K439" s="319">
        <v>0</v>
      </c>
      <c r="L439" s="424"/>
      <c r="M439" s="410">
        <v>0</v>
      </c>
      <c r="N439" s="429"/>
      <c r="Q439"/>
      <c r="R439"/>
      <c r="S439"/>
    </row>
    <row r="440" spans="1:19" s="1" customFormat="1" ht="18.25" customHeight="1" outlineLevel="2">
      <c r="A440" s="576"/>
      <c r="B440" s="5" t="s">
        <v>206</v>
      </c>
      <c r="C440" s="6" t="s">
        <v>743</v>
      </c>
      <c r="D440" s="7" t="s">
        <v>39</v>
      </c>
      <c r="E440" s="8">
        <v>0</v>
      </c>
      <c r="F440" s="9">
        <v>0</v>
      </c>
      <c r="G440" s="8">
        <v>1</v>
      </c>
      <c r="H440" s="10">
        <v>16500</v>
      </c>
      <c r="I440" s="310">
        <v>1</v>
      </c>
      <c r="J440" s="406">
        <v>1</v>
      </c>
      <c r="K440" s="319">
        <v>0</v>
      </c>
      <c r="L440" s="424">
        <v>0</v>
      </c>
      <c r="M440" s="410">
        <v>0</v>
      </c>
      <c r="N440" s="429"/>
      <c r="Q440"/>
      <c r="R440"/>
      <c r="S440"/>
    </row>
    <row r="441" spans="1:19" s="1" customFormat="1" ht="18.25" customHeight="1" outlineLevel="1">
      <c r="A441" s="576"/>
      <c r="B441" s="12" t="s">
        <v>206</v>
      </c>
      <c r="C441" s="13" t="s">
        <v>493</v>
      </c>
      <c r="D441" s="14">
        <v>2</v>
      </c>
      <c r="E441" s="15">
        <v>0</v>
      </c>
      <c r="F441" s="16">
        <v>0</v>
      </c>
      <c r="G441" s="15">
        <v>2</v>
      </c>
      <c r="H441" s="17">
        <v>30514</v>
      </c>
      <c r="I441" s="311">
        <v>2</v>
      </c>
      <c r="J441" s="312">
        <v>1</v>
      </c>
      <c r="K441" s="906">
        <v>0</v>
      </c>
      <c r="L441" s="907">
        <v>0</v>
      </c>
      <c r="M441" s="411">
        <v>0</v>
      </c>
      <c r="N441" s="430">
        <v>0</v>
      </c>
      <c r="O441" s="1" t="s">
        <v>169</v>
      </c>
      <c r="Q441"/>
      <c r="R441"/>
      <c r="S441"/>
    </row>
    <row r="442" spans="1:19" s="1" customFormat="1" ht="18.25" customHeight="1" outlineLevel="2">
      <c r="A442" s="576"/>
      <c r="B442" s="5" t="s">
        <v>206</v>
      </c>
      <c r="C442" s="39" t="s">
        <v>726</v>
      </c>
      <c r="D442" s="23" t="s">
        <v>169</v>
      </c>
      <c r="E442" s="8">
        <v>0</v>
      </c>
      <c r="F442" s="9">
        <v>0</v>
      </c>
      <c r="G442" s="8">
        <v>2</v>
      </c>
      <c r="H442" s="10">
        <v>20628</v>
      </c>
      <c r="I442" s="310">
        <v>1</v>
      </c>
      <c r="J442" s="406">
        <v>1</v>
      </c>
      <c r="K442" s="319">
        <v>0</v>
      </c>
      <c r="L442" s="424"/>
      <c r="M442" s="410">
        <v>0</v>
      </c>
      <c r="N442" s="429"/>
      <c r="Q442"/>
      <c r="R442"/>
      <c r="S442"/>
    </row>
    <row r="443" spans="1:19" s="1" customFormat="1" ht="18.25" customHeight="1" outlineLevel="2">
      <c r="A443" s="576"/>
      <c r="B443" s="5" t="s">
        <v>206</v>
      </c>
      <c r="C443" s="39" t="s">
        <v>384</v>
      </c>
      <c r="D443" s="23" t="s">
        <v>39</v>
      </c>
      <c r="E443" s="42">
        <v>0</v>
      </c>
      <c r="F443" s="43">
        <v>0</v>
      </c>
      <c r="G443" s="42">
        <v>1</v>
      </c>
      <c r="H443" s="44">
        <v>10515</v>
      </c>
      <c r="I443" s="310">
        <v>1</v>
      </c>
      <c r="J443" s="406">
        <v>1</v>
      </c>
      <c r="K443" s="319">
        <v>0</v>
      </c>
      <c r="L443" s="424">
        <v>0</v>
      </c>
      <c r="M443" s="410">
        <v>0</v>
      </c>
      <c r="N443" s="429"/>
      <c r="Q443"/>
      <c r="R443"/>
      <c r="S443"/>
    </row>
    <row r="444" spans="1:19" ht="18.25" customHeight="1" outlineLevel="1">
      <c r="B444" s="12" t="s">
        <v>206</v>
      </c>
      <c r="C444" s="13" t="s">
        <v>281</v>
      </c>
      <c r="D444" s="14">
        <v>2</v>
      </c>
      <c r="E444" s="15">
        <v>0</v>
      </c>
      <c r="F444" s="16">
        <v>0</v>
      </c>
      <c r="G444" s="15">
        <v>3</v>
      </c>
      <c r="H444" s="17">
        <v>31143</v>
      </c>
      <c r="I444" s="311">
        <v>2</v>
      </c>
      <c r="J444" s="312">
        <v>2</v>
      </c>
      <c r="K444" s="906">
        <v>0</v>
      </c>
      <c r="L444" s="907">
        <v>0</v>
      </c>
      <c r="M444" s="411">
        <v>0</v>
      </c>
      <c r="N444" s="430">
        <v>0</v>
      </c>
      <c r="O444" s="1" t="s">
        <v>169</v>
      </c>
    </row>
    <row r="445" spans="1:19" s="149" customFormat="1" ht="18.25" customHeight="1">
      <c r="A445" s="575" t="s">
        <v>207</v>
      </c>
      <c r="B445" s="967" t="s">
        <v>207</v>
      </c>
      <c r="C445" s="968"/>
      <c r="D445" s="145">
        <v>43</v>
      </c>
      <c r="E445" s="150">
        <v>3</v>
      </c>
      <c r="F445" s="151">
        <v>20103</v>
      </c>
      <c r="G445" s="146">
        <v>76</v>
      </c>
      <c r="H445" s="152">
        <v>824304</v>
      </c>
      <c r="I445" s="314">
        <v>26</v>
      </c>
      <c r="J445" s="315">
        <v>20</v>
      </c>
      <c r="K445" s="908">
        <v>10</v>
      </c>
      <c r="L445" s="909">
        <v>5</v>
      </c>
      <c r="M445" s="412">
        <v>10</v>
      </c>
      <c r="N445" s="431">
        <v>4</v>
      </c>
      <c r="O445" s="248"/>
      <c r="P445" s="248"/>
    </row>
    <row r="446" spans="1:19" ht="18.25" customHeight="1" outlineLevel="2">
      <c r="B446" s="5" t="s">
        <v>216</v>
      </c>
      <c r="C446" s="6" t="s">
        <v>69</v>
      </c>
      <c r="D446" s="7" t="s">
        <v>54</v>
      </c>
      <c r="E446" s="8">
        <v>0</v>
      </c>
      <c r="F446" s="9">
        <v>0</v>
      </c>
      <c r="G446" s="8">
        <v>0</v>
      </c>
      <c r="H446" s="10">
        <v>0</v>
      </c>
      <c r="I446" s="310">
        <v>0</v>
      </c>
      <c r="J446" s="406">
        <v>0</v>
      </c>
      <c r="K446" s="319">
        <v>0</v>
      </c>
      <c r="L446" s="424"/>
      <c r="M446" s="410">
        <v>0</v>
      </c>
      <c r="N446" s="429"/>
    </row>
    <row r="447" spans="1:19" ht="18.25" customHeight="1" outlineLevel="1">
      <c r="B447" s="12" t="s">
        <v>218</v>
      </c>
      <c r="C447" s="13" t="s">
        <v>70</v>
      </c>
      <c r="D447" s="14">
        <v>1</v>
      </c>
      <c r="E447" s="15">
        <v>0</v>
      </c>
      <c r="F447" s="16">
        <v>0</v>
      </c>
      <c r="G447" s="15">
        <v>0</v>
      </c>
      <c r="H447" s="17">
        <v>0</v>
      </c>
      <c r="I447" s="311">
        <v>0</v>
      </c>
      <c r="J447" s="312">
        <v>0</v>
      </c>
      <c r="K447" s="906">
        <v>0</v>
      </c>
      <c r="L447" s="907">
        <v>0</v>
      </c>
      <c r="M447" s="411">
        <v>0</v>
      </c>
      <c r="N447" s="430">
        <v>0</v>
      </c>
      <c r="O447" s="1" t="s">
        <v>167</v>
      </c>
    </row>
    <row r="448" spans="1:19" ht="18.25" customHeight="1" outlineLevel="2">
      <c r="B448" s="52" t="s">
        <v>218</v>
      </c>
      <c r="C448" s="54" t="s">
        <v>413</v>
      </c>
      <c r="D448" s="7" t="s">
        <v>51</v>
      </c>
      <c r="E448" s="58">
        <v>0</v>
      </c>
      <c r="F448" s="59">
        <v>0</v>
      </c>
      <c r="G448" s="58">
        <v>0</v>
      </c>
      <c r="H448" s="76">
        <v>0</v>
      </c>
      <c r="I448" s="320">
        <v>0</v>
      </c>
      <c r="J448" s="406">
        <v>0</v>
      </c>
      <c r="K448" s="319">
        <v>0</v>
      </c>
      <c r="L448" s="424"/>
      <c r="M448" s="410">
        <v>0</v>
      </c>
      <c r="N448" s="429"/>
    </row>
    <row r="449" spans="1:19" ht="18.25" customHeight="1" outlineLevel="2">
      <c r="B449" s="52" t="s">
        <v>218</v>
      </c>
      <c r="C449" s="54" t="s">
        <v>415</v>
      </c>
      <c r="D449" s="7" t="s">
        <v>181</v>
      </c>
      <c r="E449" s="58">
        <v>0</v>
      </c>
      <c r="F449" s="59">
        <v>0</v>
      </c>
      <c r="G449" s="58">
        <v>0</v>
      </c>
      <c r="H449" s="76">
        <v>41350</v>
      </c>
      <c r="I449" s="320">
        <v>0</v>
      </c>
      <c r="J449" s="406">
        <v>1</v>
      </c>
      <c r="K449" s="319">
        <v>1</v>
      </c>
      <c r="L449" s="424">
        <v>0</v>
      </c>
      <c r="M449" s="410">
        <v>1</v>
      </c>
      <c r="N449" s="429"/>
    </row>
    <row r="450" spans="1:19" ht="18.25" customHeight="1" outlineLevel="2">
      <c r="B450" s="52" t="s">
        <v>218</v>
      </c>
      <c r="C450" s="54" t="s">
        <v>641</v>
      </c>
      <c r="D450" s="7" t="s">
        <v>181</v>
      </c>
      <c r="E450" s="58">
        <v>0</v>
      </c>
      <c r="F450" s="59">
        <v>0</v>
      </c>
      <c r="G450" s="58">
        <v>1</v>
      </c>
      <c r="H450" s="76">
        <v>28800</v>
      </c>
      <c r="I450" s="320">
        <v>1</v>
      </c>
      <c r="J450" s="406">
        <v>1</v>
      </c>
      <c r="K450" s="319">
        <v>1</v>
      </c>
      <c r="L450" s="424">
        <v>0</v>
      </c>
      <c r="M450" s="410">
        <v>1</v>
      </c>
      <c r="N450" s="429"/>
    </row>
    <row r="451" spans="1:19" ht="18.25" customHeight="1" outlineLevel="1">
      <c r="B451" s="67" t="s">
        <v>218</v>
      </c>
      <c r="C451" s="68" t="s">
        <v>413</v>
      </c>
      <c r="D451" s="26">
        <v>3</v>
      </c>
      <c r="E451" s="69">
        <v>0</v>
      </c>
      <c r="F451" s="70">
        <v>0</v>
      </c>
      <c r="G451" s="69">
        <v>1</v>
      </c>
      <c r="H451" s="77">
        <v>70150</v>
      </c>
      <c r="I451" s="321">
        <v>1</v>
      </c>
      <c r="J451" s="322">
        <v>2</v>
      </c>
      <c r="K451" s="508">
        <v>2</v>
      </c>
      <c r="L451" s="509">
        <v>0</v>
      </c>
      <c r="M451" s="323">
        <v>2</v>
      </c>
      <c r="N451" s="437">
        <v>0</v>
      </c>
      <c r="O451" s="1" t="s">
        <v>51</v>
      </c>
    </row>
    <row r="452" spans="1:19" ht="18.25" customHeight="1" outlineLevel="2">
      <c r="B452" s="52" t="s">
        <v>218</v>
      </c>
      <c r="C452" s="54" t="s">
        <v>414</v>
      </c>
      <c r="D452" s="533" t="s">
        <v>723</v>
      </c>
      <c r="E452" s="58">
        <v>0</v>
      </c>
      <c r="F452" s="59">
        <v>0</v>
      </c>
      <c r="G452" s="58">
        <v>0</v>
      </c>
      <c r="H452" s="76">
        <v>0</v>
      </c>
      <c r="I452" s="333"/>
      <c r="J452" s="408"/>
      <c r="K452" s="319"/>
      <c r="L452" s="424"/>
      <c r="M452" s="415"/>
      <c r="N452" s="438"/>
    </row>
    <row r="453" spans="1:19" ht="18.25" customHeight="1" outlineLevel="1">
      <c r="B453" s="67" t="s">
        <v>218</v>
      </c>
      <c r="C453" s="68" t="s">
        <v>414</v>
      </c>
      <c r="D453" s="532"/>
      <c r="E453" s="69">
        <v>0</v>
      </c>
      <c r="F453" s="70">
        <v>0</v>
      </c>
      <c r="G453" s="69">
        <v>0</v>
      </c>
      <c r="H453" s="77">
        <v>0</v>
      </c>
      <c r="I453" s="333"/>
      <c r="J453" s="507"/>
      <c r="K453" s="508"/>
      <c r="L453" s="509"/>
      <c r="M453" s="510"/>
      <c r="N453" s="511"/>
    </row>
    <row r="454" spans="1:19" ht="18.25" customHeight="1" outlineLevel="2">
      <c r="B454" s="53" t="s">
        <v>218</v>
      </c>
      <c r="C454" s="54" t="s">
        <v>416</v>
      </c>
      <c r="D454" s="7" t="s">
        <v>221</v>
      </c>
      <c r="E454" s="58">
        <v>0.5</v>
      </c>
      <c r="F454" s="59">
        <v>4966</v>
      </c>
      <c r="G454" s="58">
        <v>7.5</v>
      </c>
      <c r="H454" s="76">
        <v>136988</v>
      </c>
      <c r="I454" s="320">
        <v>1</v>
      </c>
      <c r="J454" s="406">
        <v>1</v>
      </c>
      <c r="K454" s="319">
        <v>1</v>
      </c>
      <c r="L454" s="424"/>
      <c r="M454" s="410">
        <v>1</v>
      </c>
      <c r="N454" s="429"/>
    </row>
    <row r="455" spans="1:19" ht="18.25" customHeight="1" outlineLevel="2">
      <c r="B455" s="53" t="s">
        <v>218</v>
      </c>
      <c r="C455" s="54" t="s">
        <v>768</v>
      </c>
      <c r="D455" s="7" t="s">
        <v>181</v>
      </c>
      <c r="E455" s="58">
        <v>0.5</v>
      </c>
      <c r="F455" s="59">
        <v>4966</v>
      </c>
      <c r="G455" s="58">
        <v>4.5</v>
      </c>
      <c r="H455" s="76">
        <v>93211</v>
      </c>
      <c r="I455" s="320">
        <v>1</v>
      </c>
      <c r="J455" s="406">
        <v>1</v>
      </c>
      <c r="K455" s="319">
        <v>1</v>
      </c>
      <c r="L455" s="424">
        <v>1</v>
      </c>
      <c r="M455" s="410">
        <v>1</v>
      </c>
      <c r="N455" s="429"/>
    </row>
    <row r="456" spans="1:19" ht="18.25" customHeight="1" outlineLevel="2">
      <c r="B456" s="53" t="s">
        <v>218</v>
      </c>
      <c r="C456" s="54" t="s">
        <v>801</v>
      </c>
      <c r="D456" s="7" t="s">
        <v>181</v>
      </c>
      <c r="E456" s="58">
        <v>1</v>
      </c>
      <c r="F456" s="59">
        <v>9474</v>
      </c>
      <c r="G456" s="58">
        <v>1</v>
      </c>
      <c r="H456" s="76">
        <v>9474</v>
      </c>
      <c r="I456" s="320">
        <v>1</v>
      </c>
      <c r="J456" s="406">
        <v>0</v>
      </c>
      <c r="K456" s="319">
        <v>0</v>
      </c>
      <c r="L456" s="424">
        <v>1</v>
      </c>
      <c r="M456" s="410">
        <v>0</v>
      </c>
      <c r="N456" s="429"/>
    </row>
    <row r="457" spans="1:19" ht="18.25" customHeight="1" outlineLevel="1">
      <c r="B457" s="67" t="s">
        <v>218</v>
      </c>
      <c r="C457" s="61" t="s">
        <v>416</v>
      </c>
      <c r="D457" s="26">
        <v>3</v>
      </c>
      <c r="E457" s="69">
        <v>2</v>
      </c>
      <c r="F457" s="70">
        <v>19406</v>
      </c>
      <c r="G457" s="69">
        <v>13</v>
      </c>
      <c r="H457" s="77">
        <v>239673</v>
      </c>
      <c r="I457" s="321">
        <v>3</v>
      </c>
      <c r="J457" s="322">
        <v>2</v>
      </c>
      <c r="K457" s="508">
        <v>2</v>
      </c>
      <c r="L457" s="509">
        <v>2</v>
      </c>
      <c r="M457" s="323">
        <v>2</v>
      </c>
      <c r="N457" s="437">
        <v>0</v>
      </c>
      <c r="O457" s="1" t="s">
        <v>51</v>
      </c>
    </row>
    <row r="458" spans="1:19" ht="18.25" customHeight="1" outlineLevel="2">
      <c r="B458" s="53" t="s">
        <v>218</v>
      </c>
      <c r="C458" s="54" t="s">
        <v>417</v>
      </c>
      <c r="D458" s="7" t="s">
        <v>221</v>
      </c>
      <c r="E458" s="58">
        <v>1</v>
      </c>
      <c r="F458" s="59">
        <v>57275</v>
      </c>
      <c r="G458" s="58">
        <v>1</v>
      </c>
      <c r="H458" s="76">
        <v>57275</v>
      </c>
      <c r="I458" s="320">
        <v>1</v>
      </c>
      <c r="J458" s="406">
        <v>1</v>
      </c>
      <c r="K458" s="319">
        <v>1</v>
      </c>
      <c r="L458" s="424"/>
      <c r="M458" s="410">
        <v>1</v>
      </c>
      <c r="N458" s="429"/>
    </row>
    <row r="459" spans="1:19" ht="18.25" customHeight="1" outlineLevel="2">
      <c r="B459" s="53" t="s">
        <v>218</v>
      </c>
      <c r="C459" s="54" t="s">
        <v>802</v>
      </c>
      <c r="D459" s="7" t="s">
        <v>181</v>
      </c>
      <c r="E459" s="58">
        <v>0</v>
      </c>
      <c r="F459" s="59">
        <v>0</v>
      </c>
      <c r="G459" s="58">
        <v>0</v>
      </c>
      <c r="H459" s="76">
        <v>0</v>
      </c>
      <c r="I459" s="320">
        <v>0</v>
      </c>
      <c r="J459" s="406">
        <v>0</v>
      </c>
      <c r="K459" s="319">
        <v>0</v>
      </c>
      <c r="L459" s="424">
        <v>1</v>
      </c>
      <c r="M459" s="410">
        <v>0</v>
      </c>
      <c r="N459" s="429"/>
    </row>
    <row r="460" spans="1:19" s="1" customFormat="1" ht="18.25" customHeight="1" outlineLevel="1">
      <c r="A460" s="576"/>
      <c r="B460" s="67" t="s">
        <v>218</v>
      </c>
      <c r="C460" s="61" t="s">
        <v>417</v>
      </c>
      <c r="D460" s="26">
        <v>2</v>
      </c>
      <c r="E460" s="69">
        <v>1</v>
      </c>
      <c r="F460" s="70">
        <v>57275</v>
      </c>
      <c r="G460" s="69">
        <v>1</v>
      </c>
      <c r="H460" s="77">
        <v>57275</v>
      </c>
      <c r="I460" s="321">
        <v>1</v>
      </c>
      <c r="J460" s="322">
        <v>1</v>
      </c>
      <c r="K460" s="508">
        <v>1</v>
      </c>
      <c r="L460" s="509">
        <v>1</v>
      </c>
      <c r="M460" s="323">
        <v>1</v>
      </c>
      <c r="N460" s="437">
        <v>0</v>
      </c>
      <c r="O460" s="1" t="s">
        <v>51</v>
      </c>
      <c r="Q460"/>
      <c r="R460"/>
      <c r="S460"/>
    </row>
    <row r="461" spans="1:19" s="1" customFormat="1" ht="18.25" customHeight="1" outlineLevel="2">
      <c r="A461" s="576"/>
      <c r="B461" s="53" t="s">
        <v>218</v>
      </c>
      <c r="C461" s="54" t="s">
        <v>418</v>
      </c>
      <c r="D461" s="7" t="s">
        <v>171</v>
      </c>
      <c r="E461" s="58">
        <v>0</v>
      </c>
      <c r="F461" s="59">
        <v>0</v>
      </c>
      <c r="G461" s="58">
        <v>6</v>
      </c>
      <c r="H461" s="76">
        <v>55449</v>
      </c>
      <c r="I461" s="320">
        <v>1</v>
      </c>
      <c r="J461" s="406">
        <v>1</v>
      </c>
      <c r="K461" s="319">
        <v>1</v>
      </c>
      <c r="L461" s="424"/>
      <c r="M461" s="410">
        <v>1</v>
      </c>
      <c r="N461" s="429"/>
      <c r="Q461"/>
      <c r="R461"/>
      <c r="S461"/>
    </row>
    <row r="462" spans="1:19" s="1" customFormat="1" ht="18.25" customHeight="1" outlineLevel="2">
      <c r="A462" s="576"/>
      <c r="B462" s="53" t="s">
        <v>218</v>
      </c>
      <c r="C462" s="54" t="s">
        <v>685</v>
      </c>
      <c r="D462" s="7" t="s">
        <v>181</v>
      </c>
      <c r="E462" s="58">
        <v>0</v>
      </c>
      <c r="F462" s="59">
        <v>0</v>
      </c>
      <c r="G462" s="58">
        <v>0</v>
      </c>
      <c r="H462" s="76">
        <v>0</v>
      </c>
      <c r="I462" s="320">
        <v>0</v>
      </c>
      <c r="J462" s="406">
        <v>0</v>
      </c>
      <c r="K462" s="319">
        <v>0</v>
      </c>
      <c r="L462" s="424">
        <v>0</v>
      </c>
      <c r="M462" s="410">
        <v>0</v>
      </c>
      <c r="N462" s="429"/>
      <c r="Q462"/>
      <c r="R462"/>
      <c r="S462"/>
    </row>
    <row r="463" spans="1:19" s="1" customFormat="1" ht="18.25" customHeight="1" outlineLevel="1">
      <c r="A463" s="576"/>
      <c r="B463" s="67" t="s">
        <v>218</v>
      </c>
      <c r="C463" s="61" t="s">
        <v>418</v>
      </c>
      <c r="D463" s="26">
        <v>2</v>
      </c>
      <c r="E463" s="69">
        <v>0</v>
      </c>
      <c r="F463" s="69">
        <v>0</v>
      </c>
      <c r="G463" s="69">
        <v>6</v>
      </c>
      <c r="H463" s="79">
        <v>55449</v>
      </c>
      <c r="I463" s="321">
        <v>1</v>
      </c>
      <c r="J463" s="322">
        <v>1</v>
      </c>
      <c r="K463" s="508">
        <v>1</v>
      </c>
      <c r="L463" s="509">
        <v>0</v>
      </c>
      <c r="M463" s="323">
        <v>1</v>
      </c>
      <c r="N463" s="437">
        <v>0</v>
      </c>
      <c r="O463" s="1" t="s">
        <v>171</v>
      </c>
      <c r="Q463"/>
      <c r="R463"/>
      <c r="S463"/>
    </row>
    <row r="464" spans="1:19" s="1" customFormat="1" ht="18.25" customHeight="1" outlineLevel="2">
      <c r="A464" s="576"/>
      <c r="B464" s="53" t="s">
        <v>218</v>
      </c>
      <c r="C464" s="54" t="s">
        <v>419</v>
      </c>
      <c r="D464" s="7" t="s">
        <v>788</v>
      </c>
      <c r="E464" s="58">
        <v>0</v>
      </c>
      <c r="F464" s="59">
        <v>0</v>
      </c>
      <c r="G464" s="58">
        <v>0</v>
      </c>
      <c r="H464" s="76">
        <v>0</v>
      </c>
      <c r="I464" s="320">
        <v>0</v>
      </c>
      <c r="J464" s="406">
        <v>0</v>
      </c>
      <c r="K464" s="319">
        <v>0</v>
      </c>
      <c r="L464" s="424"/>
      <c r="M464" s="410">
        <v>0</v>
      </c>
      <c r="N464" s="429"/>
      <c r="Q464"/>
      <c r="R464"/>
      <c r="S464"/>
    </row>
    <row r="465" spans="1:19" s="1" customFormat="1" ht="18.25" customHeight="1" outlineLevel="2">
      <c r="A465" s="576"/>
      <c r="B465" s="53" t="s">
        <v>218</v>
      </c>
      <c r="C465" s="54" t="s">
        <v>421</v>
      </c>
      <c r="D465" s="7" t="s">
        <v>181</v>
      </c>
      <c r="E465" s="58">
        <v>1</v>
      </c>
      <c r="F465" s="59">
        <v>22108</v>
      </c>
      <c r="G465" s="58">
        <v>2</v>
      </c>
      <c r="H465" s="76">
        <v>31024</v>
      </c>
      <c r="I465" s="320">
        <v>1</v>
      </c>
      <c r="J465" s="406">
        <v>1</v>
      </c>
      <c r="K465" s="319">
        <v>1</v>
      </c>
      <c r="L465" s="424">
        <v>0</v>
      </c>
      <c r="M465" s="410">
        <v>1</v>
      </c>
      <c r="N465" s="429"/>
      <c r="Q465"/>
      <c r="R465"/>
      <c r="S465"/>
    </row>
    <row r="466" spans="1:19" s="1" customFormat="1" ht="18.25" customHeight="1" outlineLevel="2">
      <c r="A466" s="576"/>
      <c r="B466" s="53" t="s">
        <v>218</v>
      </c>
      <c r="C466" s="54" t="s">
        <v>828</v>
      </c>
      <c r="D466" s="7" t="s">
        <v>181</v>
      </c>
      <c r="E466" s="58">
        <v>0</v>
      </c>
      <c r="F466" s="59">
        <v>0</v>
      </c>
      <c r="G466" s="58">
        <v>0</v>
      </c>
      <c r="H466" s="76">
        <v>0</v>
      </c>
      <c r="I466" s="320">
        <v>0</v>
      </c>
      <c r="J466" s="406">
        <v>0</v>
      </c>
      <c r="K466" s="319">
        <v>0</v>
      </c>
      <c r="L466" s="424">
        <v>1</v>
      </c>
      <c r="M466" s="410">
        <v>0</v>
      </c>
      <c r="N466" s="429"/>
      <c r="Q466"/>
      <c r="R466"/>
      <c r="S466"/>
    </row>
    <row r="467" spans="1:19" s="1" customFormat="1" ht="18.25" customHeight="1" outlineLevel="2">
      <c r="A467" s="576"/>
      <c r="B467" s="53" t="s">
        <v>218</v>
      </c>
      <c r="C467" s="54" t="s">
        <v>655</v>
      </c>
      <c r="D467" s="7" t="s">
        <v>181</v>
      </c>
      <c r="E467" s="58">
        <v>0</v>
      </c>
      <c r="F467" s="59">
        <v>0</v>
      </c>
      <c r="G467" s="58">
        <v>0</v>
      </c>
      <c r="H467" s="76">
        <v>0</v>
      </c>
      <c r="I467" s="320">
        <v>0</v>
      </c>
      <c r="J467" s="406">
        <v>0</v>
      </c>
      <c r="K467" s="319">
        <v>0</v>
      </c>
      <c r="L467" s="424">
        <v>0</v>
      </c>
      <c r="M467" s="410">
        <v>0</v>
      </c>
      <c r="N467" s="429"/>
      <c r="Q467"/>
      <c r="R467"/>
      <c r="S467"/>
    </row>
    <row r="468" spans="1:19" s="1" customFormat="1" ht="18.25" customHeight="1" outlineLevel="2">
      <c r="A468" s="576"/>
      <c r="B468" s="53" t="s">
        <v>218</v>
      </c>
      <c r="C468" s="54" t="s">
        <v>420</v>
      </c>
      <c r="D468" s="7" t="s">
        <v>181</v>
      </c>
      <c r="E468" s="58">
        <v>0</v>
      </c>
      <c r="F468" s="59">
        <v>0</v>
      </c>
      <c r="G468" s="58">
        <v>1</v>
      </c>
      <c r="H468" s="76">
        <v>4200</v>
      </c>
      <c r="I468" s="320">
        <v>1</v>
      </c>
      <c r="J468" s="406">
        <v>0</v>
      </c>
      <c r="K468" s="319">
        <v>0</v>
      </c>
      <c r="L468" s="424">
        <v>0</v>
      </c>
      <c r="M468" s="410">
        <v>0</v>
      </c>
      <c r="N468" s="429"/>
      <c r="Q468"/>
      <c r="R468"/>
      <c r="S468"/>
    </row>
    <row r="469" spans="1:19" s="1" customFormat="1" ht="18.25" customHeight="1" outlineLevel="1">
      <c r="A469" s="576"/>
      <c r="B469" s="67" t="s">
        <v>218</v>
      </c>
      <c r="C469" s="61" t="s">
        <v>419</v>
      </c>
      <c r="D469" s="26">
        <v>5</v>
      </c>
      <c r="E469" s="69">
        <v>1</v>
      </c>
      <c r="F469" s="70">
        <v>22108</v>
      </c>
      <c r="G469" s="69">
        <v>3</v>
      </c>
      <c r="H469" s="77">
        <v>35224</v>
      </c>
      <c r="I469" s="321">
        <v>2</v>
      </c>
      <c r="J469" s="322">
        <v>1</v>
      </c>
      <c r="K469" s="508">
        <v>1</v>
      </c>
      <c r="L469" s="509">
        <v>1</v>
      </c>
      <c r="M469" s="323">
        <v>1</v>
      </c>
      <c r="N469" s="437">
        <v>0</v>
      </c>
      <c r="O469" s="1" t="s">
        <v>51</v>
      </c>
      <c r="Q469"/>
      <c r="R469"/>
      <c r="S469"/>
    </row>
    <row r="470" spans="1:19" s="1" customFormat="1" ht="18.25" customHeight="1" outlineLevel="2">
      <c r="A470" s="576"/>
      <c r="B470" s="53" t="s">
        <v>218</v>
      </c>
      <c r="C470" s="54" t="s">
        <v>422</v>
      </c>
      <c r="D470" s="7" t="s">
        <v>369</v>
      </c>
      <c r="E470" s="58">
        <v>0</v>
      </c>
      <c r="F470" s="59">
        <v>0</v>
      </c>
      <c r="G470" s="58">
        <v>1</v>
      </c>
      <c r="H470" s="76">
        <v>12485</v>
      </c>
      <c r="I470" s="320">
        <v>1</v>
      </c>
      <c r="J470" s="406">
        <v>0</v>
      </c>
      <c r="K470" s="319">
        <v>0</v>
      </c>
      <c r="L470" s="424"/>
      <c r="M470" s="410">
        <v>0</v>
      </c>
      <c r="N470" s="429"/>
      <c r="Q470"/>
      <c r="R470"/>
      <c r="S470"/>
    </row>
    <row r="471" spans="1:19" s="1" customFormat="1" ht="18.25" customHeight="1" outlineLevel="1">
      <c r="A471" s="576"/>
      <c r="B471" s="67" t="s">
        <v>218</v>
      </c>
      <c r="C471" s="61" t="s">
        <v>910</v>
      </c>
      <c r="D471" s="26">
        <v>1</v>
      </c>
      <c r="E471" s="69">
        <v>0</v>
      </c>
      <c r="F471" s="70">
        <v>0</v>
      </c>
      <c r="G471" s="69">
        <v>1</v>
      </c>
      <c r="H471" s="77">
        <v>12485</v>
      </c>
      <c r="I471" s="321">
        <v>1</v>
      </c>
      <c r="J471" s="322">
        <v>0</v>
      </c>
      <c r="K471" s="508">
        <v>0</v>
      </c>
      <c r="L471" s="509">
        <v>0</v>
      </c>
      <c r="M471" s="323">
        <v>0</v>
      </c>
      <c r="N471" s="437">
        <v>0</v>
      </c>
      <c r="O471" s="1" t="s">
        <v>670</v>
      </c>
      <c r="Q471"/>
      <c r="R471"/>
      <c r="S471"/>
    </row>
    <row r="472" spans="1:19" s="1" customFormat="1" ht="18.25" customHeight="1" outlineLevel="2">
      <c r="A472" s="576"/>
      <c r="B472" s="53" t="s">
        <v>218</v>
      </c>
      <c r="C472" s="54" t="s">
        <v>423</v>
      </c>
      <c r="D472" s="7" t="s">
        <v>189</v>
      </c>
      <c r="E472" s="58">
        <v>0</v>
      </c>
      <c r="F472" s="59">
        <v>0</v>
      </c>
      <c r="G472" s="58">
        <v>1</v>
      </c>
      <c r="H472" s="76">
        <v>12000</v>
      </c>
      <c r="I472" s="320">
        <v>1</v>
      </c>
      <c r="J472" s="406">
        <v>0</v>
      </c>
      <c r="K472" s="319">
        <v>0</v>
      </c>
      <c r="L472" s="424"/>
      <c r="M472" s="410">
        <v>0</v>
      </c>
      <c r="N472" s="429"/>
      <c r="Q472"/>
      <c r="R472"/>
      <c r="S472"/>
    </row>
    <row r="473" spans="1:19" s="1" customFormat="1" ht="18.25" customHeight="1" outlineLevel="2">
      <c r="A473" s="576"/>
      <c r="B473" s="53" t="s">
        <v>218</v>
      </c>
      <c r="C473" s="54" t="s">
        <v>699</v>
      </c>
      <c r="D473" s="7" t="s">
        <v>181</v>
      </c>
      <c r="E473" s="58">
        <v>0</v>
      </c>
      <c r="F473" s="59">
        <v>0</v>
      </c>
      <c r="G473" s="58">
        <v>0</v>
      </c>
      <c r="H473" s="76">
        <v>0</v>
      </c>
      <c r="I473" s="320">
        <v>0</v>
      </c>
      <c r="J473" s="406">
        <v>0</v>
      </c>
      <c r="K473" s="319">
        <v>0</v>
      </c>
      <c r="L473" s="424">
        <v>0</v>
      </c>
      <c r="M473" s="410">
        <v>0</v>
      </c>
      <c r="N473" s="429"/>
      <c r="Q473"/>
      <c r="R473"/>
      <c r="S473"/>
    </row>
    <row r="474" spans="1:19" s="1" customFormat="1" ht="18.25" customHeight="1" outlineLevel="1">
      <c r="A474" s="576"/>
      <c r="B474" s="67" t="s">
        <v>218</v>
      </c>
      <c r="C474" s="61" t="s">
        <v>423</v>
      </c>
      <c r="D474" s="26">
        <v>2</v>
      </c>
      <c r="E474" s="69">
        <v>0</v>
      </c>
      <c r="F474" s="70">
        <v>0</v>
      </c>
      <c r="G474" s="69">
        <v>1</v>
      </c>
      <c r="H474" s="77">
        <v>12000</v>
      </c>
      <c r="I474" s="321">
        <v>1</v>
      </c>
      <c r="J474" s="322">
        <v>0</v>
      </c>
      <c r="K474" s="508">
        <v>0</v>
      </c>
      <c r="L474" s="509">
        <v>0</v>
      </c>
      <c r="M474" s="323">
        <v>0</v>
      </c>
      <c r="N474" s="437">
        <v>0</v>
      </c>
      <c r="O474" s="1" t="s">
        <v>169</v>
      </c>
      <c r="Q474"/>
      <c r="R474"/>
      <c r="S474"/>
    </row>
    <row r="475" spans="1:19" s="1" customFormat="1" ht="18.25" customHeight="1" outlineLevel="2">
      <c r="A475" s="576"/>
      <c r="B475" s="52" t="s">
        <v>218</v>
      </c>
      <c r="C475" s="54" t="s">
        <v>424</v>
      </c>
      <c r="D475" s="7" t="s">
        <v>221</v>
      </c>
      <c r="E475" s="58">
        <v>0</v>
      </c>
      <c r="F475" s="59">
        <v>0</v>
      </c>
      <c r="G475" s="58">
        <v>1</v>
      </c>
      <c r="H475" s="76">
        <v>23824</v>
      </c>
      <c r="I475" s="320">
        <v>1</v>
      </c>
      <c r="J475" s="406">
        <v>1</v>
      </c>
      <c r="K475" s="319">
        <v>0</v>
      </c>
      <c r="L475" s="424"/>
      <c r="M475" s="410">
        <v>0</v>
      </c>
      <c r="N475" s="429"/>
      <c r="Q475"/>
      <c r="R475"/>
      <c r="S475"/>
    </row>
    <row r="476" spans="1:19" s="1" customFormat="1" ht="18.25" customHeight="1" outlineLevel="2">
      <c r="A476" s="576"/>
      <c r="B476" s="53" t="s">
        <v>218</v>
      </c>
      <c r="C476" s="54" t="s">
        <v>694</v>
      </c>
      <c r="D476" s="7" t="s">
        <v>181</v>
      </c>
      <c r="E476" s="58">
        <v>0</v>
      </c>
      <c r="F476" s="59">
        <v>0</v>
      </c>
      <c r="G476" s="58">
        <v>0</v>
      </c>
      <c r="H476" s="76">
        <v>0</v>
      </c>
      <c r="I476" s="320">
        <v>0</v>
      </c>
      <c r="J476" s="406">
        <v>0</v>
      </c>
      <c r="K476" s="319">
        <v>0</v>
      </c>
      <c r="L476" s="424">
        <v>0</v>
      </c>
      <c r="M476" s="410">
        <v>0</v>
      </c>
      <c r="N476" s="429"/>
      <c r="Q476"/>
      <c r="R476"/>
      <c r="S476"/>
    </row>
    <row r="477" spans="1:19" s="1" customFormat="1" ht="18.25" customHeight="1" outlineLevel="1">
      <c r="A477" s="576"/>
      <c r="B477" s="67" t="s">
        <v>218</v>
      </c>
      <c r="C477" s="61" t="s">
        <v>665</v>
      </c>
      <c r="D477" s="26">
        <v>2</v>
      </c>
      <c r="E477" s="69">
        <v>0</v>
      </c>
      <c r="F477" s="70">
        <v>0</v>
      </c>
      <c r="G477" s="69">
        <v>1</v>
      </c>
      <c r="H477" s="77">
        <v>23824</v>
      </c>
      <c r="I477" s="321">
        <v>1</v>
      </c>
      <c r="J477" s="322">
        <v>1</v>
      </c>
      <c r="K477" s="508">
        <v>0</v>
      </c>
      <c r="L477" s="509">
        <v>0</v>
      </c>
      <c r="M477" s="323">
        <v>0</v>
      </c>
      <c r="N477" s="437">
        <v>0</v>
      </c>
      <c r="O477" s="1" t="s">
        <v>51</v>
      </c>
      <c r="Q477"/>
      <c r="R477"/>
      <c r="S477"/>
    </row>
    <row r="478" spans="1:19" s="1" customFormat="1" ht="18.25" customHeight="1" outlineLevel="2">
      <c r="A478" s="576"/>
      <c r="B478" s="5" t="s">
        <v>218</v>
      </c>
      <c r="C478" s="6" t="s">
        <v>255</v>
      </c>
      <c r="D478" s="7" t="s">
        <v>25</v>
      </c>
      <c r="E478" s="8">
        <v>0</v>
      </c>
      <c r="F478" s="9">
        <v>0</v>
      </c>
      <c r="G478" s="8">
        <v>0</v>
      </c>
      <c r="H478" s="10">
        <v>0</v>
      </c>
      <c r="I478" s="310">
        <v>0</v>
      </c>
      <c r="J478" s="406">
        <v>0</v>
      </c>
      <c r="K478" s="319">
        <v>0</v>
      </c>
      <c r="L478" s="424"/>
      <c r="M478" s="410">
        <v>0</v>
      </c>
      <c r="N478" s="429"/>
      <c r="Q478"/>
      <c r="R478"/>
      <c r="S478"/>
    </row>
    <row r="479" spans="1:19" s="1" customFormat="1" ht="18.25" customHeight="1" outlineLevel="2">
      <c r="A479" s="576"/>
      <c r="B479" s="5" t="s">
        <v>218</v>
      </c>
      <c r="C479" s="6" t="s">
        <v>477</v>
      </c>
      <c r="D479" s="7" t="s">
        <v>17</v>
      </c>
      <c r="E479" s="8">
        <v>0</v>
      </c>
      <c r="F479" s="9">
        <v>0</v>
      </c>
      <c r="G479" s="8">
        <v>1</v>
      </c>
      <c r="H479" s="10">
        <v>13743</v>
      </c>
      <c r="I479" s="310">
        <v>1</v>
      </c>
      <c r="J479" s="406">
        <v>1</v>
      </c>
      <c r="K479" s="319">
        <v>0</v>
      </c>
      <c r="L479" s="424">
        <v>0</v>
      </c>
      <c r="M479" s="410">
        <v>0</v>
      </c>
      <c r="N479" s="429"/>
      <c r="Q479"/>
      <c r="R479"/>
      <c r="S479"/>
    </row>
    <row r="480" spans="1:19" s="1" customFormat="1" ht="18.25" customHeight="1" outlineLevel="1">
      <c r="A480" s="576"/>
      <c r="B480" s="12" t="s">
        <v>218</v>
      </c>
      <c r="C480" s="13" t="s">
        <v>255</v>
      </c>
      <c r="D480" s="14">
        <v>2</v>
      </c>
      <c r="E480" s="15">
        <v>0</v>
      </c>
      <c r="F480" s="16">
        <v>0</v>
      </c>
      <c r="G480" s="15">
        <v>1</v>
      </c>
      <c r="H480" s="17">
        <v>13743</v>
      </c>
      <c r="I480" s="311">
        <v>1</v>
      </c>
      <c r="J480" s="312">
        <v>1</v>
      </c>
      <c r="K480" s="906">
        <v>0</v>
      </c>
      <c r="L480" s="907">
        <v>0</v>
      </c>
      <c r="M480" s="411">
        <v>0</v>
      </c>
      <c r="N480" s="430">
        <v>0</v>
      </c>
      <c r="O480" s="1" t="s">
        <v>169</v>
      </c>
      <c r="Q480"/>
      <c r="R480"/>
      <c r="S480"/>
    </row>
    <row r="481" spans="1:19" s="1" customFormat="1" ht="18.25" customHeight="1" outlineLevel="2">
      <c r="A481" s="576"/>
      <c r="B481" s="5" t="s">
        <v>218</v>
      </c>
      <c r="C481" s="6" t="s">
        <v>318</v>
      </c>
      <c r="D481" s="7" t="s">
        <v>40</v>
      </c>
      <c r="E481" s="8">
        <v>0</v>
      </c>
      <c r="F481" s="9">
        <v>0</v>
      </c>
      <c r="G481" s="8">
        <v>1.5</v>
      </c>
      <c r="H481" s="10">
        <v>8327</v>
      </c>
      <c r="I481" s="310">
        <v>1</v>
      </c>
      <c r="J481" s="406">
        <v>0</v>
      </c>
      <c r="K481" s="319">
        <v>0</v>
      </c>
      <c r="L481" s="424"/>
      <c r="M481" s="410">
        <v>0</v>
      </c>
      <c r="N481" s="429"/>
      <c r="Q481"/>
      <c r="R481"/>
      <c r="S481"/>
    </row>
    <row r="482" spans="1:19" s="1" customFormat="1" ht="18.25" customHeight="1" outlineLevel="2">
      <c r="A482" s="576"/>
      <c r="B482" s="5" t="s">
        <v>218</v>
      </c>
      <c r="C482" s="6" t="s">
        <v>575</v>
      </c>
      <c r="D482" s="7" t="s">
        <v>17</v>
      </c>
      <c r="E482" s="8">
        <v>0</v>
      </c>
      <c r="F482" s="9">
        <v>0</v>
      </c>
      <c r="G482" s="8">
        <v>1.5</v>
      </c>
      <c r="H482" s="10">
        <v>8327</v>
      </c>
      <c r="I482" s="310">
        <v>1</v>
      </c>
      <c r="J482" s="406">
        <v>0</v>
      </c>
      <c r="K482" s="319">
        <v>0</v>
      </c>
      <c r="L482" s="424">
        <v>0</v>
      </c>
      <c r="M482" s="410">
        <v>0</v>
      </c>
      <c r="N482" s="429"/>
      <c r="Q482"/>
      <c r="R482"/>
      <c r="S482"/>
    </row>
    <row r="483" spans="1:19" s="1" customFormat="1" ht="18.25" customHeight="1" outlineLevel="1">
      <c r="A483" s="576"/>
      <c r="B483" s="12" t="s">
        <v>218</v>
      </c>
      <c r="C483" s="13" t="s">
        <v>317</v>
      </c>
      <c r="D483" s="14">
        <v>2</v>
      </c>
      <c r="E483" s="15">
        <v>0</v>
      </c>
      <c r="F483" s="16">
        <v>0</v>
      </c>
      <c r="G483" s="15">
        <v>3</v>
      </c>
      <c r="H483" s="17">
        <v>16654</v>
      </c>
      <c r="I483" s="311">
        <v>2</v>
      </c>
      <c r="J483" s="312">
        <v>0</v>
      </c>
      <c r="K483" s="906">
        <v>0</v>
      </c>
      <c r="L483" s="907">
        <v>0</v>
      </c>
      <c r="M483" s="411">
        <v>0</v>
      </c>
      <c r="N483" s="430">
        <v>0</v>
      </c>
      <c r="O483" s="1" t="s">
        <v>51</v>
      </c>
      <c r="Q483"/>
      <c r="R483"/>
      <c r="S483"/>
    </row>
    <row r="484" spans="1:19" s="1" customFormat="1" ht="18.25" customHeight="1" outlineLevel="2">
      <c r="A484" s="576"/>
      <c r="B484" s="5" t="s">
        <v>218</v>
      </c>
      <c r="C484" s="39" t="s">
        <v>306</v>
      </c>
      <c r="D484" s="7" t="s">
        <v>25</v>
      </c>
      <c r="E484" s="8">
        <v>0</v>
      </c>
      <c r="F484" s="9">
        <v>0</v>
      </c>
      <c r="G484" s="8">
        <v>2</v>
      </c>
      <c r="H484" s="10">
        <v>26413</v>
      </c>
      <c r="I484" s="310">
        <v>1</v>
      </c>
      <c r="J484" s="406">
        <v>1</v>
      </c>
      <c r="K484" s="319">
        <v>1</v>
      </c>
      <c r="L484" s="424"/>
      <c r="M484" s="410">
        <v>1</v>
      </c>
      <c r="N484" s="429"/>
      <c r="Q484"/>
      <c r="R484"/>
      <c r="S484"/>
    </row>
    <row r="485" spans="1:19" s="1" customFormat="1" ht="18.25" customHeight="1" outlineLevel="2">
      <c r="A485" s="576"/>
      <c r="B485" s="5" t="s">
        <v>218</v>
      </c>
      <c r="C485" s="6" t="s">
        <v>385</v>
      </c>
      <c r="D485" s="7" t="s">
        <v>17</v>
      </c>
      <c r="E485" s="8">
        <v>0</v>
      </c>
      <c r="F485" s="9">
        <v>0</v>
      </c>
      <c r="G485" s="8">
        <v>0</v>
      </c>
      <c r="H485" s="10">
        <v>4560</v>
      </c>
      <c r="I485" s="310">
        <v>0</v>
      </c>
      <c r="J485" s="406">
        <v>0</v>
      </c>
      <c r="K485" s="319">
        <v>0</v>
      </c>
      <c r="L485" s="424">
        <v>0</v>
      </c>
      <c r="M485" s="410">
        <v>0</v>
      </c>
      <c r="N485" s="429"/>
      <c r="Q485"/>
      <c r="R485"/>
      <c r="S485"/>
    </row>
    <row r="486" spans="1:19" s="1" customFormat="1" ht="18.25" customHeight="1" outlineLevel="1">
      <c r="A486" s="576"/>
      <c r="B486" s="12" t="s">
        <v>218</v>
      </c>
      <c r="C486" s="13" t="s">
        <v>306</v>
      </c>
      <c r="D486" s="14">
        <v>2</v>
      </c>
      <c r="E486" s="15">
        <v>0</v>
      </c>
      <c r="F486" s="16">
        <v>0</v>
      </c>
      <c r="G486" s="15">
        <v>2</v>
      </c>
      <c r="H486" s="17">
        <v>30973</v>
      </c>
      <c r="I486" s="311">
        <v>1</v>
      </c>
      <c r="J486" s="312">
        <v>1</v>
      </c>
      <c r="K486" s="906">
        <v>1</v>
      </c>
      <c r="L486" s="907">
        <v>0</v>
      </c>
      <c r="M486" s="411">
        <v>1</v>
      </c>
      <c r="N486" s="430">
        <v>1</v>
      </c>
      <c r="O486" s="1" t="s">
        <v>169</v>
      </c>
      <c r="Q486"/>
      <c r="R486"/>
      <c r="S486"/>
    </row>
    <row r="487" spans="1:19" s="1" customFormat="1" ht="18.25" customHeight="1" outlineLevel="2">
      <c r="A487" s="576"/>
      <c r="B487" s="5" t="s">
        <v>218</v>
      </c>
      <c r="C487" s="6" t="s">
        <v>271</v>
      </c>
      <c r="D487" s="7" t="s">
        <v>22</v>
      </c>
      <c r="E487" s="8">
        <v>0</v>
      </c>
      <c r="F487" s="9">
        <v>0</v>
      </c>
      <c r="G487" s="8">
        <v>3</v>
      </c>
      <c r="H487" s="10">
        <v>78573</v>
      </c>
      <c r="I487" s="310">
        <v>1</v>
      </c>
      <c r="J487" s="406">
        <v>1</v>
      </c>
      <c r="K487" s="319">
        <v>1</v>
      </c>
      <c r="L487" s="424"/>
      <c r="M487" s="410">
        <v>1</v>
      </c>
      <c r="N487" s="429"/>
      <c r="Q487"/>
      <c r="R487"/>
      <c r="S487"/>
    </row>
    <row r="488" spans="1:19" s="1" customFormat="1" ht="18.25" customHeight="1" outlineLevel="2">
      <c r="A488" s="576"/>
      <c r="B488" s="5" t="s">
        <v>218</v>
      </c>
      <c r="C488" s="18" t="s">
        <v>823</v>
      </c>
      <c r="D488" s="7" t="s">
        <v>17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6">
        <v>0</v>
      </c>
      <c r="K488" s="319">
        <v>0</v>
      </c>
      <c r="L488" s="424">
        <v>1</v>
      </c>
      <c r="M488" s="410">
        <v>0</v>
      </c>
      <c r="N488" s="429"/>
      <c r="Q488"/>
      <c r="R488"/>
      <c r="S488"/>
    </row>
    <row r="489" spans="1:19" s="1" customFormat="1" ht="18.25" customHeight="1" outlineLevel="2">
      <c r="A489" s="576"/>
      <c r="B489" s="5" t="s">
        <v>218</v>
      </c>
      <c r="C489" s="18" t="s">
        <v>689</v>
      </c>
      <c r="D489" s="7" t="s">
        <v>17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6">
        <v>0</v>
      </c>
      <c r="K489" s="319">
        <v>0</v>
      </c>
      <c r="L489" s="424">
        <v>0</v>
      </c>
      <c r="M489" s="410">
        <v>0</v>
      </c>
      <c r="N489" s="429"/>
      <c r="Q489"/>
      <c r="R489"/>
      <c r="S489"/>
    </row>
    <row r="490" spans="1:19" s="1" customFormat="1" ht="18.25" customHeight="1" outlineLevel="1">
      <c r="A490" s="576"/>
      <c r="B490" s="12" t="s">
        <v>218</v>
      </c>
      <c r="C490" s="13" t="s">
        <v>73</v>
      </c>
      <c r="D490" s="14">
        <v>3</v>
      </c>
      <c r="E490" s="15">
        <v>0</v>
      </c>
      <c r="F490" s="16">
        <v>0</v>
      </c>
      <c r="G490" s="15">
        <v>3</v>
      </c>
      <c r="H490" s="17">
        <v>78573</v>
      </c>
      <c r="I490" s="311">
        <v>1</v>
      </c>
      <c r="J490" s="312">
        <v>1</v>
      </c>
      <c r="K490" s="906">
        <v>1</v>
      </c>
      <c r="L490" s="907">
        <v>1</v>
      </c>
      <c r="M490" s="411">
        <v>1</v>
      </c>
      <c r="N490" s="430">
        <v>0</v>
      </c>
      <c r="O490" s="1" t="s">
        <v>171</v>
      </c>
      <c r="Q490"/>
      <c r="R490"/>
      <c r="S490"/>
    </row>
    <row r="491" spans="1:19" s="1" customFormat="1" ht="18.25" customHeight="1" outlineLevel="2">
      <c r="A491" s="576"/>
      <c r="B491" s="41" t="s">
        <v>218</v>
      </c>
      <c r="C491" s="39" t="s">
        <v>513</v>
      </c>
      <c r="D491" s="23" t="s">
        <v>221</v>
      </c>
      <c r="E491" s="8">
        <v>0</v>
      </c>
      <c r="F491" s="9">
        <v>0</v>
      </c>
      <c r="G491" s="8">
        <v>2</v>
      </c>
      <c r="H491" s="10">
        <v>45308</v>
      </c>
      <c r="I491" s="313">
        <v>1</v>
      </c>
      <c r="J491" s="406">
        <v>1</v>
      </c>
      <c r="K491" s="319">
        <v>1</v>
      </c>
      <c r="L491" s="424"/>
      <c r="M491" s="410">
        <v>1</v>
      </c>
      <c r="N491" s="429"/>
      <c r="Q491"/>
      <c r="R491"/>
      <c r="S491"/>
    </row>
    <row r="492" spans="1:19" ht="18.25" customHeight="1" outlineLevel="2">
      <c r="B492" s="5" t="s">
        <v>218</v>
      </c>
      <c r="C492" s="18" t="s">
        <v>741</v>
      </c>
      <c r="D492" s="7" t="s">
        <v>17</v>
      </c>
      <c r="E492" s="8">
        <v>0</v>
      </c>
      <c r="F492" s="9">
        <v>0</v>
      </c>
      <c r="G492" s="8">
        <v>1</v>
      </c>
      <c r="H492" s="10">
        <v>6000</v>
      </c>
      <c r="I492" s="310">
        <v>1</v>
      </c>
      <c r="J492" s="406">
        <v>0</v>
      </c>
      <c r="K492" s="319">
        <v>0</v>
      </c>
      <c r="L492" s="424">
        <v>0</v>
      </c>
      <c r="M492" s="410">
        <v>0</v>
      </c>
      <c r="N492" s="429"/>
    </row>
    <row r="493" spans="1:19" ht="18.25" customHeight="1" outlineLevel="1">
      <c r="B493" s="12" t="s">
        <v>218</v>
      </c>
      <c r="C493" s="13" t="s">
        <v>71</v>
      </c>
      <c r="D493" s="14">
        <v>2</v>
      </c>
      <c r="E493" s="15">
        <v>0</v>
      </c>
      <c r="F493" s="16">
        <v>0</v>
      </c>
      <c r="G493" s="15">
        <v>3</v>
      </c>
      <c r="H493" s="17">
        <v>51308</v>
      </c>
      <c r="I493" s="311">
        <v>2</v>
      </c>
      <c r="J493" s="312">
        <v>1</v>
      </c>
      <c r="K493" s="906">
        <v>1</v>
      </c>
      <c r="L493" s="907">
        <v>0</v>
      </c>
      <c r="M493" s="411">
        <v>1</v>
      </c>
      <c r="N493" s="430">
        <v>0</v>
      </c>
      <c r="O493" s="1" t="s">
        <v>51</v>
      </c>
    </row>
    <row r="494" spans="1:19" ht="18.25" customHeight="1" outlineLevel="2">
      <c r="B494" s="41" t="s">
        <v>218</v>
      </c>
      <c r="C494" s="39" t="s">
        <v>542</v>
      </c>
      <c r="D494" s="23" t="s">
        <v>189</v>
      </c>
      <c r="E494" s="8">
        <v>0</v>
      </c>
      <c r="F494" s="9">
        <v>0</v>
      </c>
      <c r="G494" s="8">
        <v>1</v>
      </c>
      <c r="H494" s="10">
        <v>12909</v>
      </c>
      <c r="I494" s="313">
        <v>1</v>
      </c>
      <c r="J494" s="406">
        <v>0</v>
      </c>
      <c r="K494" s="319">
        <v>0</v>
      </c>
      <c r="L494" s="424"/>
      <c r="M494" s="410">
        <v>0</v>
      </c>
      <c r="N494" s="429"/>
    </row>
    <row r="495" spans="1:19" ht="18.25" customHeight="1" outlineLevel="2">
      <c r="B495" s="5" t="s">
        <v>218</v>
      </c>
      <c r="C495" s="18" t="s">
        <v>742</v>
      </c>
      <c r="D495" s="7" t="s">
        <v>17</v>
      </c>
      <c r="E495" s="8">
        <v>0</v>
      </c>
      <c r="F495" s="9">
        <v>0</v>
      </c>
      <c r="G495" s="8">
        <v>1</v>
      </c>
      <c r="H495" s="10">
        <v>11696</v>
      </c>
      <c r="I495" s="310">
        <v>1</v>
      </c>
      <c r="J495" s="406">
        <v>1</v>
      </c>
      <c r="K495" s="319">
        <v>0</v>
      </c>
      <c r="L495" s="424">
        <v>0</v>
      </c>
      <c r="M495" s="410">
        <v>0</v>
      </c>
      <c r="N495" s="429"/>
    </row>
    <row r="496" spans="1:19" ht="18.25" customHeight="1" outlineLevel="1">
      <c r="B496" s="12" t="s">
        <v>218</v>
      </c>
      <c r="C496" s="13" t="s">
        <v>542</v>
      </c>
      <c r="D496" s="14">
        <v>2</v>
      </c>
      <c r="E496" s="15">
        <v>0</v>
      </c>
      <c r="F496" s="16">
        <v>0</v>
      </c>
      <c r="G496" s="15">
        <v>2</v>
      </c>
      <c r="H496" s="17">
        <v>24605</v>
      </c>
      <c r="I496" s="311">
        <v>2</v>
      </c>
      <c r="J496" s="312">
        <v>1</v>
      </c>
      <c r="K496" s="906">
        <v>0</v>
      </c>
      <c r="L496" s="907">
        <v>0</v>
      </c>
      <c r="M496" s="411">
        <v>0</v>
      </c>
      <c r="N496" s="430">
        <v>0</v>
      </c>
      <c r="O496" s="1" t="s">
        <v>169</v>
      </c>
    </row>
    <row r="497" spans="1:16" ht="18.25" customHeight="1" outlineLevel="2">
      <c r="B497" s="5" t="s">
        <v>218</v>
      </c>
      <c r="C497" s="18" t="s">
        <v>273</v>
      </c>
      <c r="D497" s="7" t="s">
        <v>22</v>
      </c>
      <c r="E497" s="8">
        <v>0</v>
      </c>
      <c r="F497" s="9">
        <v>0</v>
      </c>
      <c r="G497" s="8">
        <v>3</v>
      </c>
      <c r="H497" s="10">
        <v>27245</v>
      </c>
      <c r="I497" s="310">
        <v>1</v>
      </c>
      <c r="J497" s="406">
        <v>1</v>
      </c>
      <c r="K497" s="319">
        <v>1</v>
      </c>
      <c r="L497" s="424"/>
      <c r="M497" s="410">
        <v>1</v>
      </c>
      <c r="N497" s="429"/>
    </row>
    <row r="498" spans="1:16" ht="18.25" customHeight="1" outlineLevel="2">
      <c r="B498" s="5" t="s">
        <v>218</v>
      </c>
      <c r="C498" s="6" t="s">
        <v>789</v>
      </c>
      <c r="D498" s="7" t="s">
        <v>17</v>
      </c>
      <c r="E498" s="8">
        <v>0</v>
      </c>
      <c r="F498" s="9">
        <v>0</v>
      </c>
      <c r="G498" s="8">
        <v>0</v>
      </c>
      <c r="H498" s="10">
        <v>0</v>
      </c>
      <c r="I498" s="310">
        <v>0</v>
      </c>
      <c r="J498" s="406">
        <v>0</v>
      </c>
      <c r="K498" s="319">
        <v>0</v>
      </c>
      <c r="L498" s="424">
        <v>1</v>
      </c>
      <c r="M498" s="410">
        <v>0</v>
      </c>
      <c r="N498" s="429"/>
    </row>
    <row r="499" spans="1:16" ht="18.25" customHeight="1" outlineLevel="1">
      <c r="B499" s="12" t="s">
        <v>218</v>
      </c>
      <c r="C499" s="13" t="s">
        <v>273</v>
      </c>
      <c r="D499" s="14">
        <v>2</v>
      </c>
      <c r="E499" s="15">
        <v>0</v>
      </c>
      <c r="F499" s="16">
        <v>0</v>
      </c>
      <c r="G499" s="15">
        <v>3</v>
      </c>
      <c r="H499" s="17">
        <v>27245</v>
      </c>
      <c r="I499" s="311">
        <v>1</v>
      </c>
      <c r="J499" s="312">
        <v>1</v>
      </c>
      <c r="K499" s="906">
        <v>1</v>
      </c>
      <c r="L499" s="907">
        <v>1</v>
      </c>
      <c r="M499" s="411">
        <v>1</v>
      </c>
      <c r="N499" s="430">
        <v>0</v>
      </c>
      <c r="O499" s="1" t="s">
        <v>171</v>
      </c>
    </row>
    <row r="500" spans="1:16" ht="18.25" customHeight="1" outlineLevel="2">
      <c r="B500" s="5" t="s">
        <v>218</v>
      </c>
      <c r="C500" s="6" t="s">
        <v>72</v>
      </c>
      <c r="D500" s="7" t="s">
        <v>40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6">
        <v>0</v>
      </c>
      <c r="K500" s="319">
        <v>0</v>
      </c>
      <c r="L500" s="424"/>
      <c r="M500" s="410">
        <v>0</v>
      </c>
      <c r="N500" s="429"/>
    </row>
    <row r="501" spans="1:16" ht="18.25" customHeight="1" outlineLevel="2">
      <c r="B501" s="5" t="s">
        <v>218</v>
      </c>
      <c r="C501" s="39" t="s">
        <v>752</v>
      </c>
      <c r="D501" s="23" t="s">
        <v>27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6">
        <v>0</v>
      </c>
      <c r="K501" s="319">
        <v>0</v>
      </c>
      <c r="L501" s="424">
        <v>0</v>
      </c>
      <c r="M501" s="410">
        <v>0</v>
      </c>
      <c r="N501" s="429"/>
    </row>
    <row r="502" spans="1:16" ht="18.25" customHeight="1" outlineLevel="2">
      <c r="B502" s="5" t="s">
        <v>218</v>
      </c>
      <c r="C502" s="6" t="s">
        <v>257</v>
      </c>
      <c r="D502" s="7" t="s">
        <v>17</v>
      </c>
      <c r="E502" s="8">
        <v>1</v>
      </c>
      <c r="F502" s="9">
        <v>11547</v>
      </c>
      <c r="G502" s="8">
        <v>2</v>
      </c>
      <c r="H502" s="10">
        <v>15147</v>
      </c>
      <c r="I502" s="310">
        <v>1</v>
      </c>
      <c r="J502" s="406">
        <v>1</v>
      </c>
      <c r="K502" s="319">
        <v>0</v>
      </c>
      <c r="L502" s="424">
        <v>0</v>
      </c>
      <c r="M502" s="410">
        <v>0</v>
      </c>
      <c r="N502" s="429"/>
    </row>
    <row r="503" spans="1:16" ht="18.25" customHeight="1" outlineLevel="1">
      <c r="B503" s="12" t="s">
        <v>218</v>
      </c>
      <c r="C503" s="13" t="s">
        <v>72</v>
      </c>
      <c r="D503" s="14">
        <v>3</v>
      </c>
      <c r="E503" s="15">
        <v>1</v>
      </c>
      <c r="F503" s="16">
        <v>11547</v>
      </c>
      <c r="G503" s="15">
        <v>2</v>
      </c>
      <c r="H503" s="17">
        <v>15147</v>
      </c>
      <c r="I503" s="311">
        <v>1</v>
      </c>
      <c r="J503" s="312">
        <v>1</v>
      </c>
      <c r="K503" s="906">
        <v>0</v>
      </c>
      <c r="L503" s="907">
        <v>0</v>
      </c>
      <c r="M503" s="411">
        <v>0</v>
      </c>
      <c r="N503" s="430">
        <v>0</v>
      </c>
      <c r="O503" s="1" t="s">
        <v>51</v>
      </c>
    </row>
    <row r="504" spans="1:16" ht="18.25" customHeight="1" outlineLevel="2">
      <c r="B504" s="5" t="s">
        <v>218</v>
      </c>
      <c r="C504" s="6" t="s">
        <v>490</v>
      </c>
      <c r="D504" s="7" t="s">
        <v>307</v>
      </c>
      <c r="E504" s="8">
        <v>0</v>
      </c>
      <c r="F504" s="9">
        <v>0</v>
      </c>
      <c r="G504" s="8">
        <v>0</v>
      </c>
      <c r="H504" s="10">
        <v>0</v>
      </c>
      <c r="I504" s="310">
        <v>0</v>
      </c>
      <c r="J504" s="406">
        <v>0</v>
      </c>
      <c r="K504" s="319">
        <v>0</v>
      </c>
      <c r="L504" s="424"/>
      <c r="M504" s="410">
        <v>0</v>
      </c>
      <c r="N504" s="429"/>
    </row>
    <row r="505" spans="1:16" ht="18.25" customHeight="1" outlineLevel="1">
      <c r="B505" s="12" t="s">
        <v>218</v>
      </c>
      <c r="C505" s="13" t="s">
        <v>490</v>
      </c>
      <c r="D505" s="14">
        <v>1</v>
      </c>
      <c r="E505" s="15">
        <v>0</v>
      </c>
      <c r="F505" s="16">
        <v>0</v>
      </c>
      <c r="G505" s="15">
        <v>0</v>
      </c>
      <c r="H505" s="17">
        <v>0</v>
      </c>
      <c r="I505" s="311">
        <v>0</v>
      </c>
      <c r="J505" s="312">
        <v>0</v>
      </c>
      <c r="K505" s="906">
        <v>0</v>
      </c>
      <c r="L505" s="907">
        <v>0</v>
      </c>
      <c r="M505" s="411">
        <v>0</v>
      </c>
      <c r="N505" s="430">
        <v>0</v>
      </c>
      <c r="O505" s="1" t="s">
        <v>27</v>
      </c>
    </row>
    <row r="506" spans="1:16" s="149" customFormat="1" ht="18.25" customHeight="1">
      <c r="A506" s="575" t="s">
        <v>849</v>
      </c>
      <c r="B506" s="967" t="s">
        <v>217</v>
      </c>
      <c r="C506" s="968"/>
      <c r="D506" s="145">
        <v>40</v>
      </c>
      <c r="E506" s="146">
        <v>5</v>
      </c>
      <c r="F506" s="147">
        <v>110336</v>
      </c>
      <c r="G506" s="146">
        <v>46</v>
      </c>
      <c r="H506" s="148">
        <v>764328</v>
      </c>
      <c r="I506" s="314">
        <v>22</v>
      </c>
      <c r="J506" s="315">
        <v>15</v>
      </c>
      <c r="K506" s="908">
        <v>11</v>
      </c>
      <c r="L506" s="909">
        <v>6</v>
      </c>
      <c r="M506" s="412">
        <v>11</v>
      </c>
      <c r="N506" s="431">
        <v>1</v>
      </c>
      <c r="O506" s="248"/>
      <c r="P506" s="248"/>
    </row>
    <row r="507" spans="1:16" ht="18.25" customHeight="1" outlineLevel="2">
      <c r="B507" s="5" t="s">
        <v>11</v>
      </c>
      <c r="C507" s="6" t="s">
        <v>149</v>
      </c>
      <c r="D507" s="7" t="s">
        <v>54</v>
      </c>
      <c r="E507" s="8">
        <v>0</v>
      </c>
      <c r="F507" s="9">
        <v>0</v>
      </c>
      <c r="G507" s="8">
        <v>1</v>
      </c>
      <c r="H507" s="10">
        <v>16124</v>
      </c>
      <c r="I507" s="310">
        <v>1</v>
      </c>
      <c r="J507" s="406">
        <v>0</v>
      </c>
      <c r="K507" s="319">
        <v>0</v>
      </c>
      <c r="L507" s="424"/>
      <c r="M507" s="410">
        <v>0</v>
      </c>
      <c r="N507" s="429"/>
    </row>
    <row r="508" spans="1:16" ht="18.25" customHeight="1" outlineLevel="2">
      <c r="B508" s="41" t="s">
        <v>11</v>
      </c>
      <c r="C508" s="39" t="s">
        <v>762</v>
      </c>
      <c r="D508" s="23" t="s">
        <v>17</v>
      </c>
      <c r="E508" s="8">
        <v>0</v>
      </c>
      <c r="F508" s="9">
        <v>0</v>
      </c>
      <c r="G508" s="8">
        <v>2</v>
      </c>
      <c r="H508" s="10">
        <v>91457</v>
      </c>
      <c r="I508" s="310">
        <v>1</v>
      </c>
      <c r="J508" s="406">
        <v>1</v>
      </c>
      <c r="K508" s="319">
        <v>1</v>
      </c>
      <c r="L508" s="424">
        <v>1</v>
      </c>
      <c r="M508" s="410">
        <v>1</v>
      </c>
      <c r="N508" s="429"/>
    </row>
    <row r="509" spans="1:16" ht="18.25" customHeight="1" outlineLevel="2">
      <c r="B509" s="41" t="s">
        <v>11</v>
      </c>
      <c r="C509" s="39" t="s">
        <v>754</v>
      </c>
      <c r="D509" s="23" t="s">
        <v>17</v>
      </c>
      <c r="E509" s="8">
        <v>0</v>
      </c>
      <c r="F509" s="9">
        <v>0</v>
      </c>
      <c r="G509" s="8">
        <v>0</v>
      </c>
      <c r="H509" s="10">
        <v>0</v>
      </c>
      <c r="I509" s="310">
        <v>0</v>
      </c>
      <c r="J509" s="406">
        <v>0</v>
      </c>
      <c r="K509" s="319">
        <v>0</v>
      </c>
      <c r="L509" s="424">
        <v>1</v>
      </c>
      <c r="M509" s="410">
        <v>0</v>
      </c>
      <c r="N509" s="429"/>
    </row>
    <row r="510" spans="1:16" s="48" customFormat="1" ht="18.25" customHeight="1" outlineLevel="2">
      <c r="A510" s="578"/>
      <c r="B510" s="41" t="s">
        <v>489</v>
      </c>
      <c r="C510" s="39" t="s">
        <v>716</v>
      </c>
      <c r="D510" s="23" t="s">
        <v>27</v>
      </c>
      <c r="E510" s="42">
        <v>0</v>
      </c>
      <c r="F510" s="43">
        <v>0</v>
      </c>
      <c r="G510" s="42">
        <v>0</v>
      </c>
      <c r="H510" s="44">
        <v>0</v>
      </c>
      <c r="I510" s="313">
        <v>0</v>
      </c>
      <c r="J510" s="409">
        <v>0</v>
      </c>
      <c r="K510" s="319">
        <v>0</v>
      </c>
      <c r="L510" s="424">
        <v>0</v>
      </c>
      <c r="M510" s="410">
        <v>0</v>
      </c>
      <c r="N510" s="435"/>
      <c r="O510" s="250"/>
      <c r="P510" s="250"/>
    </row>
    <row r="511" spans="1:16" s="48" customFormat="1" ht="18.25" customHeight="1" outlineLevel="2">
      <c r="A511" s="578"/>
      <c r="B511" s="41" t="s">
        <v>489</v>
      </c>
      <c r="C511" s="39" t="s">
        <v>158</v>
      </c>
      <c r="D511" s="23" t="s">
        <v>27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9">
        <v>0</v>
      </c>
      <c r="K511" s="319">
        <v>0</v>
      </c>
      <c r="L511" s="424">
        <v>0</v>
      </c>
      <c r="M511" s="410">
        <v>0</v>
      </c>
      <c r="N511" s="435"/>
      <c r="O511" s="250"/>
      <c r="P511" s="250"/>
    </row>
    <row r="512" spans="1:16" s="48" customFormat="1" ht="18.25" customHeight="1" outlineLevel="2">
      <c r="A512" s="578"/>
      <c r="B512" s="41" t="s">
        <v>489</v>
      </c>
      <c r="C512" s="39" t="s">
        <v>61</v>
      </c>
      <c r="D512" s="23" t="s">
        <v>27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9">
        <v>0</v>
      </c>
      <c r="K512" s="319">
        <v>0</v>
      </c>
      <c r="L512" s="424">
        <v>0</v>
      </c>
      <c r="M512" s="410">
        <v>0</v>
      </c>
      <c r="N512" s="435"/>
      <c r="O512" s="250"/>
      <c r="P512" s="250"/>
    </row>
    <row r="513" spans="1:19" s="48" customFormat="1" ht="18.25" customHeight="1" outlineLevel="2">
      <c r="A513" s="578"/>
      <c r="B513" s="41" t="s">
        <v>489</v>
      </c>
      <c r="C513" s="39" t="s">
        <v>351</v>
      </c>
      <c r="D513" s="23" t="s">
        <v>27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9">
        <v>0</v>
      </c>
      <c r="K513" s="319">
        <v>0</v>
      </c>
      <c r="L513" s="424">
        <v>0</v>
      </c>
      <c r="M513" s="410">
        <v>0</v>
      </c>
      <c r="N513" s="435"/>
      <c r="O513" s="250"/>
      <c r="P513" s="250"/>
    </row>
    <row r="514" spans="1:19" ht="18.25" customHeight="1" outlineLevel="2">
      <c r="B514" s="5" t="s">
        <v>11</v>
      </c>
      <c r="C514" s="39" t="s">
        <v>508</v>
      </c>
      <c r="D514" s="7" t="s">
        <v>17</v>
      </c>
      <c r="E514" s="8">
        <v>0</v>
      </c>
      <c r="F514" s="9">
        <v>0</v>
      </c>
      <c r="G514" s="8">
        <v>0</v>
      </c>
      <c r="H514" s="10">
        <v>0</v>
      </c>
      <c r="I514" s="310">
        <v>0</v>
      </c>
      <c r="J514" s="406">
        <v>0</v>
      </c>
      <c r="K514" s="319">
        <v>0</v>
      </c>
      <c r="L514" s="424">
        <v>0</v>
      </c>
      <c r="M514" s="410">
        <v>0</v>
      </c>
      <c r="N514" s="429"/>
    </row>
    <row r="515" spans="1:19" ht="18.25" customHeight="1" outlineLevel="2">
      <c r="B515" s="5" t="s">
        <v>11</v>
      </c>
      <c r="C515" s="6" t="s">
        <v>297</v>
      </c>
      <c r="D515" s="7" t="s">
        <v>188</v>
      </c>
      <c r="E515" s="8">
        <v>0</v>
      </c>
      <c r="F515" s="9">
        <v>0</v>
      </c>
      <c r="G515" s="8">
        <v>1</v>
      </c>
      <c r="H515" s="10">
        <v>75428</v>
      </c>
      <c r="I515" s="310">
        <v>1</v>
      </c>
      <c r="J515" s="406">
        <v>1</v>
      </c>
      <c r="K515" s="319">
        <v>1</v>
      </c>
      <c r="L515" s="424">
        <v>0</v>
      </c>
      <c r="M515" s="410">
        <v>1</v>
      </c>
      <c r="N515" s="429"/>
    </row>
    <row r="516" spans="1:19" ht="18.25" customHeight="1" outlineLevel="2">
      <c r="B516" s="5" t="s">
        <v>11</v>
      </c>
      <c r="C516" s="6" t="s">
        <v>327</v>
      </c>
      <c r="D516" s="7" t="s">
        <v>17</v>
      </c>
      <c r="E516" s="8">
        <v>0</v>
      </c>
      <c r="F516" s="9">
        <v>0</v>
      </c>
      <c r="G516" s="8">
        <v>2</v>
      </c>
      <c r="H516" s="10">
        <v>949</v>
      </c>
      <c r="I516" s="310">
        <v>1</v>
      </c>
      <c r="J516" s="406">
        <v>0</v>
      </c>
      <c r="K516" s="319">
        <v>0</v>
      </c>
      <c r="L516" s="424">
        <v>0</v>
      </c>
      <c r="M516" s="410">
        <v>0</v>
      </c>
      <c r="N516" s="429"/>
    </row>
    <row r="517" spans="1:19" ht="18.25" customHeight="1" outlineLevel="2">
      <c r="B517" s="5" t="s">
        <v>11</v>
      </c>
      <c r="C517" s="6" t="s">
        <v>151</v>
      </c>
      <c r="D517" s="7" t="s">
        <v>17</v>
      </c>
      <c r="E517" s="8">
        <v>0</v>
      </c>
      <c r="F517" s="9">
        <v>0</v>
      </c>
      <c r="G517" s="8">
        <v>0</v>
      </c>
      <c r="H517" s="10">
        <v>0</v>
      </c>
      <c r="I517" s="310">
        <v>0</v>
      </c>
      <c r="J517" s="406">
        <v>0</v>
      </c>
      <c r="K517" s="319">
        <v>0</v>
      </c>
      <c r="L517" s="424">
        <v>0</v>
      </c>
      <c r="M517" s="410">
        <v>0</v>
      </c>
      <c r="N517" s="429"/>
    </row>
    <row r="518" spans="1:19" ht="18.25" customHeight="1" outlineLevel="2">
      <c r="B518" s="5" t="s">
        <v>11</v>
      </c>
      <c r="C518" s="6" t="s">
        <v>152</v>
      </c>
      <c r="D518" s="7" t="s">
        <v>17</v>
      </c>
      <c r="E518" s="8">
        <v>0</v>
      </c>
      <c r="F518" s="9">
        <v>0</v>
      </c>
      <c r="G518" s="8">
        <v>0</v>
      </c>
      <c r="H518" s="10">
        <v>0</v>
      </c>
      <c r="I518" s="310">
        <v>0</v>
      </c>
      <c r="J518" s="406">
        <v>0</v>
      </c>
      <c r="K518" s="319">
        <v>0</v>
      </c>
      <c r="L518" s="424">
        <v>0</v>
      </c>
      <c r="M518" s="410">
        <v>0</v>
      </c>
      <c r="N518" s="429"/>
    </row>
    <row r="519" spans="1:19" ht="18.25" customHeight="1" outlineLevel="2">
      <c r="B519" s="5" t="s">
        <v>11</v>
      </c>
      <c r="C519" s="18" t="s">
        <v>150</v>
      </c>
      <c r="D519" s="7" t="s">
        <v>17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6">
        <v>0</v>
      </c>
      <c r="K519" s="319">
        <v>0</v>
      </c>
      <c r="L519" s="424">
        <v>0</v>
      </c>
      <c r="M519" s="410">
        <v>0</v>
      </c>
      <c r="N519" s="429"/>
    </row>
    <row r="520" spans="1:19" ht="18.25" customHeight="1" outlineLevel="2">
      <c r="B520" s="5" t="s">
        <v>11</v>
      </c>
      <c r="C520" s="22" t="s">
        <v>201</v>
      </c>
      <c r="D520" s="7" t="s">
        <v>39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6">
        <v>0</v>
      </c>
      <c r="K520" s="319">
        <v>0</v>
      </c>
      <c r="L520" s="424">
        <v>0</v>
      </c>
      <c r="M520" s="410">
        <v>0</v>
      </c>
      <c r="N520" s="429"/>
    </row>
    <row r="521" spans="1:19" s="1" customFormat="1" ht="18.25" customHeight="1" outlineLevel="2">
      <c r="A521" s="576"/>
      <c r="B521" s="5" t="s">
        <v>489</v>
      </c>
      <c r="C521" s="22" t="s">
        <v>349</v>
      </c>
      <c r="D521" s="7" t="s">
        <v>27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6">
        <v>0</v>
      </c>
      <c r="K521" s="319">
        <v>0</v>
      </c>
      <c r="L521" s="424">
        <v>0</v>
      </c>
      <c r="M521" s="410">
        <v>0</v>
      </c>
      <c r="N521" s="429"/>
      <c r="Q521"/>
      <c r="R521"/>
      <c r="S521"/>
    </row>
    <row r="522" spans="1:19" s="1" customFormat="1" ht="18.25" customHeight="1" outlineLevel="2">
      <c r="A522" s="576"/>
      <c r="B522" s="5" t="s">
        <v>11</v>
      </c>
      <c r="C522" s="18" t="s">
        <v>60</v>
      </c>
      <c r="D522" s="7" t="s">
        <v>27</v>
      </c>
      <c r="E522" s="8">
        <v>0</v>
      </c>
      <c r="F522" s="9">
        <v>0</v>
      </c>
      <c r="G522" s="8">
        <v>1</v>
      </c>
      <c r="H522" s="10">
        <v>6326</v>
      </c>
      <c r="I522" s="310">
        <v>1</v>
      </c>
      <c r="J522" s="406">
        <v>0</v>
      </c>
      <c r="K522" s="319">
        <v>0</v>
      </c>
      <c r="L522" s="424">
        <v>0</v>
      </c>
      <c r="M522" s="410">
        <v>0</v>
      </c>
      <c r="N522" s="429"/>
      <c r="Q522"/>
      <c r="R522"/>
      <c r="S522"/>
    </row>
    <row r="523" spans="1:19" s="1" customFormat="1" ht="18.25" customHeight="1" outlineLevel="2">
      <c r="A523" s="576"/>
      <c r="B523" s="5" t="s">
        <v>6</v>
      </c>
      <c r="C523" s="18" t="s">
        <v>771</v>
      </c>
      <c r="D523" s="7" t="s">
        <v>17</v>
      </c>
      <c r="E523" s="8">
        <v>0</v>
      </c>
      <c r="F523" s="9">
        <v>0</v>
      </c>
      <c r="G523" s="8">
        <v>0.5</v>
      </c>
      <c r="H523" s="10">
        <v>8683</v>
      </c>
      <c r="I523" s="310">
        <v>1</v>
      </c>
      <c r="J523" s="406">
        <v>0</v>
      </c>
      <c r="K523" s="319">
        <v>0</v>
      </c>
      <c r="L523" s="424">
        <v>1</v>
      </c>
      <c r="M523" s="410">
        <v>0</v>
      </c>
      <c r="N523" s="429"/>
      <c r="Q523"/>
      <c r="R523"/>
      <c r="S523"/>
    </row>
    <row r="524" spans="1:19" s="1" customFormat="1" ht="18.25" customHeight="1" outlineLevel="2">
      <c r="A524" s="576"/>
      <c r="B524" s="5" t="s">
        <v>6</v>
      </c>
      <c r="C524" s="6" t="s">
        <v>52</v>
      </c>
      <c r="D524" s="7" t="s">
        <v>17</v>
      </c>
      <c r="E524" s="8">
        <v>0</v>
      </c>
      <c r="F524" s="9">
        <v>0</v>
      </c>
      <c r="G524" s="8">
        <v>5</v>
      </c>
      <c r="H524" s="10">
        <v>54892</v>
      </c>
      <c r="I524" s="310">
        <v>1</v>
      </c>
      <c r="J524" s="406">
        <v>1</v>
      </c>
      <c r="K524" s="319">
        <v>1</v>
      </c>
      <c r="L524" s="424">
        <v>0</v>
      </c>
      <c r="M524" s="410">
        <v>1</v>
      </c>
      <c r="N524" s="429"/>
      <c r="Q524"/>
      <c r="R524"/>
      <c r="S524"/>
    </row>
    <row r="525" spans="1:19" s="1" customFormat="1" ht="18.25" customHeight="1" outlineLevel="2">
      <c r="A525" s="576"/>
      <c r="B525" s="5" t="s">
        <v>6</v>
      </c>
      <c r="C525" s="6" t="s">
        <v>232</v>
      </c>
      <c r="D525" s="7" t="s">
        <v>17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6">
        <v>0</v>
      </c>
      <c r="K525" s="319">
        <v>0</v>
      </c>
      <c r="L525" s="424">
        <v>0</v>
      </c>
      <c r="M525" s="410">
        <v>0</v>
      </c>
      <c r="N525" s="429"/>
      <c r="Q525"/>
      <c r="R525"/>
      <c r="S525"/>
    </row>
    <row r="526" spans="1:19" s="1" customFormat="1" ht="18.25" customHeight="1" outlineLevel="2">
      <c r="A526" s="576"/>
      <c r="B526" s="5" t="s">
        <v>6</v>
      </c>
      <c r="C526" s="6" t="s">
        <v>41</v>
      </c>
      <c r="D526" s="7" t="s">
        <v>17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6">
        <v>0</v>
      </c>
      <c r="K526" s="319">
        <v>0</v>
      </c>
      <c r="L526" s="424">
        <v>0</v>
      </c>
      <c r="M526" s="410">
        <v>0</v>
      </c>
      <c r="N526" s="429"/>
      <c r="Q526"/>
      <c r="R526"/>
      <c r="S526"/>
    </row>
    <row r="527" spans="1:19" s="1" customFormat="1" ht="18.25" customHeight="1" outlineLevel="2">
      <c r="A527" s="576"/>
      <c r="B527" s="5" t="s">
        <v>6</v>
      </c>
      <c r="C527" s="18" t="s">
        <v>42</v>
      </c>
      <c r="D527" s="7" t="s">
        <v>17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6">
        <v>0</v>
      </c>
      <c r="K527" s="319">
        <v>0</v>
      </c>
      <c r="L527" s="424">
        <v>0</v>
      </c>
      <c r="M527" s="410">
        <v>0</v>
      </c>
      <c r="N527" s="429"/>
      <c r="Q527"/>
      <c r="R527"/>
      <c r="S527"/>
    </row>
    <row r="528" spans="1:19" s="1" customFormat="1" ht="18.25" customHeight="1" outlineLevel="2">
      <c r="A528" s="576"/>
      <c r="B528" s="5" t="s">
        <v>6</v>
      </c>
      <c r="C528" s="18" t="s">
        <v>43</v>
      </c>
      <c r="D528" s="7" t="s">
        <v>17</v>
      </c>
      <c r="E528" s="8">
        <v>0</v>
      </c>
      <c r="F528" s="9">
        <v>0</v>
      </c>
      <c r="G528" s="8">
        <v>1</v>
      </c>
      <c r="H528" s="10">
        <v>1650</v>
      </c>
      <c r="I528" s="310">
        <v>1</v>
      </c>
      <c r="J528" s="406">
        <v>0</v>
      </c>
      <c r="K528" s="319">
        <v>0</v>
      </c>
      <c r="L528" s="424">
        <v>0</v>
      </c>
      <c r="M528" s="410">
        <v>0</v>
      </c>
      <c r="N528" s="429"/>
      <c r="Q528"/>
      <c r="R528"/>
      <c r="S528"/>
    </row>
    <row r="529" spans="1:19" s="1" customFormat="1" ht="18.25" customHeight="1" outlineLevel="2">
      <c r="A529" s="576"/>
      <c r="B529" s="5" t="s">
        <v>6</v>
      </c>
      <c r="C529" s="6" t="s">
        <v>38</v>
      </c>
      <c r="D529" s="7" t="s">
        <v>17</v>
      </c>
      <c r="E529" s="8">
        <v>0</v>
      </c>
      <c r="F529" s="9">
        <v>0</v>
      </c>
      <c r="G529" s="8">
        <v>7</v>
      </c>
      <c r="H529" s="10">
        <v>188848</v>
      </c>
      <c r="I529" s="310">
        <v>1</v>
      </c>
      <c r="J529" s="406">
        <v>1</v>
      </c>
      <c r="K529" s="319">
        <v>1</v>
      </c>
      <c r="L529" s="424">
        <v>0</v>
      </c>
      <c r="M529" s="410">
        <v>1</v>
      </c>
      <c r="N529" s="429"/>
      <c r="Q529"/>
      <c r="R529"/>
      <c r="S529"/>
    </row>
    <row r="530" spans="1:19" s="1" customFormat="1" ht="18.25" customHeight="1" outlineLevel="1">
      <c r="A530" s="576"/>
      <c r="B530" s="12" t="s">
        <v>11</v>
      </c>
      <c r="C530" s="13" t="s">
        <v>153</v>
      </c>
      <c r="D530" s="14">
        <v>23</v>
      </c>
      <c r="E530" s="15">
        <v>0</v>
      </c>
      <c r="F530" s="16">
        <v>0</v>
      </c>
      <c r="G530" s="15">
        <v>20.5</v>
      </c>
      <c r="H530" s="17">
        <v>444357</v>
      </c>
      <c r="I530" s="311">
        <v>9</v>
      </c>
      <c r="J530" s="312">
        <v>4</v>
      </c>
      <c r="K530" s="906">
        <v>4</v>
      </c>
      <c r="L530" s="907">
        <v>3</v>
      </c>
      <c r="M530" s="411">
        <v>4</v>
      </c>
      <c r="N530" s="430">
        <v>1</v>
      </c>
      <c r="O530" s="1" t="s">
        <v>167</v>
      </c>
      <c r="Q530"/>
      <c r="R530"/>
      <c r="S530"/>
    </row>
    <row r="531" spans="1:19" s="1" customFormat="1" ht="18.25" customHeight="1" outlineLevel="2">
      <c r="A531" s="576"/>
      <c r="B531" s="5" t="s">
        <v>4</v>
      </c>
      <c r="C531" s="6" t="s">
        <v>911</v>
      </c>
      <c r="D531" s="7" t="s">
        <v>189</v>
      </c>
      <c r="E531" s="8">
        <v>0</v>
      </c>
      <c r="F531" s="9">
        <v>0</v>
      </c>
      <c r="G531" s="8">
        <v>1</v>
      </c>
      <c r="H531" s="10">
        <v>10425</v>
      </c>
      <c r="I531" s="310">
        <v>1</v>
      </c>
      <c r="J531" s="406">
        <v>0</v>
      </c>
      <c r="K531" s="319">
        <v>0</v>
      </c>
      <c r="L531" s="424"/>
      <c r="M531" s="410">
        <v>0</v>
      </c>
      <c r="N531" s="429"/>
      <c r="Q531"/>
      <c r="R531"/>
      <c r="S531"/>
    </row>
    <row r="532" spans="1:19" s="1" customFormat="1" ht="18.25" customHeight="1" outlineLevel="1">
      <c r="A532" s="576"/>
      <c r="B532" s="12" t="s">
        <v>4</v>
      </c>
      <c r="C532" s="13" t="s">
        <v>911</v>
      </c>
      <c r="D532" s="14">
        <v>1</v>
      </c>
      <c r="E532" s="15">
        <v>0</v>
      </c>
      <c r="F532" s="16">
        <v>0</v>
      </c>
      <c r="G532" s="15">
        <v>1</v>
      </c>
      <c r="H532" s="17">
        <v>10425</v>
      </c>
      <c r="I532" s="311">
        <v>1</v>
      </c>
      <c r="J532" s="312">
        <v>0</v>
      </c>
      <c r="K532" s="906">
        <v>0</v>
      </c>
      <c r="L532" s="907">
        <v>0</v>
      </c>
      <c r="M532" s="411">
        <v>0</v>
      </c>
      <c r="N532" s="430">
        <v>0</v>
      </c>
      <c r="O532" s="1" t="s">
        <v>169</v>
      </c>
      <c r="Q532"/>
      <c r="R532"/>
      <c r="S532"/>
    </row>
    <row r="533" spans="1:19" s="1" customFormat="1" ht="18.25" customHeight="1" outlineLevel="2">
      <c r="A533" s="576"/>
      <c r="B533" s="5" t="s">
        <v>4</v>
      </c>
      <c r="C533" s="6" t="s">
        <v>300</v>
      </c>
      <c r="D533" s="7" t="s">
        <v>189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6">
        <v>0</v>
      </c>
      <c r="K533" s="319">
        <v>0</v>
      </c>
      <c r="L533" s="424"/>
      <c r="M533" s="410">
        <v>0</v>
      </c>
      <c r="N533" s="429"/>
      <c r="Q533"/>
      <c r="R533"/>
      <c r="S533"/>
    </row>
    <row r="534" spans="1:19" s="1" customFormat="1" ht="18.25" customHeight="1" outlineLevel="2">
      <c r="A534" s="576"/>
      <c r="B534" s="5" t="s">
        <v>4</v>
      </c>
      <c r="C534" s="6" t="s">
        <v>710</v>
      </c>
      <c r="D534" s="7" t="s">
        <v>27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6">
        <v>0</v>
      </c>
      <c r="K534" s="319">
        <v>0</v>
      </c>
      <c r="L534" s="424">
        <v>0</v>
      </c>
      <c r="M534" s="410">
        <v>0</v>
      </c>
      <c r="N534" s="429"/>
      <c r="Q534"/>
      <c r="R534"/>
      <c r="S534"/>
    </row>
    <row r="535" spans="1:19" s="1" customFormat="1" ht="18.25" customHeight="1" outlineLevel="2">
      <c r="A535" s="576"/>
      <c r="B535" s="5" t="s">
        <v>4</v>
      </c>
      <c r="C535" s="74" t="s">
        <v>863</v>
      </c>
      <c r="D535" s="45"/>
      <c r="E535" s="8">
        <v>0</v>
      </c>
      <c r="F535" s="9">
        <v>0</v>
      </c>
      <c r="G535" s="8">
        <v>0</v>
      </c>
      <c r="H535" s="10">
        <v>0</v>
      </c>
      <c r="I535" s="318"/>
      <c r="J535" s="408"/>
      <c r="K535" s="319"/>
      <c r="L535" s="424"/>
      <c r="M535" s="415"/>
      <c r="N535" s="438"/>
      <c r="Q535"/>
      <c r="R535"/>
      <c r="S535"/>
    </row>
    <row r="536" spans="1:19" s="1" customFormat="1" ht="18.25" customHeight="1" outlineLevel="2">
      <c r="A536" s="576"/>
      <c r="B536" s="5" t="s">
        <v>4</v>
      </c>
      <c r="C536" s="6" t="s">
        <v>896</v>
      </c>
      <c r="D536" s="7" t="s">
        <v>27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6">
        <v>0</v>
      </c>
      <c r="K536" s="319">
        <v>0</v>
      </c>
      <c r="L536" s="424">
        <v>1</v>
      </c>
      <c r="M536" s="410">
        <v>0</v>
      </c>
      <c r="N536" s="429"/>
      <c r="Q536"/>
      <c r="R536"/>
      <c r="S536"/>
    </row>
    <row r="537" spans="1:19" s="1" customFormat="1" ht="18.25" customHeight="1" outlineLevel="1">
      <c r="A537" s="576"/>
      <c r="B537" s="12" t="s">
        <v>4</v>
      </c>
      <c r="C537" s="13" t="s">
        <v>300</v>
      </c>
      <c r="D537" s="14">
        <v>3</v>
      </c>
      <c r="E537" s="15">
        <v>0</v>
      </c>
      <c r="F537" s="16">
        <v>0</v>
      </c>
      <c r="G537" s="15">
        <v>0</v>
      </c>
      <c r="H537" s="17">
        <v>0</v>
      </c>
      <c r="I537" s="311">
        <v>0</v>
      </c>
      <c r="J537" s="312">
        <v>0</v>
      </c>
      <c r="K537" s="906">
        <v>0</v>
      </c>
      <c r="L537" s="907">
        <v>1</v>
      </c>
      <c r="M537" s="411">
        <v>0</v>
      </c>
      <c r="N537" s="430">
        <v>0</v>
      </c>
      <c r="O537" s="1" t="s">
        <v>169</v>
      </c>
      <c r="Q537"/>
      <c r="R537"/>
      <c r="S537"/>
    </row>
    <row r="538" spans="1:19" s="1" customFormat="1" ht="18.25" customHeight="1" outlineLevel="2">
      <c r="A538" s="576"/>
      <c r="B538" s="5" t="s">
        <v>4</v>
      </c>
      <c r="C538" s="6" t="s">
        <v>510</v>
      </c>
      <c r="D538" s="7" t="s">
        <v>20</v>
      </c>
      <c r="E538" s="8">
        <v>0</v>
      </c>
      <c r="F538" s="9">
        <v>0</v>
      </c>
      <c r="G538" s="8">
        <v>1</v>
      </c>
      <c r="H538" s="10">
        <v>212711</v>
      </c>
      <c r="I538" s="310">
        <v>1</v>
      </c>
      <c r="J538" s="406">
        <v>1</v>
      </c>
      <c r="K538" s="319">
        <v>1</v>
      </c>
      <c r="L538" s="424"/>
      <c r="M538" s="410">
        <v>1</v>
      </c>
      <c r="N538" s="429"/>
      <c r="Q538"/>
      <c r="R538"/>
      <c r="S538"/>
    </row>
    <row r="539" spans="1:19" s="1" customFormat="1" ht="18.25" customHeight="1" outlineLevel="2">
      <c r="A539" s="576"/>
      <c r="B539" s="5" t="s">
        <v>4</v>
      </c>
      <c r="C539" s="6" t="s">
        <v>704</v>
      </c>
      <c r="D539" s="7" t="s">
        <v>17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6">
        <v>0</v>
      </c>
      <c r="K539" s="319">
        <v>0</v>
      </c>
      <c r="L539" s="424">
        <v>0</v>
      </c>
      <c r="M539" s="410">
        <v>0</v>
      </c>
      <c r="N539" s="429"/>
      <c r="Q539"/>
      <c r="R539"/>
      <c r="S539"/>
    </row>
    <row r="540" spans="1:19" s="1" customFormat="1" ht="18.25" customHeight="1" outlineLevel="2">
      <c r="A540" s="576"/>
      <c r="B540" s="5" t="s">
        <v>4</v>
      </c>
      <c r="C540" s="6" t="s">
        <v>735</v>
      </c>
      <c r="D540" s="7" t="s">
        <v>17</v>
      </c>
      <c r="E540" s="8">
        <v>0</v>
      </c>
      <c r="F540" s="9">
        <v>0</v>
      </c>
      <c r="G540" s="8">
        <v>0</v>
      </c>
      <c r="H540" s="10">
        <v>0</v>
      </c>
      <c r="I540" s="310">
        <v>0</v>
      </c>
      <c r="J540" s="406">
        <v>0</v>
      </c>
      <c r="K540" s="319">
        <v>0</v>
      </c>
      <c r="L540" s="424">
        <v>0</v>
      </c>
      <c r="M540" s="410">
        <v>0</v>
      </c>
      <c r="N540" s="429"/>
      <c r="Q540"/>
      <c r="R540"/>
      <c r="S540"/>
    </row>
    <row r="541" spans="1:19" s="1" customFormat="1" ht="18.25" customHeight="1" outlineLevel="1">
      <c r="A541" s="576"/>
      <c r="B541" s="12" t="s">
        <v>4</v>
      </c>
      <c r="C541" s="13" t="s">
        <v>510</v>
      </c>
      <c r="D541" s="14">
        <v>3</v>
      </c>
      <c r="E541" s="15">
        <v>0</v>
      </c>
      <c r="F541" s="16">
        <v>0</v>
      </c>
      <c r="G541" s="15">
        <v>1</v>
      </c>
      <c r="H541" s="17">
        <v>212711</v>
      </c>
      <c r="I541" s="311">
        <v>1</v>
      </c>
      <c r="J541" s="312">
        <v>1</v>
      </c>
      <c r="K541" s="906">
        <v>1</v>
      </c>
      <c r="L541" s="907">
        <v>0</v>
      </c>
      <c r="M541" s="411">
        <v>1</v>
      </c>
      <c r="N541" s="430">
        <v>1</v>
      </c>
      <c r="O541" s="1" t="s">
        <v>169</v>
      </c>
      <c r="Q541"/>
      <c r="R541"/>
      <c r="S541"/>
    </row>
    <row r="542" spans="1:19" s="1" customFormat="1" ht="18.25" customHeight="1" outlineLevel="2">
      <c r="A542" s="576"/>
      <c r="B542" s="5" t="s">
        <v>4</v>
      </c>
      <c r="C542" s="6" t="s">
        <v>28</v>
      </c>
      <c r="D542" s="7" t="s">
        <v>20</v>
      </c>
      <c r="E542" s="8">
        <v>0</v>
      </c>
      <c r="F542" s="9">
        <v>0</v>
      </c>
      <c r="G542" s="8">
        <v>0</v>
      </c>
      <c r="H542" s="10">
        <v>0</v>
      </c>
      <c r="I542" s="310">
        <v>0</v>
      </c>
      <c r="J542" s="406">
        <v>0</v>
      </c>
      <c r="K542" s="319">
        <v>0</v>
      </c>
      <c r="L542" s="424"/>
      <c r="M542" s="410">
        <v>0</v>
      </c>
      <c r="N542" s="429"/>
      <c r="Q542"/>
      <c r="R542"/>
      <c r="S542"/>
    </row>
    <row r="543" spans="1:19" s="1" customFormat="1" ht="18.25" customHeight="1" outlineLevel="2">
      <c r="A543" s="576"/>
      <c r="B543" s="5" t="s">
        <v>4</v>
      </c>
      <c r="C543" s="6" t="s">
        <v>626</v>
      </c>
      <c r="D543" s="7" t="s">
        <v>17</v>
      </c>
      <c r="E543" s="8">
        <v>0</v>
      </c>
      <c r="F543" s="9">
        <v>0</v>
      </c>
      <c r="G543" s="8">
        <v>0</v>
      </c>
      <c r="H543" s="10">
        <v>0</v>
      </c>
      <c r="I543" s="310">
        <v>0</v>
      </c>
      <c r="J543" s="406">
        <v>0</v>
      </c>
      <c r="K543" s="319">
        <v>0</v>
      </c>
      <c r="L543" s="424">
        <v>0</v>
      </c>
      <c r="M543" s="410">
        <v>0</v>
      </c>
      <c r="N543" s="429"/>
      <c r="Q543"/>
      <c r="R543"/>
      <c r="S543"/>
    </row>
    <row r="544" spans="1:19" s="1" customFormat="1" ht="18.25" customHeight="1" outlineLevel="1">
      <c r="A544" s="576"/>
      <c r="B544" s="12" t="s">
        <v>4</v>
      </c>
      <c r="C544" s="13" t="s">
        <v>28</v>
      </c>
      <c r="D544" s="14">
        <v>2</v>
      </c>
      <c r="E544" s="15">
        <v>0</v>
      </c>
      <c r="F544" s="16">
        <v>0</v>
      </c>
      <c r="G544" s="15">
        <v>0</v>
      </c>
      <c r="H544" s="17">
        <v>0</v>
      </c>
      <c r="I544" s="311">
        <v>0</v>
      </c>
      <c r="J544" s="312">
        <v>0</v>
      </c>
      <c r="K544" s="906">
        <v>0</v>
      </c>
      <c r="L544" s="907">
        <v>0</v>
      </c>
      <c r="M544" s="411">
        <v>0</v>
      </c>
      <c r="N544" s="430">
        <v>0</v>
      </c>
      <c r="O544" s="1" t="s">
        <v>169</v>
      </c>
      <c r="Q544"/>
      <c r="R544"/>
      <c r="S544"/>
    </row>
    <row r="545" spans="1:19" s="1" customFormat="1" ht="18.25" customHeight="1" outlineLevel="2">
      <c r="A545" s="576"/>
      <c r="B545" s="5" t="s">
        <v>4</v>
      </c>
      <c r="C545" s="6" t="s">
        <v>33</v>
      </c>
      <c r="D545" s="7" t="s">
        <v>40</v>
      </c>
      <c r="E545" s="8">
        <v>0</v>
      </c>
      <c r="F545" s="9">
        <v>0</v>
      </c>
      <c r="G545" s="8">
        <v>2</v>
      </c>
      <c r="H545" s="10">
        <v>34000</v>
      </c>
      <c r="I545" s="310">
        <v>1</v>
      </c>
      <c r="J545" s="406">
        <v>1</v>
      </c>
      <c r="K545" s="319">
        <v>1</v>
      </c>
      <c r="L545" s="424"/>
      <c r="M545" s="410">
        <v>1</v>
      </c>
      <c r="N545" s="429"/>
      <c r="Q545"/>
      <c r="R545"/>
      <c r="S545"/>
    </row>
    <row r="546" spans="1:19" s="1" customFormat="1" ht="18.25" customHeight="1" outlineLevel="2">
      <c r="A546" s="576"/>
      <c r="B546" s="5" t="s">
        <v>4</v>
      </c>
      <c r="C546" s="6" t="s">
        <v>18</v>
      </c>
      <c r="D546" s="7" t="s">
        <v>17</v>
      </c>
      <c r="E546" s="8">
        <v>0</v>
      </c>
      <c r="F546" s="9">
        <v>0</v>
      </c>
      <c r="G546" s="8">
        <v>1.5</v>
      </c>
      <c r="H546" s="10">
        <v>13512</v>
      </c>
      <c r="I546" s="310">
        <v>1</v>
      </c>
      <c r="J546" s="406">
        <v>1</v>
      </c>
      <c r="K546" s="319">
        <v>0</v>
      </c>
      <c r="L546" s="424">
        <v>0</v>
      </c>
      <c r="M546" s="410">
        <v>0</v>
      </c>
      <c r="N546" s="429"/>
      <c r="Q546"/>
      <c r="R546"/>
      <c r="S546"/>
    </row>
    <row r="547" spans="1:19" s="1" customFormat="1" ht="18.25" customHeight="1" outlineLevel="1">
      <c r="A547" s="576"/>
      <c r="B547" s="12" t="s">
        <v>4</v>
      </c>
      <c r="C547" s="13" t="s">
        <v>33</v>
      </c>
      <c r="D547" s="14">
        <v>2</v>
      </c>
      <c r="E547" s="15">
        <v>0</v>
      </c>
      <c r="F547" s="16">
        <v>0</v>
      </c>
      <c r="G547" s="15">
        <v>3.5</v>
      </c>
      <c r="H547" s="17">
        <v>47512</v>
      </c>
      <c r="I547" s="311">
        <v>2</v>
      </c>
      <c r="J547" s="312">
        <v>2</v>
      </c>
      <c r="K547" s="906">
        <v>1</v>
      </c>
      <c r="L547" s="907">
        <v>0</v>
      </c>
      <c r="M547" s="411">
        <v>1</v>
      </c>
      <c r="N547" s="430">
        <v>0</v>
      </c>
      <c r="O547" s="1" t="s">
        <v>51</v>
      </c>
      <c r="Q547"/>
      <c r="R547"/>
      <c r="S547"/>
    </row>
    <row r="548" spans="1:19" s="1" customFormat="1" ht="18.25" customHeight="1" outlineLevel="2">
      <c r="A548" s="576"/>
      <c r="B548" s="5" t="s">
        <v>4</v>
      </c>
      <c r="C548" s="6" t="s">
        <v>639</v>
      </c>
      <c r="D548" s="7" t="s">
        <v>25</v>
      </c>
      <c r="E548" s="8">
        <v>0</v>
      </c>
      <c r="F548" s="9">
        <v>0</v>
      </c>
      <c r="G548" s="8">
        <v>1.5</v>
      </c>
      <c r="H548" s="10">
        <v>19065</v>
      </c>
      <c r="I548" s="310">
        <v>1</v>
      </c>
      <c r="J548" s="406">
        <v>0</v>
      </c>
      <c r="K548" s="319">
        <v>0</v>
      </c>
      <c r="L548" s="424"/>
      <c r="M548" s="410">
        <v>0</v>
      </c>
      <c r="N548" s="429"/>
      <c r="Q548"/>
      <c r="R548"/>
      <c r="S548"/>
    </row>
    <row r="549" spans="1:19" s="1" customFormat="1" ht="18.25" customHeight="1" outlineLevel="2">
      <c r="A549" s="576"/>
      <c r="B549" s="5" t="s">
        <v>4</v>
      </c>
      <c r="C549" s="6" t="s">
        <v>809</v>
      </c>
      <c r="D549" s="7" t="s">
        <v>27</v>
      </c>
      <c r="E549" s="8">
        <v>0</v>
      </c>
      <c r="F549" s="9">
        <v>0</v>
      </c>
      <c r="G549" s="8">
        <v>3.5</v>
      </c>
      <c r="H549" s="10">
        <v>44057</v>
      </c>
      <c r="I549" s="310">
        <v>1</v>
      </c>
      <c r="J549" s="406">
        <v>1</v>
      </c>
      <c r="K549" s="319">
        <v>1</v>
      </c>
      <c r="L549" s="424">
        <v>1</v>
      </c>
      <c r="M549" s="410">
        <v>1</v>
      </c>
      <c r="N549" s="429"/>
      <c r="Q549"/>
      <c r="R549"/>
      <c r="S549"/>
    </row>
    <row r="550" spans="1:19" s="1" customFormat="1" ht="18.25" customHeight="1" outlineLevel="2">
      <c r="A550" s="576"/>
      <c r="B550" s="5" t="s">
        <v>4</v>
      </c>
      <c r="C550" s="6" t="s">
        <v>784</v>
      </c>
      <c r="D550" s="7" t="s">
        <v>27</v>
      </c>
      <c r="E550" s="8">
        <v>0</v>
      </c>
      <c r="F550" s="9">
        <v>0</v>
      </c>
      <c r="G550" s="8">
        <v>0.5</v>
      </c>
      <c r="H550" s="10">
        <v>16014</v>
      </c>
      <c r="I550" s="310">
        <v>1</v>
      </c>
      <c r="J550" s="406">
        <v>1</v>
      </c>
      <c r="K550" s="319">
        <v>0</v>
      </c>
      <c r="L550" s="424">
        <v>1</v>
      </c>
      <c r="M550" s="410">
        <v>1</v>
      </c>
      <c r="N550" s="429"/>
      <c r="Q550"/>
      <c r="R550"/>
      <c r="S550"/>
    </row>
    <row r="551" spans="1:19" s="1" customFormat="1" ht="18.25" customHeight="1" outlineLevel="1">
      <c r="A551" s="576"/>
      <c r="B551" s="12" t="s">
        <v>4</v>
      </c>
      <c r="C551" s="13" t="s">
        <v>639</v>
      </c>
      <c r="D551" s="14">
        <v>3</v>
      </c>
      <c r="E551" s="15">
        <v>0</v>
      </c>
      <c r="F551" s="16">
        <v>0</v>
      </c>
      <c r="G551" s="15">
        <v>5.5</v>
      </c>
      <c r="H551" s="17">
        <v>79136</v>
      </c>
      <c r="I551" s="311">
        <v>3</v>
      </c>
      <c r="J551" s="312">
        <v>2</v>
      </c>
      <c r="K551" s="906">
        <v>1</v>
      </c>
      <c r="L551" s="907">
        <v>2</v>
      </c>
      <c r="M551" s="411">
        <v>2</v>
      </c>
      <c r="N551" s="430">
        <v>1</v>
      </c>
      <c r="O551" s="1" t="s">
        <v>169</v>
      </c>
      <c r="Q551"/>
      <c r="R551"/>
      <c r="S551"/>
    </row>
    <row r="552" spans="1:19" s="1" customFormat="1" ht="18.25" customHeight="1" outlineLevel="2">
      <c r="A552" s="576"/>
      <c r="B552" s="5" t="s">
        <v>4</v>
      </c>
      <c r="C552" s="39" t="s">
        <v>32</v>
      </c>
      <c r="D552" s="23" t="s">
        <v>22</v>
      </c>
      <c r="E552" s="8">
        <v>0</v>
      </c>
      <c r="F552" s="9">
        <v>0</v>
      </c>
      <c r="G552" s="8">
        <v>2</v>
      </c>
      <c r="H552" s="10">
        <v>24309</v>
      </c>
      <c r="I552" s="310">
        <v>1</v>
      </c>
      <c r="J552" s="406">
        <v>1</v>
      </c>
      <c r="K552" s="319">
        <v>0</v>
      </c>
      <c r="L552" s="424"/>
      <c r="M552" s="410">
        <v>0</v>
      </c>
      <c r="N552" s="429"/>
      <c r="Q552"/>
      <c r="R552"/>
      <c r="S552"/>
    </row>
    <row r="553" spans="1:19" s="1" customFormat="1" ht="18.25" customHeight="1" outlineLevel="2">
      <c r="A553" s="576"/>
      <c r="B553" s="5" t="s">
        <v>4</v>
      </c>
      <c r="C553" s="6" t="s">
        <v>34</v>
      </c>
      <c r="D553" s="7" t="s">
        <v>17</v>
      </c>
      <c r="E553" s="8">
        <v>0</v>
      </c>
      <c r="F553" s="9">
        <v>0</v>
      </c>
      <c r="G553" s="8">
        <v>0</v>
      </c>
      <c r="H553" s="10">
        <v>0</v>
      </c>
      <c r="I553" s="310">
        <v>0</v>
      </c>
      <c r="J553" s="406">
        <v>0</v>
      </c>
      <c r="K553" s="319">
        <v>0</v>
      </c>
      <c r="L553" s="424">
        <v>0</v>
      </c>
      <c r="M553" s="410">
        <v>0</v>
      </c>
      <c r="N553" s="429"/>
      <c r="Q553"/>
      <c r="R553"/>
      <c r="S553"/>
    </row>
    <row r="554" spans="1:19" s="1" customFormat="1" ht="18.25" customHeight="1" outlineLevel="2">
      <c r="A554" s="576"/>
      <c r="B554" s="5" t="s">
        <v>4</v>
      </c>
      <c r="C554" s="6" t="s">
        <v>290</v>
      </c>
      <c r="D554" s="7" t="s">
        <v>27</v>
      </c>
      <c r="E554" s="8">
        <v>0</v>
      </c>
      <c r="F554" s="9">
        <v>0</v>
      </c>
      <c r="G554" s="8">
        <v>0</v>
      </c>
      <c r="H554" s="10">
        <v>0</v>
      </c>
      <c r="I554" s="310">
        <v>0</v>
      </c>
      <c r="J554" s="406">
        <v>0</v>
      </c>
      <c r="K554" s="319">
        <v>0</v>
      </c>
      <c r="L554" s="424">
        <v>0</v>
      </c>
      <c r="M554" s="410">
        <v>0</v>
      </c>
      <c r="N554" s="429"/>
      <c r="Q554"/>
      <c r="R554"/>
      <c r="S554"/>
    </row>
    <row r="555" spans="1:19" s="1" customFormat="1" ht="18.25" customHeight="1" outlineLevel="1">
      <c r="A555" s="576"/>
      <c r="B555" s="12" t="s">
        <v>4</v>
      </c>
      <c r="C555" s="13" t="s">
        <v>32</v>
      </c>
      <c r="D555" s="14">
        <v>3</v>
      </c>
      <c r="E555" s="15">
        <v>0</v>
      </c>
      <c r="F555" s="16">
        <v>0</v>
      </c>
      <c r="G555" s="15">
        <v>2</v>
      </c>
      <c r="H555" s="17">
        <v>24309</v>
      </c>
      <c r="I555" s="311">
        <v>1</v>
      </c>
      <c r="J555" s="312">
        <v>1</v>
      </c>
      <c r="K555" s="906">
        <v>0</v>
      </c>
      <c r="L555" s="907">
        <v>0</v>
      </c>
      <c r="M555" s="411">
        <v>0</v>
      </c>
      <c r="N555" s="430">
        <v>0</v>
      </c>
      <c r="O555" s="1" t="s">
        <v>171</v>
      </c>
      <c r="Q555"/>
      <c r="R555"/>
      <c r="S555"/>
    </row>
    <row r="556" spans="1:19" s="1" customFormat="1" ht="18.25" customHeight="1" outlineLevel="2">
      <c r="A556" s="576"/>
      <c r="B556" s="5" t="s">
        <v>4</v>
      </c>
      <c r="C556" s="39" t="s">
        <v>798</v>
      </c>
      <c r="D556" s="40" t="s">
        <v>240</v>
      </c>
      <c r="E556" s="8">
        <v>0</v>
      </c>
      <c r="F556" s="9">
        <v>0</v>
      </c>
      <c r="G556" s="8">
        <v>7</v>
      </c>
      <c r="H556" s="10">
        <v>43845</v>
      </c>
      <c r="I556" s="310">
        <v>1</v>
      </c>
      <c r="J556" s="406">
        <v>1</v>
      </c>
      <c r="K556" s="319">
        <v>1</v>
      </c>
      <c r="L556" s="424"/>
      <c r="M556" s="410">
        <v>1</v>
      </c>
      <c r="N556" s="429"/>
      <c r="Q556"/>
      <c r="R556"/>
      <c r="S556"/>
    </row>
    <row r="557" spans="1:19" s="1" customFormat="1" ht="18.25" customHeight="1" outlineLevel="2">
      <c r="A557" s="576"/>
      <c r="B557" s="5"/>
      <c r="C557" s="39" t="s">
        <v>543</v>
      </c>
      <c r="D557" s="23" t="s">
        <v>17</v>
      </c>
      <c r="E557" s="8">
        <v>0</v>
      </c>
      <c r="F557" s="9">
        <v>0</v>
      </c>
      <c r="G557" s="8">
        <v>0</v>
      </c>
      <c r="H557" s="10">
        <v>0</v>
      </c>
      <c r="I557" s="310">
        <v>0</v>
      </c>
      <c r="J557" s="406">
        <v>0</v>
      </c>
      <c r="K557" s="319">
        <v>0</v>
      </c>
      <c r="L557" s="424">
        <v>0</v>
      </c>
      <c r="M557" s="410">
        <v>0</v>
      </c>
      <c r="N557" s="429"/>
      <c r="Q557"/>
      <c r="R557"/>
      <c r="S557"/>
    </row>
    <row r="558" spans="1:19" s="1" customFormat="1" ht="18.25" customHeight="1" outlineLevel="1">
      <c r="A558" s="576"/>
      <c r="B558" s="12" t="s">
        <v>11</v>
      </c>
      <c r="C558" s="13" t="s">
        <v>532</v>
      </c>
      <c r="D558" s="14">
        <v>2</v>
      </c>
      <c r="E558" s="15">
        <v>0</v>
      </c>
      <c r="F558" s="16">
        <v>0</v>
      </c>
      <c r="G558" s="15">
        <v>7</v>
      </c>
      <c r="H558" s="17">
        <v>43845</v>
      </c>
      <c r="I558" s="311">
        <v>1</v>
      </c>
      <c r="J558" s="312">
        <v>1</v>
      </c>
      <c r="K558" s="906">
        <v>1</v>
      </c>
      <c r="L558" s="907">
        <v>0</v>
      </c>
      <c r="M558" s="411">
        <v>1</v>
      </c>
      <c r="N558" s="430">
        <v>0</v>
      </c>
      <c r="O558" s="1" t="s">
        <v>171</v>
      </c>
      <c r="Q558"/>
      <c r="R558"/>
      <c r="S558"/>
    </row>
    <row r="559" spans="1:19" s="1" customFormat="1" ht="18.25" customHeight="1" outlineLevel="2">
      <c r="A559" s="576"/>
      <c r="B559" s="5" t="s">
        <v>11</v>
      </c>
      <c r="C559" s="6" t="s">
        <v>282</v>
      </c>
      <c r="D559" s="7" t="s">
        <v>22</v>
      </c>
      <c r="E559" s="8">
        <v>0</v>
      </c>
      <c r="F559" s="9">
        <v>0</v>
      </c>
      <c r="G559" s="8">
        <v>0.5</v>
      </c>
      <c r="H559" s="10">
        <v>744</v>
      </c>
      <c r="I559" s="310">
        <v>1</v>
      </c>
      <c r="J559" s="406">
        <v>0</v>
      </c>
      <c r="K559" s="319">
        <v>0</v>
      </c>
      <c r="L559" s="424"/>
      <c r="M559" s="410">
        <v>0</v>
      </c>
      <c r="N559" s="429"/>
      <c r="Q559"/>
      <c r="R559"/>
      <c r="S559"/>
    </row>
    <row r="560" spans="1:19" s="1" customFormat="1" ht="18.25" customHeight="1" outlineLevel="2">
      <c r="A560" s="576"/>
      <c r="B560" s="5" t="s">
        <v>11</v>
      </c>
      <c r="C560" s="22" t="s">
        <v>709</v>
      </c>
      <c r="D560" s="7" t="s">
        <v>17</v>
      </c>
      <c r="E560" s="8">
        <v>0</v>
      </c>
      <c r="F560" s="9">
        <v>0</v>
      </c>
      <c r="G560" s="8">
        <v>0</v>
      </c>
      <c r="H560" s="10">
        <v>0</v>
      </c>
      <c r="I560" s="310">
        <v>0</v>
      </c>
      <c r="J560" s="406">
        <v>0</v>
      </c>
      <c r="K560" s="319">
        <v>0</v>
      </c>
      <c r="L560" s="424">
        <v>0</v>
      </c>
      <c r="M560" s="410">
        <v>0</v>
      </c>
      <c r="N560" s="429"/>
      <c r="Q560"/>
      <c r="R560"/>
      <c r="S560"/>
    </row>
    <row r="561" spans="1:19" s="1" customFormat="1" ht="18.25" customHeight="1" outlineLevel="1">
      <c r="A561" s="576"/>
      <c r="B561" s="12" t="s">
        <v>11</v>
      </c>
      <c r="C561" s="13" t="s">
        <v>282</v>
      </c>
      <c r="D561" s="14">
        <v>2</v>
      </c>
      <c r="E561" s="15">
        <v>0</v>
      </c>
      <c r="F561" s="16">
        <v>0</v>
      </c>
      <c r="G561" s="15">
        <v>0.5</v>
      </c>
      <c r="H561" s="17">
        <v>744</v>
      </c>
      <c r="I561" s="311">
        <v>1</v>
      </c>
      <c r="J561" s="312">
        <v>0</v>
      </c>
      <c r="K561" s="906">
        <v>0</v>
      </c>
      <c r="L561" s="907">
        <v>0</v>
      </c>
      <c r="M561" s="411">
        <v>0</v>
      </c>
      <c r="N561" s="430">
        <v>0</v>
      </c>
      <c r="O561" s="1" t="s">
        <v>171</v>
      </c>
      <c r="Q561"/>
      <c r="R561"/>
      <c r="S561"/>
    </row>
    <row r="562" spans="1:19" s="1" customFormat="1" ht="18.25" customHeight="1" outlineLevel="2">
      <c r="A562" s="576"/>
      <c r="B562" s="5" t="s">
        <v>11</v>
      </c>
      <c r="C562" s="6" t="s">
        <v>154</v>
      </c>
      <c r="D562" s="19" t="s">
        <v>40</v>
      </c>
      <c r="E562" s="8">
        <v>0</v>
      </c>
      <c r="F562" s="9">
        <v>0</v>
      </c>
      <c r="G562" s="8">
        <v>1</v>
      </c>
      <c r="H562" s="10">
        <v>11402</v>
      </c>
      <c r="I562" s="310">
        <v>1</v>
      </c>
      <c r="J562" s="406">
        <v>0</v>
      </c>
      <c r="K562" s="319">
        <v>0</v>
      </c>
      <c r="L562" s="424"/>
      <c r="M562" s="410">
        <v>0</v>
      </c>
      <c r="N562" s="429"/>
      <c r="Q562"/>
      <c r="R562"/>
      <c r="S562"/>
    </row>
    <row r="563" spans="1:19" s="1" customFormat="1" ht="18.25" customHeight="1" outlineLevel="2">
      <c r="A563" s="576"/>
      <c r="B563" s="5" t="s">
        <v>11</v>
      </c>
      <c r="C563" s="22" t="s">
        <v>702</v>
      </c>
      <c r="D563" s="7" t="s">
        <v>17</v>
      </c>
      <c r="E563" s="8">
        <v>0</v>
      </c>
      <c r="F563" s="9">
        <v>0</v>
      </c>
      <c r="G563" s="8">
        <v>0.5</v>
      </c>
      <c r="H563" s="10">
        <v>3521</v>
      </c>
      <c r="I563" s="310">
        <v>1</v>
      </c>
      <c r="J563" s="406">
        <v>0</v>
      </c>
      <c r="K563" s="319">
        <v>0</v>
      </c>
      <c r="L563" s="424">
        <v>0</v>
      </c>
      <c r="M563" s="410">
        <v>0</v>
      </c>
      <c r="N563" s="429"/>
      <c r="Q563"/>
      <c r="R563"/>
      <c r="S563"/>
    </row>
    <row r="564" spans="1:19" s="1" customFormat="1" ht="18.25" customHeight="1" outlineLevel="2">
      <c r="A564" s="576"/>
      <c r="B564" s="5" t="s">
        <v>11</v>
      </c>
      <c r="C564" s="22" t="s">
        <v>572</v>
      </c>
      <c r="D564" s="7" t="s">
        <v>17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6">
        <v>0</v>
      </c>
      <c r="K564" s="319">
        <v>0</v>
      </c>
      <c r="L564" s="424">
        <v>0</v>
      </c>
      <c r="M564" s="410">
        <v>0</v>
      </c>
      <c r="N564" s="429"/>
      <c r="Q564"/>
      <c r="R564"/>
      <c r="S564"/>
    </row>
    <row r="565" spans="1:19" s="1" customFormat="1" ht="18.25" customHeight="1" outlineLevel="1">
      <c r="A565" s="576"/>
      <c r="B565" s="12" t="s">
        <v>11</v>
      </c>
      <c r="C565" s="13" t="s">
        <v>154</v>
      </c>
      <c r="D565" s="14">
        <v>3</v>
      </c>
      <c r="E565" s="15">
        <v>0</v>
      </c>
      <c r="F565" s="16">
        <v>0</v>
      </c>
      <c r="G565" s="15">
        <v>1.5</v>
      </c>
      <c r="H565" s="17">
        <v>14923</v>
      </c>
      <c r="I565" s="311">
        <v>2</v>
      </c>
      <c r="J565" s="312">
        <v>0</v>
      </c>
      <c r="K565" s="906">
        <v>0</v>
      </c>
      <c r="L565" s="907">
        <v>0</v>
      </c>
      <c r="M565" s="411">
        <v>0</v>
      </c>
      <c r="N565" s="430">
        <v>0</v>
      </c>
      <c r="O565" s="1" t="s">
        <v>51</v>
      </c>
      <c r="Q565"/>
      <c r="R565"/>
      <c r="S565"/>
    </row>
    <row r="566" spans="1:19" s="1" customFormat="1" ht="18.25" customHeight="1" outlineLevel="2">
      <c r="A566" s="576"/>
      <c r="B566" s="5" t="s">
        <v>11</v>
      </c>
      <c r="C566" s="6" t="s">
        <v>155</v>
      </c>
      <c r="D566" s="7" t="s">
        <v>40</v>
      </c>
      <c r="E566" s="8">
        <v>0</v>
      </c>
      <c r="F566" s="9">
        <v>0</v>
      </c>
      <c r="G566" s="8">
        <v>1</v>
      </c>
      <c r="H566" s="10">
        <v>11400</v>
      </c>
      <c r="I566" s="310">
        <v>1</v>
      </c>
      <c r="J566" s="406">
        <v>0</v>
      </c>
      <c r="K566" s="319">
        <v>0</v>
      </c>
      <c r="L566" s="424"/>
      <c r="M566" s="410">
        <v>0</v>
      </c>
      <c r="N566" s="429"/>
      <c r="Q566"/>
      <c r="R566"/>
      <c r="S566"/>
    </row>
    <row r="567" spans="1:19" s="1" customFormat="1" ht="18.25" customHeight="1" outlineLevel="2">
      <c r="A567" s="576"/>
      <c r="B567" s="5" t="s">
        <v>11</v>
      </c>
      <c r="C567" s="6" t="s">
        <v>156</v>
      </c>
      <c r="D567" s="7" t="s">
        <v>17</v>
      </c>
      <c r="E567" s="8">
        <v>0</v>
      </c>
      <c r="F567" s="9">
        <v>0</v>
      </c>
      <c r="G567" s="8">
        <v>0</v>
      </c>
      <c r="H567" s="10">
        <v>0</v>
      </c>
      <c r="I567" s="310">
        <v>0</v>
      </c>
      <c r="J567" s="406">
        <v>0</v>
      </c>
      <c r="K567" s="319">
        <v>0</v>
      </c>
      <c r="L567" s="424">
        <v>0</v>
      </c>
      <c r="M567" s="410">
        <v>0</v>
      </c>
      <c r="N567" s="429"/>
      <c r="Q567"/>
      <c r="R567"/>
      <c r="S567"/>
    </row>
    <row r="568" spans="1:19" s="1" customFormat="1" ht="18.25" customHeight="1" outlineLevel="2">
      <c r="A568" s="576"/>
      <c r="B568" s="5" t="s">
        <v>11</v>
      </c>
      <c r="C568" s="6" t="s">
        <v>229</v>
      </c>
      <c r="D568" s="7" t="s">
        <v>17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6">
        <v>0</v>
      </c>
      <c r="K568" s="319">
        <v>0</v>
      </c>
      <c r="L568" s="424">
        <v>0</v>
      </c>
      <c r="M568" s="410">
        <v>0</v>
      </c>
      <c r="N568" s="429"/>
      <c r="Q568"/>
      <c r="R568"/>
      <c r="S568"/>
    </row>
    <row r="569" spans="1:19" s="1" customFormat="1" ht="18.25" customHeight="1" outlineLevel="1">
      <c r="A569" s="576"/>
      <c r="B569" s="12" t="s">
        <v>11</v>
      </c>
      <c r="C569" s="13" t="s">
        <v>155</v>
      </c>
      <c r="D569" s="14">
        <v>3</v>
      </c>
      <c r="E569" s="15">
        <v>0</v>
      </c>
      <c r="F569" s="16">
        <v>0</v>
      </c>
      <c r="G569" s="15">
        <v>1</v>
      </c>
      <c r="H569" s="17">
        <v>11400</v>
      </c>
      <c r="I569" s="311">
        <v>1</v>
      </c>
      <c r="J569" s="312">
        <v>0</v>
      </c>
      <c r="K569" s="906">
        <v>0</v>
      </c>
      <c r="L569" s="907">
        <v>0</v>
      </c>
      <c r="M569" s="411">
        <v>0</v>
      </c>
      <c r="N569" s="430">
        <v>0</v>
      </c>
      <c r="O569" s="1" t="s">
        <v>51</v>
      </c>
      <c r="Q569"/>
      <c r="R569"/>
      <c r="S569"/>
    </row>
    <row r="570" spans="1:19" s="1" customFormat="1" ht="18.25" customHeight="1" outlineLevel="2">
      <c r="A570" s="576"/>
      <c r="B570" s="5" t="s">
        <v>11</v>
      </c>
      <c r="C570" s="18" t="s">
        <v>157</v>
      </c>
      <c r="D570" s="7" t="s">
        <v>237</v>
      </c>
      <c r="E570" s="8">
        <v>0</v>
      </c>
      <c r="F570" s="9">
        <v>0</v>
      </c>
      <c r="G570" s="8">
        <v>0</v>
      </c>
      <c r="H570" s="10">
        <v>0</v>
      </c>
      <c r="I570" s="310">
        <v>0</v>
      </c>
      <c r="J570" s="406">
        <v>0</v>
      </c>
      <c r="K570" s="319">
        <v>0</v>
      </c>
      <c r="L570" s="424"/>
      <c r="M570" s="410">
        <v>0</v>
      </c>
      <c r="N570" s="429"/>
      <c r="Q570"/>
      <c r="R570"/>
      <c r="S570"/>
    </row>
    <row r="571" spans="1:19" s="1" customFormat="1" ht="18.25" customHeight="1" outlineLevel="1">
      <c r="A571" s="576"/>
      <c r="B571" s="12" t="s">
        <v>11</v>
      </c>
      <c r="C571" s="13" t="s">
        <v>157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1">
        <v>0</v>
      </c>
      <c r="J571" s="312">
        <v>0</v>
      </c>
      <c r="K571" s="906">
        <v>0</v>
      </c>
      <c r="L571" s="907">
        <v>0</v>
      </c>
      <c r="M571" s="411">
        <v>0</v>
      </c>
      <c r="N571" s="430">
        <v>0</v>
      </c>
      <c r="O571" s="1" t="s">
        <v>669</v>
      </c>
      <c r="Q571"/>
      <c r="R571"/>
      <c r="S571"/>
    </row>
    <row r="572" spans="1:19" s="1" customFormat="1" ht="18.25" customHeight="1" outlineLevel="2">
      <c r="A572" s="576"/>
      <c r="B572" s="5" t="s">
        <v>11</v>
      </c>
      <c r="C572" s="6" t="s">
        <v>161</v>
      </c>
      <c r="D572" s="7" t="s">
        <v>40</v>
      </c>
      <c r="E572" s="8">
        <v>0</v>
      </c>
      <c r="F572" s="9">
        <v>0</v>
      </c>
      <c r="G572" s="8">
        <v>0</v>
      </c>
      <c r="H572" s="10">
        <v>0</v>
      </c>
      <c r="I572" s="310">
        <v>0</v>
      </c>
      <c r="J572" s="406">
        <v>0</v>
      </c>
      <c r="K572" s="319">
        <v>0</v>
      </c>
      <c r="L572" s="424"/>
      <c r="M572" s="410">
        <v>0</v>
      </c>
      <c r="N572" s="429"/>
      <c r="Q572"/>
      <c r="R572"/>
      <c r="S572"/>
    </row>
    <row r="573" spans="1:19" s="1" customFormat="1" ht="18.25" customHeight="1" outlineLevel="2">
      <c r="A573" s="576"/>
      <c r="B573" s="41" t="s">
        <v>11</v>
      </c>
      <c r="C573" s="39" t="s">
        <v>661</v>
      </c>
      <c r="D573" s="23" t="s">
        <v>27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6">
        <v>0</v>
      </c>
      <c r="K573" s="319">
        <v>0</v>
      </c>
      <c r="L573" s="424">
        <v>0</v>
      </c>
      <c r="M573" s="410">
        <v>0</v>
      </c>
      <c r="N573" s="429"/>
      <c r="Q573"/>
      <c r="R573"/>
      <c r="S573"/>
    </row>
    <row r="574" spans="1:19" s="1" customFormat="1" ht="18.25" customHeight="1" outlineLevel="2">
      <c r="A574" s="576"/>
      <c r="B574" s="5" t="s">
        <v>11</v>
      </c>
      <c r="C574" s="6" t="s">
        <v>340</v>
      </c>
      <c r="D574" s="7" t="s">
        <v>17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6">
        <v>0</v>
      </c>
      <c r="K574" s="319">
        <v>0</v>
      </c>
      <c r="L574" s="424">
        <v>0</v>
      </c>
      <c r="M574" s="410">
        <v>0</v>
      </c>
      <c r="N574" s="429"/>
      <c r="Q574"/>
      <c r="R574"/>
      <c r="S574"/>
    </row>
    <row r="575" spans="1:19" s="1" customFormat="1" ht="18.25" customHeight="1" outlineLevel="2">
      <c r="A575" s="576"/>
      <c r="B575" s="5" t="s">
        <v>11</v>
      </c>
      <c r="C575" s="6" t="s">
        <v>310</v>
      </c>
      <c r="D575" s="7" t="s">
        <v>17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6">
        <v>0</v>
      </c>
      <c r="K575" s="319">
        <v>0</v>
      </c>
      <c r="L575" s="424">
        <v>0</v>
      </c>
      <c r="M575" s="410">
        <v>0</v>
      </c>
      <c r="N575" s="429"/>
      <c r="Q575"/>
      <c r="R575"/>
      <c r="S575"/>
    </row>
    <row r="576" spans="1:19" s="1" customFormat="1" ht="18.25" customHeight="1" outlineLevel="1">
      <c r="A576" s="576"/>
      <c r="B576" s="12" t="s">
        <v>11</v>
      </c>
      <c r="C576" s="13" t="s">
        <v>161</v>
      </c>
      <c r="D576" s="14">
        <v>4</v>
      </c>
      <c r="E576" s="15">
        <v>0</v>
      </c>
      <c r="F576" s="16">
        <v>0</v>
      </c>
      <c r="G576" s="15">
        <v>0</v>
      </c>
      <c r="H576" s="17">
        <v>0</v>
      </c>
      <c r="I576" s="311">
        <v>0</v>
      </c>
      <c r="J576" s="312">
        <v>0</v>
      </c>
      <c r="K576" s="906">
        <v>0</v>
      </c>
      <c r="L576" s="907">
        <v>0</v>
      </c>
      <c r="M576" s="411">
        <v>0</v>
      </c>
      <c r="N576" s="430">
        <v>0</v>
      </c>
      <c r="O576" s="1" t="s">
        <v>51</v>
      </c>
      <c r="Q576"/>
      <c r="R576"/>
      <c r="S576"/>
    </row>
    <row r="577" spans="1:19" s="1" customFormat="1" ht="18.25" customHeight="1" outlineLevel="2">
      <c r="A577" s="576"/>
      <c r="B577" s="5" t="s">
        <v>11</v>
      </c>
      <c r="C577" s="18" t="s">
        <v>678</v>
      </c>
      <c r="D577" s="7" t="s">
        <v>22</v>
      </c>
      <c r="E577" s="8">
        <v>0</v>
      </c>
      <c r="F577" s="9">
        <v>0</v>
      </c>
      <c r="G577" s="8">
        <v>0</v>
      </c>
      <c r="H577" s="10">
        <v>0</v>
      </c>
      <c r="I577" s="310">
        <v>0</v>
      </c>
      <c r="J577" s="406">
        <v>0</v>
      </c>
      <c r="K577" s="319">
        <v>0</v>
      </c>
      <c r="L577" s="424"/>
      <c r="M577" s="410">
        <v>0</v>
      </c>
      <c r="N577" s="429"/>
      <c r="Q577"/>
      <c r="R577"/>
      <c r="S577"/>
    </row>
    <row r="578" spans="1:19" s="1" customFormat="1" ht="18.25" customHeight="1" outlineLevel="2">
      <c r="A578" s="576"/>
      <c r="B578" s="5" t="s">
        <v>11</v>
      </c>
      <c r="C578" s="39" t="s">
        <v>769</v>
      </c>
      <c r="D578" s="7" t="s">
        <v>17</v>
      </c>
      <c r="E578" s="8">
        <v>0</v>
      </c>
      <c r="F578" s="9">
        <v>0</v>
      </c>
      <c r="G578" s="8">
        <v>0</v>
      </c>
      <c r="H578" s="10">
        <v>0</v>
      </c>
      <c r="I578" s="310">
        <v>0</v>
      </c>
      <c r="J578" s="406">
        <v>0</v>
      </c>
      <c r="K578" s="319">
        <v>0</v>
      </c>
      <c r="L578" s="424">
        <v>1</v>
      </c>
      <c r="M578" s="410">
        <v>0</v>
      </c>
      <c r="N578" s="429"/>
      <c r="Q578"/>
      <c r="R578"/>
      <c r="S578"/>
    </row>
    <row r="579" spans="1:19" s="1" customFormat="1" ht="18.25" customHeight="1" outlineLevel="1">
      <c r="A579" s="576"/>
      <c r="B579" s="12" t="s">
        <v>11</v>
      </c>
      <c r="C579" s="13" t="s">
        <v>679</v>
      </c>
      <c r="D579" s="14">
        <v>2</v>
      </c>
      <c r="E579" s="15">
        <v>0</v>
      </c>
      <c r="F579" s="16">
        <v>0</v>
      </c>
      <c r="G579" s="15">
        <v>0</v>
      </c>
      <c r="H579" s="17">
        <v>0</v>
      </c>
      <c r="I579" s="311">
        <v>0</v>
      </c>
      <c r="J579" s="312">
        <v>0</v>
      </c>
      <c r="K579" s="906">
        <v>0</v>
      </c>
      <c r="L579" s="907">
        <v>1</v>
      </c>
      <c r="M579" s="411">
        <v>0</v>
      </c>
      <c r="N579" s="430">
        <v>0</v>
      </c>
      <c r="O579" s="1" t="s">
        <v>171</v>
      </c>
      <c r="Q579"/>
      <c r="R579"/>
      <c r="S579"/>
    </row>
    <row r="580" spans="1:19" s="1" customFormat="1" ht="18.25" customHeight="1" outlineLevel="2">
      <c r="A580" s="576"/>
      <c r="B580" s="5" t="s">
        <v>11</v>
      </c>
      <c r="C580" s="6" t="s">
        <v>322</v>
      </c>
      <c r="D580" s="7" t="s">
        <v>40</v>
      </c>
      <c r="E580" s="8">
        <v>0</v>
      </c>
      <c r="F580" s="9">
        <v>0</v>
      </c>
      <c r="G580" s="8">
        <v>2</v>
      </c>
      <c r="H580" s="10">
        <v>74880</v>
      </c>
      <c r="I580" s="310">
        <v>1</v>
      </c>
      <c r="J580" s="406">
        <v>1</v>
      </c>
      <c r="K580" s="319">
        <v>1</v>
      </c>
      <c r="L580" s="424"/>
      <c r="M580" s="410">
        <v>1</v>
      </c>
      <c r="N580" s="429"/>
      <c r="Q580"/>
      <c r="R580"/>
      <c r="S580"/>
    </row>
    <row r="581" spans="1:19" s="1" customFormat="1" ht="18.25" customHeight="1" outlineLevel="2">
      <c r="A581" s="576"/>
      <c r="B581" s="5" t="s">
        <v>11</v>
      </c>
      <c r="C581" s="39" t="s">
        <v>624</v>
      </c>
      <c r="D581" s="7" t="s">
        <v>17</v>
      </c>
      <c r="E581" s="8">
        <v>0</v>
      </c>
      <c r="F581" s="9">
        <v>0</v>
      </c>
      <c r="G581" s="8">
        <v>0.5</v>
      </c>
      <c r="H581" s="10">
        <v>16014</v>
      </c>
      <c r="I581" s="310">
        <v>1</v>
      </c>
      <c r="J581" s="406">
        <v>1</v>
      </c>
      <c r="K581" s="319">
        <v>0</v>
      </c>
      <c r="L581" s="424">
        <v>0</v>
      </c>
      <c r="M581" s="410">
        <v>0</v>
      </c>
      <c r="N581" s="429"/>
      <c r="Q581"/>
      <c r="R581"/>
      <c r="S581"/>
    </row>
    <row r="582" spans="1:19" s="1" customFormat="1" ht="18.25" customHeight="1" outlineLevel="2">
      <c r="A582" s="576"/>
      <c r="B582" s="5" t="s">
        <v>11</v>
      </c>
      <c r="C582" s="74" t="s">
        <v>790</v>
      </c>
      <c r="D582" s="45"/>
      <c r="E582" s="8">
        <v>0</v>
      </c>
      <c r="F582" s="9">
        <v>0</v>
      </c>
      <c r="G582" s="8">
        <v>0</v>
      </c>
      <c r="H582" s="10">
        <v>0</v>
      </c>
      <c r="I582" s="318">
        <v>0</v>
      </c>
      <c r="J582" s="408">
        <v>0</v>
      </c>
      <c r="K582" s="319">
        <v>0</v>
      </c>
      <c r="L582" s="424">
        <v>0</v>
      </c>
      <c r="M582" s="415">
        <v>0</v>
      </c>
      <c r="N582" s="438"/>
      <c r="Q582"/>
      <c r="R582"/>
      <c r="S582"/>
    </row>
    <row r="583" spans="1:19" s="1" customFormat="1" ht="18.25" customHeight="1" outlineLevel="1">
      <c r="A583" s="576"/>
      <c r="B583" s="12" t="s">
        <v>11</v>
      </c>
      <c r="C583" s="13" t="s">
        <v>322</v>
      </c>
      <c r="D583" s="14">
        <v>2</v>
      </c>
      <c r="E583" s="15">
        <v>0</v>
      </c>
      <c r="F583" s="16">
        <v>0</v>
      </c>
      <c r="G583" s="15">
        <v>2.5</v>
      </c>
      <c r="H583" s="17">
        <v>90894</v>
      </c>
      <c r="I583" s="311">
        <v>2</v>
      </c>
      <c r="J583" s="312">
        <v>2</v>
      </c>
      <c r="K583" s="906">
        <v>1</v>
      </c>
      <c r="L583" s="907">
        <v>0</v>
      </c>
      <c r="M583" s="411">
        <v>1</v>
      </c>
      <c r="N583" s="430">
        <v>0</v>
      </c>
      <c r="O583" s="1" t="s">
        <v>51</v>
      </c>
      <c r="Q583"/>
      <c r="R583"/>
      <c r="S583"/>
    </row>
    <row r="584" spans="1:19" s="1" customFormat="1" ht="18.25" customHeight="1" outlineLevel="2">
      <c r="A584" s="576"/>
      <c r="B584" s="5" t="s">
        <v>11</v>
      </c>
      <c r="C584" s="39" t="s">
        <v>366</v>
      </c>
      <c r="D584" s="7" t="s">
        <v>40</v>
      </c>
      <c r="E584" s="8">
        <v>0</v>
      </c>
      <c r="F584" s="9">
        <v>0</v>
      </c>
      <c r="G584" s="8">
        <v>5</v>
      </c>
      <c r="H584" s="10">
        <v>99255</v>
      </c>
      <c r="I584" s="310">
        <v>1</v>
      </c>
      <c r="J584" s="406">
        <v>1</v>
      </c>
      <c r="K584" s="319">
        <v>1</v>
      </c>
      <c r="L584" s="424"/>
      <c r="M584" s="410">
        <v>1</v>
      </c>
      <c r="N584" s="429"/>
      <c r="Q584"/>
      <c r="R584"/>
      <c r="S584"/>
    </row>
    <row r="585" spans="1:19" s="1" customFormat="1" ht="18.25" customHeight="1" outlineLevel="2">
      <c r="A585" s="576"/>
      <c r="B585" s="5" t="s">
        <v>11</v>
      </c>
      <c r="C585" s="39" t="s">
        <v>909</v>
      </c>
      <c r="D585" s="7" t="s">
        <v>17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6">
        <v>0</v>
      </c>
      <c r="K585" s="319">
        <v>0</v>
      </c>
      <c r="L585" s="424">
        <v>1</v>
      </c>
      <c r="M585" s="410">
        <v>0</v>
      </c>
      <c r="N585" s="429"/>
      <c r="Q585"/>
      <c r="R585"/>
      <c r="S585"/>
    </row>
    <row r="586" spans="1:19" s="1" customFormat="1" ht="18.25" customHeight="1" outlineLevel="2">
      <c r="A586" s="576"/>
      <c r="B586" s="5" t="s">
        <v>11</v>
      </c>
      <c r="C586" s="39" t="s">
        <v>631</v>
      </c>
      <c r="D586" s="7" t="s">
        <v>17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6">
        <v>0</v>
      </c>
      <c r="K586" s="319">
        <v>0</v>
      </c>
      <c r="L586" s="424">
        <v>0</v>
      </c>
      <c r="M586" s="410">
        <v>0</v>
      </c>
      <c r="N586" s="429"/>
      <c r="Q586"/>
      <c r="R586"/>
      <c r="S586"/>
    </row>
    <row r="587" spans="1:19" s="1" customFormat="1" ht="18.25" customHeight="1" outlineLevel="1">
      <c r="A587" s="576"/>
      <c r="B587" s="12" t="s">
        <v>11</v>
      </c>
      <c r="C587" s="13" t="s">
        <v>366</v>
      </c>
      <c r="D587" s="14">
        <v>3</v>
      </c>
      <c r="E587" s="15">
        <v>0</v>
      </c>
      <c r="F587" s="16">
        <v>0</v>
      </c>
      <c r="G587" s="15">
        <v>5</v>
      </c>
      <c r="H587" s="17">
        <v>99255</v>
      </c>
      <c r="I587" s="311">
        <v>1</v>
      </c>
      <c r="J587" s="312">
        <v>1</v>
      </c>
      <c r="K587" s="906">
        <v>1</v>
      </c>
      <c r="L587" s="907">
        <v>1</v>
      </c>
      <c r="M587" s="411">
        <v>1</v>
      </c>
      <c r="N587" s="430">
        <v>0</v>
      </c>
      <c r="O587" s="1" t="s">
        <v>51</v>
      </c>
      <c r="Q587"/>
      <c r="R587"/>
      <c r="S587"/>
    </row>
    <row r="588" spans="1:19" s="1" customFormat="1" ht="18.25" customHeight="1" outlineLevel="2">
      <c r="A588" s="576"/>
      <c r="B588" s="5" t="s">
        <v>11</v>
      </c>
      <c r="C588" s="39" t="s">
        <v>334</v>
      </c>
      <c r="D588" s="7" t="s">
        <v>40</v>
      </c>
      <c r="E588" s="8">
        <v>0</v>
      </c>
      <c r="F588" s="9">
        <v>0</v>
      </c>
      <c r="G588" s="8">
        <v>0</v>
      </c>
      <c r="H588" s="10">
        <v>0</v>
      </c>
      <c r="I588" s="310">
        <v>0</v>
      </c>
      <c r="J588" s="406">
        <v>0</v>
      </c>
      <c r="K588" s="319">
        <v>0</v>
      </c>
      <c r="L588" s="424"/>
      <c r="M588" s="410">
        <v>0</v>
      </c>
      <c r="N588" s="429"/>
      <c r="Q588"/>
      <c r="R588"/>
      <c r="S588"/>
    </row>
    <row r="589" spans="1:19" s="1" customFormat="1" ht="18.25" customHeight="1" outlineLevel="2">
      <c r="A589" s="576"/>
      <c r="B589" s="5" t="s">
        <v>11</v>
      </c>
      <c r="C589" s="39" t="s">
        <v>379</v>
      </c>
      <c r="D589" s="7" t="s">
        <v>17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6">
        <v>0</v>
      </c>
      <c r="K589" s="319">
        <v>0</v>
      </c>
      <c r="L589" s="424">
        <v>0</v>
      </c>
      <c r="M589" s="410">
        <v>0</v>
      </c>
      <c r="N589" s="429"/>
      <c r="Q589"/>
      <c r="R589"/>
      <c r="S589"/>
    </row>
    <row r="590" spans="1:19" s="1" customFormat="1" ht="18.25" customHeight="1" outlineLevel="1">
      <c r="A590" s="576"/>
      <c r="B590" s="12" t="s">
        <v>11</v>
      </c>
      <c r="C590" s="13" t="s">
        <v>334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1">
        <v>0</v>
      </c>
      <c r="J590" s="312">
        <v>0</v>
      </c>
      <c r="K590" s="906">
        <v>0</v>
      </c>
      <c r="L590" s="907">
        <v>0</v>
      </c>
      <c r="M590" s="411">
        <v>0</v>
      </c>
      <c r="N590" s="430">
        <v>0</v>
      </c>
      <c r="O590" s="1" t="s">
        <v>51</v>
      </c>
      <c r="Q590"/>
      <c r="R590"/>
      <c r="S590"/>
    </row>
    <row r="591" spans="1:19" s="1" customFormat="1" ht="18.25" customHeight="1" outlineLevel="2">
      <c r="A591" s="576"/>
      <c r="B591" s="5" t="s">
        <v>11</v>
      </c>
      <c r="C591" s="39" t="s">
        <v>367</v>
      </c>
      <c r="D591" s="7" t="s">
        <v>25</v>
      </c>
      <c r="E591" s="8">
        <v>2</v>
      </c>
      <c r="F591" s="9">
        <v>9938</v>
      </c>
      <c r="G591" s="8">
        <v>4</v>
      </c>
      <c r="H591" s="10">
        <v>25749</v>
      </c>
      <c r="I591" s="310">
        <v>1</v>
      </c>
      <c r="J591" s="406">
        <v>1</v>
      </c>
      <c r="K591" s="319">
        <v>1</v>
      </c>
      <c r="L591" s="424"/>
      <c r="M591" s="410">
        <v>1</v>
      </c>
      <c r="N591" s="429"/>
      <c r="Q591"/>
      <c r="R591"/>
      <c r="S591"/>
    </row>
    <row r="592" spans="1:19" s="1" customFormat="1" ht="18.25" customHeight="1" outlineLevel="2">
      <c r="A592" s="576"/>
      <c r="B592" s="5" t="s">
        <v>11</v>
      </c>
      <c r="C592" s="39" t="s">
        <v>764</v>
      </c>
      <c r="D592" s="7" t="s">
        <v>17</v>
      </c>
      <c r="E592" s="8">
        <v>0</v>
      </c>
      <c r="F592" s="9">
        <v>0</v>
      </c>
      <c r="G592" s="8">
        <v>1</v>
      </c>
      <c r="H592" s="10">
        <v>10135</v>
      </c>
      <c r="I592" s="310">
        <v>1</v>
      </c>
      <c r="J592" s="406">
        <v>1</v>
      </c>
      <c r="K592" s="319">
        <v>0</v>
      </c>
      <c r="L592" s="424">
        <v>1</v>
      </c>
      <c r="M592" s="410">
        <v>0</v>
      </c>
      <c r="N592" s="429"/>
      <c r="Q592"/>
      <c r="R592"/>
      <c r="S592"/>
    </row>
    <row r="593" spans="1:19" s="1" customFormat="1" ht="18.25" customHeight="1" outlineLevel="1">
      <c r="A593" s="576"/>
      <c r="B593" s="12" t="s">
        <v>11</v>
      </c>
      <c r="C593" s="13" t="s">
        <v>367</v>
      </c>
      <c r="D593" s="14">
        <v>2</v>
      </c>
      <c r="E593" s="15">
        <v>2</v>
      </c>
      <c r="F593" s="16">
        <v>9938</v>
      </c>
      <c r="G593" s="15">
        <v>5</v>
      </c>
      <c r="H593" s="17">
        <v>35884</v>
      </c>
      <c r="I593" s="311">
        <v>2</v>
      </c>
      <c r="J593" s="312">
        <v>2</v>
      </c>
      <c r="K593" s="906">
        <v>1</v>
      </c>
      <c r="L593" s="907">
        <v>1</v>
      </c>
      <c r="M593" s="411">
        <v>1</v>
      </c>
      <c r="N593" s="430">
        <v>1</v>
      </c>
      <c r="O593" s="1" t="s">
        <v>169</v>
      </c>
      <c r="Q593"/>
      <c r="R593"/>
      <c r="S593"/>
    </row>
    <row r="594" spans="1:19" s="1" customFormat="1" ht="18.25" customHeight="1" outlineLevel="2">
      <c r="A594" s="576"/>
      <c r="B594" s="5" t="s">
        <v>11</v>
      </c>
      <c r="C594" s="39" t="s">
        <v>483</v>
      </c>
      <c r="D594" s="7" t="s">
        <v>25</v>
      </c>
      <c r="E594" s="8">
        <v>0</v>
      </c>
      <c r="F594" s="9">
        <v>0</v>
      </c>
      <c r="G594" s="8">
        <v>0</v>
      </c>
      <c r="H594" s="10">
        <v>0</v>
      </c>
      <c r="I594" s="310">
        <v>0</v>
      </c>
      <c r="J594" s="406">
        <v>0</v>
      </c>
      <c r="K594" s="319">
        <v>0</v>
      </c>
      <c r="L594" s="424"/>
      <c r="M594" s="410">
        <v>0</v>
      </c>
      <c r="N594" s="429"/>
      <c r="Q594"/>
      <c r="R594"/>
      <c r="S594"/>
    </row>
    <row r="595" spans="1:19" s="1" customFormat="1" ht="18.25" customHeight="1" outlineLevel="2">
      <c r="A595" s="576"/>
      <c r="B595" s="5" t="s">
        <v>11</v>
      </c>
      <c r="C595" s="39" t="s">
        <v>525</v>
      </c>
      <c r="D595" s="7" t="s">
        <v>17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6">
        <v>0</v>
      </c>
      <c r="K595" s="319">
        <v>0</v>
      </c>
      <c r="L595" s="424">
        <v>0</v>
      </c>
      <c r="M595" s="410">
        <v>0</v>
      </c>
      <c r="N595" s="429"/>
      <c r="Q595"/>
      <c r="R595"/>
      <c r="S595"/>
    </row>
    <row r="596" spans="1:19" s="1" customFormat="1" ht="18.25" customHeight="1" outlineLevel="1">
      <c r="A596" s="576"/>
      <c r="B596" s="12" t="s">
        <v>11</v>
      </c>
      <c r="C596" s="13" t="s">
        <v>483</v>
      </c>
      <c r="D596" s="14">
        <v>2</v>
      </c>
      <c r="E596" s="15">
        <v>0</v>
      </c>
      <c r="F596" s="16">
        <v>0</v>
      </c>
      <c r="G596" s="15">
        <v>0</v>
      </c>
      <c r="H596" s="17">
        <v>0</v>
      </c>
      <c r="I596" s="311">
        <v>0</v>
      </c>
      <c r="J596" s="312">
        <v>0</v>
      </c>
      <c r="K596" s="906">
        <v>0</v>
      </c>
      <c r="L596" s="907">
        <v>0</v>
      </c>
      <c r="M596" s="411">
        <v>0</v>
      </c>
      <c r="N596" s="430">
        <v>0</v>
      </c>
      <c r="O596" s="1" t="s">
        <v>169</v>
      </c>
      <c r="Q596"/>
      <c r="R596"/>
      <c r="S596"/>
    </row>
    <row r="597" spans="1:19" s="1" customFormat="1" ht="18.25" customHeight="1" outlineLevel="2">
      <c r="A597" s="576"/>
      <c r="B597" s="5" t="s">
        <v>11</v>
      </c>
      <c r="C597" s="6" t="s">
        <v>162</v>
      </c>
      <c r="D597" s="7" t="s">
        <v>22</v>
      </c>
      <c r="E597" s="8">
        <v>0</v>
      </c>
      <c r="F597" s="9">
        <v>0</v>
      </c>
      <c r="G597" s="8">
        <v>1</v>
      </c>
      <c r="H597" s="10">
        <v>24571</v>
      </c>
      <c r="I597" s="310">
        <v>1</v>
      </c>
      <c r="J597" s="406">
        <v>1</v>
      </c>
      <c r="K597" s="319">
        <v>0</v>
      </c>
      <c r="L597" s="424"/>
      <c r="M597" s="410">
        <v>0</v>
      </c>
      <c r="N597" s="429"/>
      <c r="Q597"/>
      <c r="R597"/>
      <c r="S597"/>
    </row>
    <row r="598" spans="1:19" s="1" customFormat="1" ht="18.25" customHeight="1" outlineLevel="2">
      <c r="A598" s="576"/>
      <c r="B598" s="5" t="s">
        <v>11</v>
      </c>
      <c r="C598" s="18" t="s">
        <v>225</v>
      </c>
      <c r="D598" s="7" t="s">
        <v>17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6">
        <v>0</v>
      </c>
      <c r="K598" s="319">
        <v>0</v>
      </c>
      <c r="L598" s="424">
        <v>0</v>
      </c>
      <c r="M598" s="410">
        <v>0</v>
      </c>
      <c r="N598" s="429"/>
      <c r="Q598"/>
      <c r="R598"/>
      <c r="S598"/>
    </row>
    <row r="599" spans="1:19" s="1" customFormat="1" ht="18.25" customHeight="1" outlineLevel="2">
      <c r="A599" s="576"/>
      <c r="B599" s="5" t="s">
        <v>11</v>
      </c>
      <c r="C599" s="18" t="s">
        <v>163</v>
      </c>
      <c r="D599" s="7" t="s">
        <v>17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6">
        <v>0</v>
      </c>
      <c r="K599" s="319">
        <v>0</v>
      </c>
      <c r="L599" s="424">
        <v>0</v>
      </c>
      <c r="M599" s="410">
        <v>0</v>
      </c>
      <c r="N599" s="429"/>
      <c r="Q599"/>
      <c r="R599"/>
      <c r="S599"/>
    </row>
    <row r="600" spans="1:19" s="1" customFormat="1" ht="18.25" customHeight="1" outlineLevel="1">
      <c r="A600" s="576"/>
      <c r="B600" s="12" t="s">
        <v>11</v>
      </c>
      <c r="C600" s="13" t="s">
        <v>162</v>
      </c>
      <c r="D600" s="14">
        <v>3</v>
      </c>
      <c r="E600" s="27">
        <v>0</v>
      </c>
      <c r="F600" s="28">
        <v>0</v>
      </c>
      <c r="G600" s="27">
        <v>1</v>
      </c>
      <c r="H600" s="29">
        <v>24571</v>
      </c>
      <c r="I600" s="324">
        <v>1</v>
      </c>
      <c r="J600" s="325">
        <v>1</v>
      </c>
      <c r="K600" s="913">
        <v>0</v>
      </c>
      <c r="L600" s="914">
        <v>0</v>
      </c>
      <c r="M600" s="417">
        <v>0</v>
      </c>
      <c r="N600" s="439">
        <v>0</v>
      </c>
      <c r="O600" s="1" t="s">
        <v>171</v>
      </c>
      <c r="Q600"/>
      <c r="R600"/>
      <c r="S600"/>
    </row>
    <row r="601" spans="1:19" s="1" customFormat="1" ht="18.25" customHeight="1" outlineLevel="2">
      <c r="A601" s="576"/>
      <c r="B601" s="5" t="s">
        <v>11</v>
      </c>
      <c r="C601" s="6" t="s">
        <v>164</v>
      </c>
      <c r="D601" s="30" t="s">
        <v>40</v>
      </c>
      <c r="E601" s="8">
        <v>0</v>
      </c>
      <c r="F601" s="9">
        <v>0</v>
      </c>
      <c r="G601" s="8">
        <v>1</v>
      </c>
      <c r="H601" s="10">
        <v>0</v>
      </c>
      <c r="I601" s="310">
        <v>1</v>
      </c>
      <c r="J601" s="406">
        <v>0</v>
      </c>
      <c r="K601" s="319">
        <v>0</v>
      </c>
      <c r="L601" s="424"/>
      <c r="M601" s="410">
        <v>0</v>
      </c>
      <c r="N601" s="429"/>
      <c r="Q601"/>
      <c r="R601"/>
      <c r="S601"/>
    </row>
    <row r="602" spans="1:19" s="1" customFormat="1" ht="18.25" customHeight="1" outlineLevel="2">
      <c r="A602" s="576"/>
      <c r="B602" s="5" t="s">
        <v>11</v>
      </c>
      <c r="C602" s="39" t="s">
        <v>757</v>
      </c>
      <c r="D602" s="46" t="s">
        <v>17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6">
        <v>0</v>
      </c>
      <c r="K602" s="319">
        <v>0</v>
      </c>
      <c r="L602" s="424">
        <v>1</v>
      </c>
      <c r="M602" s="410">
        <v>0</v>
      </c>
      <c r="N602" s="429"/>
      <c r="Q602"/>
      <c r="R602"/>
      <c r="S602"/>
    </row>
    <row r="603" spans="1:19" s="1" customFormat="1" ht="18.25" customHeight="1" outlineLevel="2">
      <c r="A603" s="576"/>
      <c r="B603" s="5" t="s">
        <v>11</v>
      </c>
      <c r="C603" s="39" t="s">
        <v>657</v>
      </c>
      <c r="D603" s="46" t="s">
        <v>17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6">
        <v>0</v>
      </c>
      <c r="K603" s="319">
        <v>0</v>
      </c>
      <c r="L603" s="424">
        <v>0</v>
      </c>
      <c r="M603" s="410">
        <v>0</v>
      </c>
      <c r="N603" s="429"/>
      <c r="Q603"/>
      <c r="R603"/>
      <c r="S603"/>
    </row>
    <row r="604" spans="1:19" s="1" customFormat="1" ht="18.25" customHeight="1" outlineLevel="2">
      <c r="A604" s="576"/>
      <c r="B604" s="5" t="s">
        <v>11</v>
      </c>
      <c r="C604" s="39" t="s">
        <v>817</v>
      </c>
      <c r="D604" s="46" t="s">
        <v>17</v>
      </c>
      <c r="E604" s="8">
        <v>0</v>
      </c>
      <c r="F604" s="9">
        <v>0</v>
      </c>
      <c r="G604" s="8">
        <v>2</v>
      </c>
      <c r="H604" s="10">
        <v>2219</v>
      </c>
      <c r="I604" s="310">
        <v>1</v>
      </c>
      <c r="J604" s="406">
        <v>0</v>
      </c>
      <c r="K604" s="319">
        <v>0</v>
      </c>
      <c r="L604" s="424">
        <v>0</v>
      </c>
      <c r="M604" s="410">
        <v>0</v>
      </c>
      <c r="N604" s="429"/>
      <c r="Q604"/>
      <c r="R604"/>
      <c r="S604"/>
    </row>
    <row r="605" spans="1:19" s="1" customFormat="1" ht="18.25" customHeight="1" outlineLevel="2">
      <c r="A605" s="576"/>
      <c r="B605" s="5" t="s">
        <v>11</v>
      </c>
      <c r="C605" s="6" t="s">
        <v>165</v>
      </c>
      <c r="D605" s="30" t="s">
        <v>17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6">
        <v>0</v>
      </c>
      <c r="K605" s="319">
        <v>0</v>
      </c>
      <c r="L605" s="424">
        <v>0</v>
      </c>
      <c r="M605" s="410">
        <v>0</v>
      </c>
      <c r="N605" s="429"/>
      <c r="Q605"/>
      <c r="R605"/>
      <c r="S605"/>
    </row>
    <row r="606" spans="1:19" s="1" customFormat="1" ht="18.25" customHeight="1" outlineLevel="1">
      <c r="A606" s="576"/>
      <c r="B606" s="12" t="s">
        <v>11</v>
      </c>
      <c r="C606" s="13" t="s">
        <v>164</v>
      </c>
      <c r="D606" s="14">
        <v>5</v>
      </c>
      <c r="E606" s="15">
        <v>0</v>
      </c>
      <c r="F606" s="16">
        <v>0</v>
      </c>
      <c r="G606" s="15">
        <v>3</v>
      </c>
      <c r="H606" s="17">
        <v>2219</v>
      </c>
      <c r="I606" s="311">
        <v>2</v>
      </c>
      <c r="J606" s="312">
        <v>0</v>
      </c>
      <c r="K606" s="906">
        <v>0</v>
      </c>
      <c r="L606" s="907">
        <v>1</v>
      </c>
      <c r="M606" s="411">
        <v>0</v>
      </c>
      <c r="N606" s="430">
        <v>0</v>
      </c>
      <c r="O606" s="1" t="s">
        <v>51</v>
      </c>
      <c r="Q606"/>
      <c r="R606"/>
      <c r="S606"/>
    </row>
    <row r="607" spans="1:19" s="1" customFormat="1" ht="18.25" customHeight="1" outlineLevel="2">
      <c r="A607" s="576"/>
      <c r="B607" s="5" t="s">
        <v>11</v>
      </c>
      <c r="C607" s="6" t="s">
        <v>166</v>
      </c>
      <c r="D607" s="30" t="s">
        <v>22</v>
      </c>
      <c r="E607" s="8">
        <v>0</v>
      </c>
      <c r="F607" s="9">
        <v>0</v>
      </c>
      <c r="G607" s="8">
        <v>1</v>
      </c>
      <c r="H607" s="10">
        <v>728</v>
      </c>
      <c r="I607" s="310">
        <v>1</v>
      </c>
      <c r="J607" s="406">
        <v>0</v>
      </c>
      <c r="K607" s="319">
        <v>0</v>
      </c>
      <c r="L607" s="424"/>
      <c r="M607" s="410">
        <v>0</v>
      </c>
      <c r="N607" s="429"/>
      <c r="Q607"/>
      <c r="R607"/>
      <c r="S607"/>
    </row>
    <row r="608" spans="1:19" s="1" customFormat="1" ht="18.25" customHeight="1" outlineLevel="2">
      <c r="A608" s="576"/>
      <c r="B608" s="5" t="s">
        <v>11</v>
      </c>
      <c r="C608" s="6" t="s">
        <v>313</v>
      </c>
      <c r="D608" s="30" t="s">
        <v>17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6">
        <v>0</v>
      </c>
      <c r="K608" s="319">
        <v>0</v>
      </c>
      <c r="L608" s="424">
        <v>0</v>
      </c>
      <c r="M608" s="410">
        <v>0</v>
      </c>
      <c r="N608" s="429"/>
      <c r="Q608"/>
      <c r="R608"/>
      <c r="S608"/>
    </row>
    <row r="609" spans="1:19" s="1" customFormat="1" ht="18.25" customHeight="1" outlineLevel="2">
      <c r="A609" s="576"/>
      <c r="B609" s="5" t="s">
        <v>11</v>
      </c>
      <c r="C609" s="6" t="s">
        <v>321</v>
      </c>
      <c r="D609" s="30" t="s">
        <v>17</v>
      </c>
      <c r="E609" s="8">
        <v>0</v>
      </c>
      <c r="F609" s="9">
        <v>0</v>
      </c>
      <c r="G609" s="8">
        <v>2</v>
      </c>
      <c r="H609" s="10">
        <v>36681</v>
      </c>
      <c r="I609" s="310">
        <v>1</v>
      </c>
      <c r="J609" s="406">
        <v>1</v>
      </c>
      <c r="K609" s="319">
        <v>1</v>
      </c>
      <c r="L609" s="424">
        <v>0</v>
      </c>
      <c r="M609" s="410">
        <v>1</v>
      </c>
      <c r="N609" s="429"/>
      <c r="Q609"/>
      <c r="R609"/>
      <c r="S609"/>
    </row>
    <row r="610" spans="1:19" s="1" customFormat="1" ht="18.25" customHeight="1" outlineLevel="1">
      <c r="A610" s="576"/>
      <c r="B610" s="12" t="s">
        <v>11</v>
      </c>
      <c r="C610" s="13" t="s">
        <v>213</v>
      </c>
      <c r="D610" s="14">
        <v>3</v>
      </c>
      <c r="E610" s="15">
        <v>0</v>
      </c>
      <c r="F610" s="16">
        <v>0</v>
      </c>
      <c r="G610" s="15">
        <v>3</v>
      </c>
      <c r="H610" s="17">
        <v>37409</v>
      </c>
      <c r="I610" s="311">
        <v>2</v>
      </c>
      <c r="J610" s="312">
        <v>1</v>
      </c>
      <c r="K610" s="906">
        <v>1</v>
      </c>
      <c r="L610" s="907">
        <v>0</v>
      </c>
      <c r="M610" s="411">
        <v>1</v>
      </c>
      <c r="N610" s="430">
        <v>0</v>
      </c>
      <c r="O610" s="1" t="s">
        <v>171</v>
      </c>
      <c r="Q610"/>
      <c r="R610"/>
      <c r="S610"/>
    </row>
    <row r="611" spans="1:19" s="1" customFormat="1" ht="18.25" customHeight="1" outlineLevel="2">
      <c r="A611" s="576"/>
      <c r="B611" s="5" t="s">
        <v>186</v>
      </c>
      <c r="C611" s="18" t="s">
        <v>813</v>
      </c>
      <c r="D611" s="533" t="s">
        <v>578</v>
      </c>
      <c r="E611" s="8">
        <v>0</v>
      </c>
      <c r="F611" s="9">
        <v>0</v>
      </c>
      <c r="G611" s="8">
        <v>0</v>
      </c>
      <c r="H611" s="10">
        <v>0</v>
      </c>
      <c r="I611" s="318"/>
      <c r="J611" s="408"/>
      <c r="K611" s="319"/>
      <c r="L611" s="424"/>
      <c r="M611" s="415"/>
      <c r="N611" s="438"/>
      <c r="Q611"/>
      <c r="R611"/>
      <c r="S611"/>
    </row>
    <row r="612" spans="1:19" s="1" customFormat="1" ht="18.25" customHeight="1" outlineLevel="1">
      <c r="A612" s="576"/>
      <c r="B612" s="12" t="s">
        <v>186</v>
      </c>
      <c r="C612" s="13" t="s">
        <v>813</v>
      </c>
      <c r="D612" s="532"/>
      <c r="E612" s="31">
        <v>0</v>
      </c>
      <c r="F612" s="32">
        <v>0</v>
      </c>
      <c r="G612" s="31">
        <v>0</v>
      </c>
      <c r="H612" s="33">
        <v>0</v>
      </c>
      <c r="I612" s="328"/>
      <c r="J612" s="329"/>
      <c r="K612" s="455"/>
      <c r="L612" s="424"/>
      <c r="M612" s="415"/>
      <c r="N612" s="441"/>
      <c r="O612" s="251"/>
      <c r="Q612"/>
      <c r="R612"/>
      <c r="S612"/>
    </row>
    <row r="613" spans="1:19" s="1" customFormat="1" ht="18.25" customHeight="1" outlineLevel="2">
      <c r="A613" s="576"/>
      <c r="B613" s="5" t="s">
        <v>4</v>
      </c>
      <c r="C613" s="6" t="s">
        <v>159</v>
      </c>
      <c r="D613" s="19" t="s">
        <v>40</v>
      </c>
      <c r="E613" s="8">
        <v>0</v>
      </c>
      <c r="F613" s="9">
        <v>0</v>
      </c>
      <c r="G613" s="8">
        <v>0</v>
      </c>
      <c r="H613" s="10">
        <v>0</v>
      </c>
      <c r="I613" s="310">
        <v>0</v>
      </c>
      <c r="J613" s="406">
        <v>0</v>
      </c>
      <c r="K613" s="319">
        <v>0</v>
      </c>
      <c r="L613" s="424"/>
      <c r="M613" s="410">
        <v>0</v>
      </c>
      <c r="N613" s="429"/>
      <c r="Q613"/>
      <c r="R613"/>
      <c r="S613"/>
    </row>
    <row r="614" spans="1:19" s="1" customFormat="1" ht="18.25" customHeight="1" outlineLevel="2">
      <c r="A614" s="576"/>
      <c r="B614" s="5" t="s">
        <v>4</v>
      </c>
      <c r="C614" s="6" t="s">
        <v>929</v>
      </c>
      <c r="D614" s="19" t="s">
        <v>27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6">
        <v>0</v>
      </c>
      <c r="K614" s="319">
        <v>0</v>
      </c>
      <c r="L614" s="424">
        <v>0</v>
      </c>
      <c r="M614" s="410">
        <v>0</v>
      </c>
      <c r="N614" s="429"/>
      <c r="Q614"/>
      <c r="R614"/>
      <c r="S614"/>
    </row>
    <row r="615" spans="1:19" s="1" customFormat="1" ht="18.25" customHeight="1" outlineLevel="2">
      <c r="A615" s="576"/>
      <c r="B615" s="5" t="s">
        <v>4</v>
      </c>
      <c r="C615" s="6" t="s">
        <v>325</v>
      </c>
      <c r="D615" s="19" t="s">
        <v>27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6">
        <v>0</v>
      </c>
      <c r="K615" s="319">
        <v>0</v>
      </c>
      <c r="L615" s="424">
        <v>0</v>
      </c>
      <c r="M615" s="410">
        <v>0</v>
      </c>
      <c r="N615" s="429"/>
      <c r="Q615"/>
      <c r="R615"/>
      <c r="S615"/>
    </row>
    <row r="616" spans="1:19" s="1" customFormat="1" ht="18.25" customHeight="1" outlineLevel="2">
      <c r="A616" s="576"/>
      <c r="B616" s="5" t="s">
        <v>4</v>
      </c>
      <c r="C616" s="6" t="s">
        <v>253</v>
      </c>
      <c r="D616" s="19" t="s">
        <v>27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6">
        <v>0</v>
      </c>
      <c r="K616" s="319">
        <v>0</v>
      </c>
      <c r="L616" s="424">
        <v>0</v>
      </c>
      <c r="M616" s="410">
        <v>0</v>
      </c>
      <c r="N616" s="429"/>
      <c r="Q616"/>
      <c r="R616"/>
      <c r="S616"/>
    </row>
    <row r="617" spans="1:19" s="1" customFormat="1" ht="18.25" customHeight="1" outlineLevel="2">
      <c r="A617" s="576"/>
      <c r="B617" s="5" t="s">
        <v>4</v>
      </c>
      <c r="C617" s="6" t="s">
        <v>250</v>
      </c>
      <c r="D617" s="19" t="s">
        <v>27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6">
        <v>0</v>
      </c>
      <c r="K617" s="319">
        <v>0</v>
      </c>
      <c r="L617" s="424">
        <v>0</v>
      </c>
      <c r="M617" s="410">
        <v>0</v>
      </c>
      <c r="N617" s="429"/>
      <c r="Q617"/>
      <c r="R617"/>
      <c r="S617"/>
    </row>
    <row r="618" spans="1:19" s="1" customFormat="1" ht="18.25" customHeight="1" outlineLevel="2">
      <c r="A618" s="576"/>
      <c r="B618" s="5" t="s">
        <v>4</v>
      </c>
      <c r="C618" s="6" t="s">
        <v>287</v>
      </c>
      <c r="D618" s="7" t="s">
        <v>17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6">
        <v>0</v>
      </c>
      <c r="K618" s="319">
        <v>0</v>
      </c>
      <c r="L618" s="424">
        <v>0</v>
      </c>
      <c r="M618" s="410">
        <v>0</v>
      </c>
      <c r="N618" s="429"/>
      <c r="Q618"/>
      <c r="R618"/>
      <c r="S618"/>
    </row>
    <row r="619" spans="1:19" s="1" customFormat="1" ht="18.25" customHeight="1" outlineLevel="2">
      <c r="A619" s="576"/>
      <c r="B619" s="5" t="s">
        <v>4</v>
      </c>
      <c r="C619" s="11" t="s">
        <v>328</v>
      </c>
      <c r="D619" s="7" t="s">
        <v>17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6">
        <v>0</v>
      </c>
      <c r="K619" s="319">
        <v>0</v>
      </c>
      <c r="L619" s="424">
        <v>0</v>
      </c>
      <c r="M619" s="410">
        <v>0</v>
      </c>
      <c r="N619" s="429"/>
      <c r="Q619"/>
      <c r="R619"/>
      <c r="S619"/>
    </row>
    <row r="620" spans="1:19" s="1" customFormat="1" ht="18.25" customHeight="1" outlineLevel="2">
      <c r="A620" s="576"/>
      <c r="B620" s="5" t="s">
        <v>4</v>
      </c>
      <c r="C620" s="11" t="s">
        <v>219</v>
      </c>
      <c r="D620" s="7" t="s">
        <v>17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6">
        <v>0</v>
      </c>
      <c r="K620" s="319">
        <v>0</v>
      </c>
      <c r="L620" s="424">
        <v>0</v>
      </c>
      <c r="M620" s="410">
        <v>0</v>
      </c>
      <c r="N620" s="429"/>
      <c r="Q620"/>
      <c r="R620"/>
      <c r="S620"/>
    </row>
    <row r="621" spans="1:19" s="1" customFormat="1" ht="18.25" customHeight="1" outlineLevel="1">
      <c r="A621" s="576"/>
      <c r="B621" s="12" t="s">
        <v>4</v>
      </c>
      <c r="C621" s="61" t="s">
        <v>160</v>
      </c>
      <c r="D621" s="14">
        <v>8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906">
        <v>0</v>
      </c>
      <c r="L621" s="907">
        <v>0</v>
      </c>
      <c r="M621" s="411">
        <v>0</v>
      </c>
      <c r="N621" s="430">
        <v>0</v>
      </c>
      <c r="O621" s="1" t="s">
        <v>51</v>
      </c>
      <c r="Q621"/>
      <c r="R621"/>
      <c r="S621"/>
    </row>
    <row r="622" spans="1:19" s="1" customFormat="1" ht="18.25" customHeight="1" outlineLevel="2">
      <c r="A622" s="576"/>
      <c r="B622" s="5" t="s">
        <v>4</v>
      </c>
      <c r="C622" s="39" t="s">
        <v>316</v>
      </c>
      <c r="D622" s="7" t="s">
        <v>765</v>
      </c>
      <c r="E622" s="8">
        <v>0</v>
      </c>
      <c r="F622" s="9">
        <v>0</v>
      </c>
      <c r="G622" s="8">
        <v>0</v>
      </c>
      <c r="H622" s="10">
        <v>0</v>
      </c>
      <c r="I622" s="310">
        <v>0</v>
      </c>
      <c r="J622" s="406">
        <v>0</v>
      </c>
      <c r="K622" s="319">
        <v>0</v>
      </c>
      <c r="L622" s="424"/>
      <c r="M622" s="410">
        <v>0</v>
      </c>
      <c r="N622" s="429"/>
      <c r="Q622"/>
      <c r="R622"/>
      <c r="S622"/>
    </row>
    <row r="623" spans="1:19" s="1" customFormat="1" ht="18.25" customHeight="1" outlineLevel="1">
      <c r="A623" s="576"/>
      <c r="B623" s="12" t="s">
        <v>4</v>
      </c>
      <c r="C623" s="61" t="s">
        <v>316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1">
        <v>0</v>
      </c>
      <c r="J623" s="312">
        <v>0</v>
      </c>
      <c r="K623" s="906">
        <v>0</v>
      </c>
      <c r="L623" s="907">
        <v>0</v>
      </c>
      <c r="M623" s="411">
        <v>0</v>
      </c>
      <c r="N623" s="430">
        <v>0</v>
      </c>
      <c r="O623" s="1" t="s">
        <v>355</v>
      </c>
      <c r="Q623"/>
      <c r="R623"/>
      <c r="S623"/>
    </row>
    <row r="624" spans="1:19" s="1" customFormat="1" ht="18.25" customHeight="1" outlineLevel="2">
      <c r="A624" s="576"/>
      <c r="B624" s="5" t="s">
        <v>187</v>
      </c>
      <c r="C624" s="39" t="s">
        <v>795</v>
      </c>
      <c r="D624" s="531" t="s">
        <v>623</v>
      </c>
      <c r="E624" s="8">
        <v>0</v>
      </c>
      <c r="F624" s="9">
        <v>0</v>
      </c>
      <c r="G624" s="8">
        <v>0.5</v>
      </c>
      <c r="H624" s="10">
        <v>8683</v>
      </c>
      <c r="I624" s="318"/>
      <c r="J624" s="408"/>
      <c r="K624" s="319"/>
      <c r="L624" s="424"/>
      <c r="M624" s="415"/>
      <c r="N624" s="438"/>
      <c r="Q624"/>
      <c r="R624"/>
      <c r="S624"/>
    </row>
    <row r="625" spans="1:19" s="1" customFormat="1" ht="18.25" customHeight="1" outlineLevel="1">
      <c r="A625" s="576"/>
      <c r="B625" s="12" t="s">
        <v>187</v>
      </c>
      <c r="C625" s="13" t="s">
        <v>796</v>
      </c>
      <c r="D625" s="532"/>
      <c r="E625" s="31">
        <v>0</v>
      </c>
      <c r="F625" s="32">
        <v>0</v>
      </c>
      <c r="G625" s="31">
        <v>0.5</v>
      </c>
      <c r="H625" s="35">
        <v>8683</v>
      </c>
      <c r="I625" s="328"/>
      <c r="J625" s="329"/>
      <c r="K625" s="455"/>
      <c r="L625" s="423"/>
      <c r="M625" s="419"/>
      <c r="N625" s="441"/>
      <c r="Q625"/>
      <c r="R625"/>
      <c r="S625"/>
    </row>
    <row r="626" spans="1:19" s="1" customFormat="1" ht="18.25" customHeight="1" outlineLevel="2">
      <c r="A626" s="576"/>
      <c r="B626" s="5" t="s">
        <v>6</v>
      </c>
      <c r="C626" s="6" t="s">
        <v>220</v>
      </c>
      <c r="D626" s="7" t="s">
        <v>22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6">
        <v>0</v>
      </c>
      <c r="K626" s="319">
        <v>0</v>
      </c>
      <c r="L626" s="424"/>
      <c r="M626" s="410">
        <v>0</v>
      </c>
      <c r="N626" s="429"/>
      <c r="Q626"/>
      <c r="R626"/>
      <c r="S626"/>
    </row>
    <row r="627" spans="1:19" s="1" customFormat="1" ht="18.25" customHeight="1" outlineLevel="2">
      <c r="A627" s="576"/>
      <c r="B627" s="5" t="s">
        <v>6</v>
      </c>
      <c r="C627" s="6" t="s">
        <v>383</v>
      </c>
      <c r="D627" s="7" t="s">
        <v>39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6">
        <v>0</v>
      </c>
      <c r="K627" s="319">
        <v>0</v>
      </c>
      <c r="L627" s="424">
        <v>0</v>
      </c>
      <c r="M627" s="410">
        <v>0</v>
      </c>
      <c r="N627" s="429"/>
      <c r="Q627"/>
      <c r="R627"/>
      <c r="S627"/>
    </row>
    <row r="628" spans="1:19" s="1" customFormat="1" ht="18.25" customHeight="1" outlineLevel="1">
      <c r="A628" s="576"/>
      <c r="B628" s="12" t="s">
        <v>6</v>
      </c>
      <c r="C628" s="13" t="s">
        <v>296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906">
        <v>0</v>
      </c>
      <c r="L628" s="907">
        <v>0</v>
      </c>
      <c r="M628" s="411">
        <v>0</v>
      </c>
      <c r="N628" s="430">
        <v>0</v>
      </c>
      <c r="O628" s="1" t="s">
        <v>171</v>
      </c>
      <c r="Q628"/>
      <c r="R628"/>
      <c r="S628"/>
    </row>
    <row r="629" spans="1:19" s="1" customFormat="1" ht="18.25" customHeight="1" outlineLevel="2">
      <c r="A629" s="576"/>
      <c r="B629" s="5" t="s">
        <v>6</v>
      </c>
      <c r="C629" s="6" t="s">
        <v>370</v>
      </c>
      <c r="D629" s="7" t="s">
        <v>237</v>
      </c>
      <c r="E629" s="8">
        <v>0</v>
      </c>
      <c r="F629" s="9">
        <v>0</v>
      </c>
      <c r="G629" s="8">
        <v>0</v>
      </c>
      <c r="H629" s="10">
        <v>0</v>
      </c>
      <c r="I629" s="310">
        <v>0</v>
      </c>
      <c r="J629" s="406">
        <v>0</v>
      </c>
      <c r="K629" s="319">
        <v>0</v>
      </c>
      <c r="L629" s="424"/>
      <c r="M629" s="410">
        <v>0</v>
      </c>
      <c r="N629" s="429"/>
      <c r="Q629"/>
      <c r="R629"/>
      <c r="S629"/>
    </row>
    <row r="630" spans="1:19" s="1" customFormat="1" ht="18.25" customHeight="1" outlineLevel="1">
      <c r="A630" s="576"/>
      <c r="B630" s="12" t="s">
        <v>6</v>
      </c>
      <c r="C630" s="13" t="s">
        <v>370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1">
        <v>0</v>
      </c>
      <c r="J630" s="312">
        <v>0</v>
      </c>
      <c r="K630" s="906">
        <v>0</v>
      </c>
      <c r="L630" s="907">
        <v>0</v>
      </c>
      <c r="M630" s="411">
        <v>0</v>
      </c>
      <c r="N630" s="430">
        <v>0</v>
      </c>
      <c r="O630" s="1" t="s">
        <v>669</v>
      </c>
      <c r="Q630"/>
      <c r="R630"/>
      <c r="S630"/>
    </row>
    <row r="631" spans="1:19" s="1" customFormat="1" ht="18.25" customHeight="1" outlineLevel="2">
      <c r="A631" s="576"/>
      <c r="B631" s="5" t="s">
        <v>6</v>
      </c>
      <c r="C631" s="18" t="s">
        <v>44</v>
      </c>
      <c r="D631" s="7" t="s">
        <v>20</v>
      </c>
      <c r="E631" s="8">
        <v>0</v>
      </c>
      <c r="F631" s="9">
        <v>0</v>
      </c>
      <c r="G631" s="8">
        <v>0</v>
      </c>
      <c r="H631" s="10">
        <v>0</v>
      </c>
      <c r="I631" s="310">
        <v>0</v>
      </c>
      <c r="J631" s="406">
        <v>0</v>
      </c>
      <c r="K631" s="319">
        <v>0</v>
      </c>
      <c r="L631" s="424"/>
      <c r="M631" s="410">
        <v>0</v>
      </c>
      <c r="N631" s="429"/>
      <c r="Q631"/>
      <c r="R631"/>
      <c r="S631"/>
    </row>
    <row r="632" spans="1:19" s="1" customFormat="1" ht="18.25" customHeight="1" outlineLevel="2">
      <c r="A632" s="576"/>
      <c r="B632" s="5" t="s">
        <v>6</v>
      </c>
      <c r="C632" s="18" t="s">
        <v>654</v>
      </c>
      <c r="D632" s="7" t="s">
        <v>27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6">
        <v>0</v>
      </c>
      <c r="K632" s="319">
        <v>0</v>
      </c>
      <c r="L632" s="424">
        <v>0</v>
      </c>
      <c r="M632" s="410">
        <v>0</v>
      </c>
      <c r="N632" s="429"/>
      <c r="Q632"/>
      <c r="R632"/>
      <c r="S632"/>
    </row>
    <row r="633" spans="1:19" s="1" customFormat="1" ht="18.25" customHeight="1" outlineLevel="1">
      <c r="A633" s="576"/>
      <c r="B633" s="12" t="s">
        <v>6</v>
      </c>
      <c r="C633" s="13" t="s">
        <v>45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1">
        <v>0</v>
      </c>
      <c r="J633" s="312">
        <v>0</v>
      </c>
      <c r="K633" s="906">
        <v>0</v>
      </c>
      <c r="L633" s="907">
        <v>0</v>
      </c>
      <c r="M633" s="411">
        <v>0</v>
      </c>
      <c r="N633" s="430">
        <v>0</v>
      </c>
      <c r="O633" s="1" t="s">
        <v>169</v>
      </c>
      <c r="Q633"/>
      <c r="R633"/>
      <c r="S633"/>
    </row>
    <row r="634" spans="1:19" s="1" customFormat="1" ht="18.25" customHeight="1" outlineLevel="2">
      <c r="A634" s="576"/>
      <c r="B634" s="5" t="s">
        <v>6</v>
      </c>
      <c r="C634" s="18" t="s">
        <v>293</v>
      </c>
      <c r="D634" s="7" t="s">
        <v>497</v>
      </c>
      <c r="E634" s="8">
        <v>0</v>
      </c>
      <c r="F634" s="9">
        <v>0</v>
      </c>
      <c r="G634" s="8">
        <v>6</v>
      </c>
      <c r="H634" s="10">
        <v>112542</v>
      </c>
      <c r="I634" s="310">
        <v>1</v>
      </c>
      <c r="J634" s="406">
        <v>1</v>
      </c>
      <c r="K634" s="319">
        <v>1</v>
      </c>
      <c r="L634" s="424"/>
      <c r="M634" s="410">
        <v>1</v>
      </c>
      <c r="N634" s="429"/>
      <c r="Q634"/>
      <c r="R634"/>
      <c r="S634"/>
    </row>
    <row r="635" spans="1:19" s="1" customFormat="1" ht="18.25" customHeight="1" outlineLevel="1">
      <c r="A635" s="576"/>
      <c r="B635" s="12" t="s">
        <v>6</v>
      </c>
      <c r="C635" s="13" t="s">
        <v>293</v>
      </c>
      <c r="D635" s="14">
        <v>1</v>
      </c>
      <c r="E635" s="15">
        <v>0</v>
      </c>
      <c r="F635" s="16">
        <v>0</v>
      </c>
      <c r="G635" s="15">
        <v>6</v>
      </c>
      <c r="H635" s="17">
        <v>112542</v>
      </c>
      <c r="I635" s="311">
        <v>1</v>
      </c>
      <c r="J635" s="312">
        <v>1</v>
      </c>
      <c r="K635" s="906">
        <v>1</v>
      </c>
      <c r="L635" s="907">
        <v>0</v>
      </c>
      <c r="M635" s="411">
        <v>1</v>
      </c>
      <c r="N635" s="430">
        <v>0</v>
      </c>
      <c r="O635" s="1" t="s">
        <v>355</v>
      </c>
      <c r="Q635"/>
      <c r="R635"/>
      <c r="S635"/>
    </row>
    <row r="636" spans="1:19" s="1" customFormat="1" ht="18.25" customHeight="1" outlineLevel="2">
      <c r="A636" s="576"/>
      <c r="B636" s="5" t="s">
        <v>6</v>
      </c>
      <c r="C636" s="39" t="s">
        <v>309</v>
      </c>
      <c r="D636" s="7" t="s">
        <v>22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6">
        <v>0</v>
      </c>
      <c r="K636" s="319">
        <v>0</v>
      </c>
      <c r="L636" s="424"/>
      <c r="M636" s="410">
        <v>0</v>
      </c>
      <c r="N636" s="429"/>
      <c r="Q636"/>
      <c r="R636"/>
      <c r="S636"/>
    </row>
    <row r="637" spans="1:19" s="1" customFormat="1" ht="18.25" customHeight="1" outlineLevel="2">
      <c r="A637" s="576"/>
      <c r="B637" s="5" t="s">
        <v>6</v>
      </c>
      <c r="C637" s="6" t="s">
        <v>260</v>
      </c>
      <c r="D637" s="7" t="s">
        <v>17</v>
      </c>
      <c r="E637" s="8">
        <v>0</v>
      </c>
      <c r="F637" s="9">
        <v>6</v>
      </c>
      <c r="G637" s="8">
        <v>3</v>
      </c>
      <c r="H637" s="10">
        <v>25972</v>
      </c>
      <c r="I637" s="310">
        <v>1</v>
      </c>
      <c r="J637" s="406">
        <v>1</v>
      </c>
      <c r="K637" s="319">
        <v>1</v>
      </c>
      <c r="L637" s="424">
        <v>0</v>
      </c>
      <c r="M637" s="410">
        <v>1</v>
      </c>
      <c r="N637" s="429"/>
      <c r="Q637"/>
      <c r="R637"/>
      <c r="S637"/>
    </row>
    <row r="638" spans="1:19" s="1" customFormat="1" ht="18.25" customHeight="1" outlineLevel="2">
      <c r="A638" s="576"/>
      <c r="B638" s="5" t="s">
        <v>6</v>
      </c>
      <c r="C638" s="6" t="s">
        <v>565</v>
      </c>
      <c r="D638" s="7" t="s">
        <v>17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6">
        <v>0</v>
      </c>
      <c r="K638" s="319">
        <v>0</v>
      </c>
      <c r="L638" s="424">
        <v>0</v>
      </c>
      <c r="M638" s="410">
        <v>0</v>
      </c>
      <c r="N638" s="429"/>
      <c r="Q638"/>
      <c r="R638"/>
      <c r="S638"/>
    </row>
    <row r="639" spans="1:19" s="1" customFormat="1" ht="18.25" customHeight="1" outlineLevel="1">
      <c r="A639" s="576"/>
      <c r="B639" s="12" t="s">
        <v>6</v>
      </c>
      <c r="C639" s="20" t="s">
        <v>498</v>
      </c>
      <c r="D639" s="14">
        <v>3</v>
      </c>
      <c r="E639" s="15">
        <v>0</v>
      </c>
      <c r="F639" s="16">
        <v>6</v>
      </c>
      <c r="G639" s="15">
        <v>3</v>
      </c>
      <c r="H639" s="17">
        <v>25972</v>
      </c>
      <c r="I639" s="311">
        <v>1</v>
      </c>
      <c r="J639" s="312">
        <v>1</v>
      </c>
      <c r="K639" s="906">
        <v>1</v>
      </c>
      <c r="L639" s="907">
        <v>0</v>
      </c>
      <c r="M639" s="411">
        <v>1</v>
      </c>
      <c r="N639" s="430">
        <v>0</v>
      </c>
      <c r="O639" s="1" t="s">
        <v>171</v>
      </c>
      <c r="Q639"/>
      <c r="R639"/>
      <c r="S639"/>
    </row>
    <row r="640" spans="1:19" s="1" customFormat="1" ht="18.25" customHeight="1" outlineLevel="2">
      <c r="A640" s="576"/>
      <c r="B640" s="5" t="s">
        <v>6</v>
      </c>
      <c r="C640" s="6" t="s">
        <v>46</v>
      </c>
      <c r="D640" s="19" t="s">
        <v>47</v>
      </c>
      <c r="E640" s="8">
        <v>0</v>
      </c>
      <c r="F640" s="9">
        <v>0</v>
      </c>
      <c r="G640" s="8">
        <v>0</v>
      </c>
      <c r="H640" s="10">
        <v>0</v>
      </c>
      <c r="I640" s="310">
        <v>0</v>
      </c>
      <c r="J640" s="406">
        <v>0</v>
      </c>
      <c r="K640" s="319">
        <v>0</v>
      </c>
      <c r="L640" s="424"/>
      <c r="M640" s="410">
        <v>0</v>
      </c>
      <c r="N640" s="429"/>
      <c r="Q640"/>
      <c r="R640"/>
      <c r="S640"/>
    </row>
    <row r="641" spans="1:19" s="1" customFormat="1" ht="18.25" customHeight="1" outlineLevel="2">
      <c r="A641" s="576"/>
      <c r="B641" s="5" t="s">
        <v>6</v>
      </c>
      <c r="C641" s="6" t="s">
        <v>377</v>
      </c>
      <c r="D641" s="7" t="s">
        <v>17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6">
        <v>0</v>
      </c>
      <c r="K641" s="319">
        <v>0</v>
      </c>
      <c r="L641" s="424">
        <v>0</v>
      </c>
      <c r="M641" s="410">
        <v>0</v>
      </c>
      <c r="N641" s="429"/>
      <c r="Q641"/>
      <c r="R641"/>
      <c r="S641"/>
    </row>
    <row r="642" spans="1:19" s="1" customFormat="1" ht="18.25" customHeight="1" outlineLevel="2">
      <c r="A642" s="576"/>
      <c r="B642" s="5" t="s">
        <v>6</v>
      </c>
      <c r="C642" s="6" t="s">
        <v>249</v>
      </c>
      <c r="D642" s="7" t="s">
        <v>17</v>
      </c>
      <c r="E642" s="8">
        <v>0</v>
      </c>
      <c r="F642" s="9">
        <v>0</v>
      </c>
      <c r="G642" s="8">
        <v>1</v>
      </c>
      <c r="H642" s="10">
        <v>14240</v>
      </c>
      <c r="I642" s="310">
        <v>1</v>
      </c>
      <c r="J642" s="406">
        <v>1</v>
      </c>
      <c r="K642" s="319">
        <v>0</v>
      </c>
      <c r="L642" s="424">
        <v>0</v>
      </c>
      <c r="M642" s="410">
        <v>0</v>
      </c>
      <c r="N642" s="429"/>
      <c r="Q642"/>
      <c r="R642"/>
      <c r="S642"/>
    </row>
    <row r="643" spans="1:19" s="1" customFormat="1" ht="18.25" customHeight="1" outlineLevel="2">
      <c r="A643" s="576"/>
      <c r="B643" s="5" t="s">
        <v>6</v>
      </c>
      <c r="C643" s="18" t="s">
        <v>267</v>
      </c>
      <c r="D643" s="7" t="s">
        <v>17</v>
      </c>
      <c r="E643" s="8">
        <v>0</v>
      </c>
      <c r="F643" s="9">
        <v>0</v>
      </c>
      <c r="G643" s="8">
        <v>1</v>
      </c>
      <c r="H643" s="10">
        <v>2207</v>
      </c>
      <c r="I643" s="310">
        <v>1</v>
      </c>
      <c r="J643" s="406">
        <v>0</v>
      </c>
      <c r="K643" s="319">
        <v>0</v>
      </c>
      <c r="L643" s="424">
        <v>0</v>
      </c>
      <c r="M643" s="410">
        <v>0</v>
      </c>
      <c r="N643" s="429"/>
      <c r="Q643"/>
      <c r="R643"/>
      <c r="S643"/>
    </row>
    <row r="644" spans="1:19" s="1" customFormat="1" ht="18.25" customHeight="1" outlineLevel="1">
      <c r="A644" s="576"/>
      <c r="B644" s="12" t="s">
        <v>6</v>
      </c>
      <c r="C644" s="20" t="s">
        <v>46</v>
      </c>
      <c r="D644" s="14">
        <v>4</v>
      </c>
      <c r="E644" s="21">
        <v>0</v>
      </c>
      <c r="F644" s="16">
        <v>0</v>
      </c>
      <c r="G644" s="21">
        <v>2</v>
      </c>
      <c r="H644" s="17">
        <v>16447</v>
      </c>
      <c r="I644" s="311">
        <v>2</v>
      </c>
      <c r="J644" s="312">
        <v>1</v>
      </c>
      <c r="K644" s="906">
        <v>0</v>
      </c>
      <c r="L644" s="907">
        <v>0</v>
      </c>
      <c r="M644" s="411">
        <v>0</v>
      </c>
      <c r="N644" s="430">
        <v>0</v>
      </c>
      <c r="O644" s="1" t="s">
        <v>51</v>
      </c>
      <c r="Q644"/>
      <c r="R644"/>
      <c r="S644"/>
    </row>
    <row r="645" spans="1:19" s="1" customFormat="1" ht="18.25" customHeight="1" outlineLevel="2">
      <c r="A645" s="576"/>
      <c r="B645" s="5" t="s">
        <v>6</v>
      </c>
      <c r="C645" s="6" t="s">
        <v>48</v>
      </c>
      <c r="D645" s="7" t="s">
        <v>25</v>
      </c>
      <c r="E645" s="8">
        <v>0</v>
      </c>
      <c r="F645" s="9">
        <v>0</v>
      </c>
      <c r="G645" s="8">
        <v>0</v>
      </c>
      <c r="H645" s="10">
        <v>0</v>
      </c>
      <c r="I645" s="310">
        <v>0</v>
      </c>
      <c r="J645" s="406">
        <v>0</v>
      </c>
      <c r="K645" s="319">
        <v>0</v>
      </c>
      <c r="L645" s="424"/>
      <c r="M645" s="410">
        <v>0</v>
      </c>
      <c r="N645" s="429"/>
      <c r="Q645"/>
      <c r="R645"/>
      <c r="S645"/>
    </row>
    <row r="646" spans="1:19" s="1" customFormat="1" ht="18.25" customHeight="1" outlineLevel="2">
      <c r="A646" s="576"/>
      <c r="B646" s="5" t="s">
        <v>6</v>
      </c>
      <c r="C646" s="6" t="s">
        <v>361</v>
      </c>
      <c r="D646" s="7" t="s">
        <v>17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6">
        <v>0</v>
      </c>
      <c r="K646" s="319">
        <v>0</v>
      </c>
      <c r="L646" s="424">
        <v>0</v>
      </c>
      <c r="M646" s="410">
        <v>0</v>
      </c>
      <c r="N646" s="429"/>
      <c r="Q646"/>
      <c r="R646"/>
      <c r="S646"/>
    </row>
    <row r="647" spans="1:19" s="1" customFormat="1" ht="18.25" customHeight="1" outlineLevel="1">
      <c r="A647" s="576"/>
      <c r="B647" s="12" t="s">
        <v>6</v>
      </c>
      <c r="C647" s="20" t="s">
        <v>48</v>
      </c>
      <c r="D647" s="14">
        <v>2</v>
      </c>
      <c r="E647" s="21">
        <v>0</v>
      </c>
      <c r="F647" s="16">
        <v>0</v>
      </c>
      <c r="G647" s="21">
        <v>0</v>
      </c>
      <c r="H647" s="17">
        <v>0</v>
      </c>
      <c r="I647" s="311">
        <v>0</v>
      </c>
      <c r="J647" s="312">
        <v>0</v>
      </c>
      <c r="K647" s="906">
        <v>0</v>
      </c>
      <c r="L647" s="907">
        <v>0</v>
      </c>
      <c r="M647" s="411">
        <v>0</v>
      </c>
      <c r="N647" s="430">
        <v>0</v>
      </c>
      <c r="O647" s="1" t="s">
        <v>169</v>
      </c>
      <c r="Q647"/>
      <c r="R647"/>
      <c r="S647"/>
    </row>
    <row r="648" spans="1:19" ht="18.25" customHeight="1" outlineLevel="2">
      <c r="B648" s="5" t="s">
        <v>6</v>
      </c>
      <c r="C648" s="18" t="s">
        <v>49</v>
      </c>
      <c r="D648" s="7" t="s">
        <v>22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6">
        <v>0</v>
      </c>
      <c r="K648" s="319">
        <v>0</v>
      </c>
      <c r="L648" s="424"/>
      <c r="M648" s="410">
        <v>0</v>
      </c>
      <c r="N648" s="429"/>
    </row>
    <row r="649" spans="1:19" ht="18.25" customHeight="1" outlineLevel="2">
      <c r="B649" s="41" t="s">
        <v>6</v>
      </c>
      <c r="C649" s="39" t="s">
        <v>503</v>
      </c>
      <c r="D649" s="23" t="s">
        <v>17</v>
      </c>
      <c r="E649" s="42">
        <v>0</v>
      </c>
      <c r="F649" s="43">
        <v>0</v>
      </c>
      <c r="G649" s="42">
        <v>2</v>
      </c>
      <c r="H649" s="44">
        <v>5594</v>
      </c>
      <c r="I649" s="313">
        <v>1</v>
      </c>
      <c r="J649" s="406">
        <v>0</v>
      </c>
      <c r="K649" s="319">
        <v>0</v>
      </c>
      <c r="L649" s="424">
        <v>0</v>
      </c>
      <c r="M649" s="410">
        <v>0</v>
      </c>
      <c r="N649" s="429"/>
    </row>
    <row r="650" spans="1:19" ht="18.25" customHeight="1" outlineLevel="1">
      <c r="B650" s="12" t="s">
        <v>6</v>
      </c>
      <c r="C650" s="13" t="s">
        <v>49</v>
      </c>
      <c r="D650" s="14">
        <v>2</v>
      </c>
      <c r="E650" s="15">
        <v>0</v>
      </c>
      <c r="F650" s="16">
        <v>0</v>
      </c>
      <c r="G650" s="15">
        <v>2</v>
      </c>
      <c r="H650" s="17">
        <v>5594</v>
      </c>
      <c r="I650" s="311">
        <v>1</v>
      </c>
      <c r="J650" s="312">
        <v>0</v>
      </c>
      <c r="K650" s="906">
        <v>0</v>
      </c>
      <c r="L650" s="907">
        <v>0</v>
      </c>
      <c r="M650" s="411">
        <v>0</v>
      </c>
      <c r="N650" s="430">
        <v>0</v>
      </c>
      <c r="O650" s="1" t="s">
        <v>171</v>
      </c>
    </row>
    <row r="651" spans="1:19" ht="18.25" customHeight="1" outlineLevel="2">
      <c r="B651" s="5" t="s">
        <v>6</v>
      </c>
      <c r="C651" s="18" t="s">
        <v>50</v>
      </c>
      <c r="D651" s="7" t="s">
        <v>22</v>
      </c>
      <c r="E651" s="8">
        <v>0</v>
      </c>
      <c r="F651" s="9">
        <v>0</v>
      </c>
      <c r="G651" s="8">
        <v>8</v>
      </c>
      <c r="H651" s="10">
        <v>162656</v>
      </c>
      <c r="I651" s="310">
        <v>1</v>
      </c>
      <c r="J651" s="406">
        <v>1</v>
      </c>
      <c r="K651" s="319">
        <v>1</v>
      </c>
      <c r="L651" s="424"/>
      <c r="M651" s="410">
        <v>1</v>
      </c>
      <c r="N651" s="429"/>
    </row>
    <row r="652" spans="1:19" ht="18.25" customHeight="1" outlineLevel="2">
      <c r="B652" s="5" t="s">
        <v>6</v>
      </c>
      <c r="C652" s="18" t="s">
        <v>706</v>
      </c>
      <c r="D652" s="7" t="s">
        <v>17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6">
        <v>0</v>
      </c>
      <c r="K652" s="319">
        <v>0</v>
      </c>
      <c r="L652" s="424">
        <v>0</v>
      </c>
      <c r="M652" s="410">
        <v>0</v>
      </c>
      <c r="N652" s="429"/>
    </row>
    <row r="653" spans="1:19" ht="18.25" customHeight="1" outlineLevel="2">
      <c r="B653" s="5" t="s">
        <v>6</v>
      </c>
      <c r="C653" s="18" t="s">
        <v>374</v>
      </c>
      <c r="D653" s="7" t="s">
        <v>17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6">
        <v>0</v>
      </c>
      <c r="K653" s="319">
        <v>0</v>
      </c>
      <c r="L653" s="424">
        <v>0</v>
      </c>
      <c r="M653" s="410">
        <v>0</v>
      </c>
      <c r="N653" s="429"/>
    </row>
    <row r="654" spans="1:19" ht="18.25" customHeight="1" outlineLevel="1">
      <c r="B654" s="12" t="s">
        <v>6</v>
      </c>
      <c r="C654" s="13" t="s">
        <v>50</v>
      </c>
      <c r="D654" s="14">
        <v>3</v>
      </c>
      <c r="E654" s="15">
        <v>0</v>
      </c>
      <c r="F654" s="16">
        <v>0</v>
      </c>
      <c r="G654" s="15">
        <v>8</v>
      </c>
      <c r="H654" s="17">
        <v>162656</v>
      </c>
      <c r="I654" s="311">
        <v>1</v>
      </c>
      <c r="J654" s="312">
        <v>1</v>
      </c>
      <c r="K654" s="906">
        <v>1</v>
      </c>
      <c r="L654" s="907">
        <v>0</v>
      </c>
      <c r="M654" s="411">
        <v>1</v>
      </c>
      <c r="N654" s="430">
        <v>0</v>
      </c>
      <c r="O654" s="1" t="s">
        <v>171</v>
      </c>
    </row>
    <row r="655" spans="1:19" s="149" customFormat="1" ht="18.25" customHeight="1">
      <c r="A655" s="575" t="s">
        <v>850</v>
      </c>
      <c r="B655" s="967" t="s">
        <v>11</v>
      </c>
      <c r="C655" s="968"/>
      <c r="D655" s="145">
        <v>108</v>
      </c>
      <c r="E655" s="146">
        <v>2</v>
      </c>
      <c r="F655" s="147">
        <v>9944</v>
      </c>
      <c r="G655" s="146">
        <v>84.5</v>
      </c>
      <c r="H655" s="148">
        <v>1511488</v>
      </c>
      <c r="I655" s="314">
        <v>38</v>
      </c>
      <c r="J655" s="315">
        <v>22</v>
      </c>
      <c r="K655" s="908">
        <v>15</v>
      </c>
      <c r="L655" s="909">
        <v>10</v>
      </c>
      <c r="M655" s="412">
        <v>16</v>
      </c>
      <c r="N655" s="431">
        <v>4</v>
      </c>
      <c r="O655" s="248"/>
      <c r="P655" s="248"/>
    </row>
    <row r="656" spans="1:19" ht="18.25" customHeight="1" outlineLevel="2">
      <c r="B656" s="5" t="s">
        <v>903</v>
      </c>
      <c r="C656" s="6" t="s">
        <v>895</v>
      </c>
      <c r="D656" s="846"/>
      <c r="E656" s="8">
        <v>0</v>
      </c>
      <c r="F656" s="9">
        <v>0</v>
      </c>
      <c r="G656" s="8">
        <v>0</v>
      </c>
      <c r="H656" s="10">
        <v>0</v>
      </c>
      <c r="I656" s="847"/>
      <c r="J656" s="848"/>
      <c r="K656" s="319"/>
      <c r="L656" s="424"/>
      <c r="M656" s="849"/>
      <c r="N656" s="429"/>
    </row>
    <row r="657" spans="1:19" ht="18.25" customHeight="1" outlineLevel="1">
      <c r="B657" s="12" t="s">
        <v>892</v>
      </c>
      <c r="C657" s="13" t="s">
        <v>894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326">
        <v>0</v>
      </c>
      <c r="J657" s="327">
        <v>0</v>
      </c>
      <c r="K657" s="455">
        <v>0</v>
      </c>
      <c r="L657" s="423">
        <v>0</v>
      </c>
      <c r="M657" s="418">
        <v>0</v>
      </c>
      <c r="N657" s="440">
        <v>0</v>
      </c>
      <c r="O657" s="446" t="s">
        <v>893</v>
      </c>
    </row>
    <row r="658" spans="1:19" ht="18.25" customHeight="1" outlineLevel="2">
      <c r="B658" s="5" t="s">
        <v>892</v>
      </c>
      <c r="C658" s="6" t="s">
        <v>244</v>
      </c>
      <c r="D658" s="7" t="s">
        <v>905</v>
      </c>
      <c r="E658" s="8">
        <v>1</v>
      </c>
      <c r="F658" s="9">
        <v>2747</v>
      </c>
      <c r="G658" s="8">
        <v>3</v>
      </c>
      <c r="H658" s="10">
        <v>27149</v>
      </c>
      <c r="I658" s="310">
        <v>1</v>
      </c>
      <c r="J658" s="406">
        <v>1</v>
      </c>
      <c r="K658" s="319">
        <v>1</v>
      </c>
      <c r="L658" s="424"/>
      <c r="M658" s="410">
        <v>1</v>
      </c>
      <c r="N658" s="429"/>
    </row>
    <row r="659" spans="1:19" ht="18.25" customHeight="1" outlineLevel="2">
      <c r="B659" s="5" t="s">
        <v>892</v>
      </c>
      <c r="C659" s="6" t="s">
        <v>168</v>
      </c>
      <c r="D659" s="7" t="s">
        <v>27</v>
      </c>
      <c r="E659" s="8">
        <v>0</v>
      </c>
      <c r="F659" s="9">
        <v>0</v>
      </c>
      <c r="G659" s="8">
        <v>4</v>
      </c>
      <c r="H659" s="10">
        <v>47900</v>
      </c>
      <c r="I659" s="310">
        <v>1</v>
      </c>
      <c r="J659" s="406">
        <v>1</v>
      </c>
      <c r="K659" s="319">
        <v>1</v>
      </c>
      <c r="L659" s="424">
        <v>0</v>
      </c>
      <c r="M659" s="410">
        <v>1</v>
      </c>
      <c r="N659" s="429"/>
    </row>
    <row r="660" spans="1:19" ht="18.25" customHeight="1" outlineLevel="2">
      <c r="B660" s="5" t="s">
        <v>892</v>
      </c>
      <c r="C660" s="6" t="s">
        <v>808</v>
      </c>
      <c r="D660" s="7" t="s">
        <v>27</v>
      </c>
      <c r="E660" s="8">
        <v>0</v>
      </c>
      <c r="F660" s="9">
        <v>0</v>
      </c>
      <c r="G660" s="8">
        <v>1</v>
      </c>
      <c r="H660" s="10">
        <v>30409</v>
      </c>
      <c r="I660" s="310">
        <v>1</v>
      </c>
      <c r="J660" s="406">
        <v>1</v>
      </c>
      <c r="K660" s="319">
        <v>1</v>
      </c>
      <c r="L660" s="424">
        <v>1</v>
      </c>
      <c r="M660" s="410">
        <v>1</v>
      </c>
      <c r="N660" s="429"/>
    </row>
    <row r="661" spans="1:19" ht="18.25" customHeight="1" outlineLevel="2">
      <c r="B661" s="41" t="s">
        <v>892</v>
      </c>
      <c r="C661" s="39" t="s">
        <v>538</v>
      </c>
      <c r="D661" s="23" t="s">
        <v>188</v>
      </c>
      <c r="E661" s="8">
        <v>0</v>
      </c>
      <c r="F661" s="9">
        <v>0</v>
      </c>
      <c r="G661" s="8">
        <v>4</v>
      </c>
      <c r="H661" s="10">
        <v>31376</v>
      </c>
      <c r="I661" s="310">
        <v>1</v>
      </c>
      <c r="J661" s="406">
        <v>1</v>
      </c>
      <c r="K661" s="319">
        <v>1</v>
      </c>
      <c r="L661" s="424">
        <v>0</v>
      </c>
      <c r="M661" s="410">
        <v>1</v>
      </c>
      <c r="N661" s="429"/>
    </row>
    <row r="662" spans="1:19" ht="18.25" customHeight="1" outlineLevel="1">
      <c r="B662" s="12" t="s">
        <v>892</v>
      </c>
      <c r="C662" s="13" t="s">
        <v>647</v>
      </c>
      <c r="D662" s="14">
        <v>4</v>
      </c>
      <c r="E662" s="31">
        <v>1</v>
      </c>
      <c r="F662" s="32">
        <v>2747</v>
      </c>
      <c r="G662" s="31">
        <v>12</v>
      </c>
      <c r="H662" s="33">
        <v>136834</v>
      </c>
      <c r="I662" s="326">
        <v>4</v>
      </c>
      <c r="J662" s="327">
        <v>4</v>
      </c>
      <c r="K662" s="455">
        <v>4</v>
      </c>
      <c r="L662" s="423">
        <v>1</v>
      </c>
      <c r="M662" s="418">
        <v>4</v>
      </c>
      <c r="N662" s="440">
        <v>1</v>
      </c>
      <c r="O662" s="446" t="s">
        <v>51</v>
      </c>
    </row>
    <row r="663" spans="1:19" ht="18.25" customHeight="1" outlineLevel="2">
      <c r="B663" s="5" t="s">
        <v>892</v>
      </c>
      <c r="C663" s="18" t="s">
        <v>524</v>
      </c>
      <c r="D663" s="533" t="s">
        <v>578</v>
      </c>
      <c r="E663" s="8">
        <v>0</v>
      </c>
      <c r="F663" s="9">
        <v>0</v>
      </c>
      <c r="G663" s="8">
        <v>0</v>
      </c>
      <c r="H663" s="10">
        <v>0</v>
      </c>
      <c r="I663" s="318"/>
      <c r="J663" s="408"/>
      <c r="K663" s="319"/>
      <c r="L663" s="424"/>
      <c r="M663" s="415"/>
      <c r="N663" s="438"/>
    </row>
    <row r="664" spans="1:19" ht="18.25" customHeight="1" outlineLevel="1">
      <c r="B664" s="12" t="s">
        <v>892</v>
      </c>
      <c r="C664" s="13" t="s">
        <v>524</v>
      </c>
      <c r="D664" s="535"/>
      <c r="E664" s="31">
        <v>0</v>
      </c>
      <c r="F664" s="32">
        <v>0</v>
      </c>
      <c r="G664" s="31">
        <v>0</v>
      </c>
      <c r="H664" s="33">
        <v>0</v>
      </c>
      <c r="I664" s="328"/>
      <c r="J664" s="329"/>
      <c r="K664" s="455"/>
      <c r="L664" s="424"/>
      <c r="M664" s="415"/>
      <c r="N664" s="441"/>
      <c r="O664" s="251"/>
    </row>
    <row r="665" spans="1:19" s="1" customFormat="1" ht="18.25" customHeight="1" outlineLevel="2">
      <c r="A665" s="576"/>
      <c r="B665" s="5" t="s">
        <v>892</v>
      </c>
      <c r="C665" s="18" t="s">
        <v>540</v>
      </c>
      <c r="D665" s="7" t="s">
        <v>765</v>
      </c>
      <c r="E665" s="8">
        <v>0</v>
      </c>
      <c r="F665" s="9">
        <v>0</v>
      </c>
      <c r="G665" s="8">
        <v>4</v>
      </c>
      <c r="H665" s="10">
        <v>55439</v>
      </c>
      <c r="I665" s="310">
        <v>1</v>
      </c>
      <c r="J665" s="406">
        <v>1</v>
      </c>
      <c r="K665" s="319">
        <v>1</v>
      </c>
      <c r="L665" s="424"/>
      <c r="M665" s="410">
        <v>1</v>
      </c>
      <c r="N665" s="429"/>
      <c r="Q665"/>
      <c r="R665"/>
      <c r="S665"/>
    </row>
    <row r="666" spans="1:19" s="1" customFormat="1" ht="18.25" customHeight="1" outlineLevel="1">
      <c r="A666" s="576"/>
      <c r="B666" s="12" t="s">
        <v>892</v>
      </c>
      <c r="C666" s="13" t="s">
        <v>540</v>
      </c>
      <c r="D666" s="14">
        <v>1</v>
      </c>
      <c r="E666" s="31">
        <v>0</v>
      </c>
      <c r="F666" s="32">
        <v>0</v>
      </c>
      <c r="G666" s="31">
        <v>4</v>
      </c>
      <c r="H666" s="33">
        <v>55439</v>
      </c>
      <c r="I666" s="326">
        <v>1</v>
      </c>
      <c r="J666" s="327">
        <v>1</v>
      </c>
      <c r="K666" s="455">
        <v>1</v>
      </c>
      <c r="L666" s="423">
        <v>0</v>
      </c>
      <c r="M666" s="418">
        <v>1</v>
      </c>
      <c r="N666" s="440">
        <v>0</v>
      </c>
      <c r="O666" s="446" t="s">
        <v>355</v>
      </c>
      <c r="Q666"/>
      <c r="R666"/>
      <c r="S666"/>
    </row>
    <row r="667" spans="1:19" s="1" customFormat="1" ht="18.25" customHeight="1" outlineLevel="2">
      <c r="A667" s="576"/>
      <c r="B667" s="5" t="s">
        <v>892</v>
      </c>
      <c r="C667" s="18" t="s">
        <v>539</v>
      </c>
      <c r="D667" s="7" t="s">
        <v>369</v>
      </c>
      <c r="E667" s="8">
        <v>0</v>
      </c>
      <c r="F667" s="9">
        <v>0</v>
      </c>
      <c r="G667" s="8">
        <v>13</v>
      </c>
      <c r="H667" s="10">
        <v>46730</v>
      </c>
      <c r="I667" s="310">
        <v>1</v>
      </c>
      <c r="J667" s="406">
        <v>1</v>
      </c>
      <c r="K667" s="319">
        <v>1</v>
      </c>
      <c r="L667" s="424"/>
      <c r="M667" s="410">
        <v>1</v>
      </c>
      <c r="N667" s="429"/>
      <c r="O667" s="447"/>
      <c r="Q667"/>
      <c r="R667"/>
      <c r="S667"/>
    </row>
    <row r="668" spans="1:19" s="1" customFormat="1" ht="18.25" customHeight="1" outlineLevel="1">
      <c r="A668" s="576"/>
      <c r="B668" s="12" t="s">
        <v>892</v>
      </c>
      <c r="C668" s="13" t="s">
        <v>539</v>
      </c>
      <c r="D668" s="14">
        <v>1</v>
      </c>
      <c r="E668" s="31">
        <v>0</v>
      </c>
      <c r="F668" s="32">
        <v>0</v>
      </c>
      <c r="G668" s="31">
        <v>13</v>
      </c>
      <c r="H668" s="33">
        <v>46730</v>
      </c>
      <c r="I668" s="326">
        <v>1</v>
      </c>
      <c r="J668" s="327">
        <v>1</v>
      </c>
      <c r="K668" s="455">
        <v>1</v>
      </c>
      <c r="L668" s="423">
        <v>0</v>
      </c>
      <c r="M668" s="418">
        <v>1</v>
      </c>
      <c r="N668" s="440">
        <v>0</v>
      </c>
      <c r="O668" s="446" t="s">
        <v>670</v>
      </c>
      <c r="Q668"/>
      <c r="R668"/>
      <c r="S668"/>
    </row>
    <row r="669" spans="1:19" s="1" customFormat="1" ht="18.25" customHeight="1" outlineLevel="2">
      <c r="A669" s="576"/>
      <c r="B669" s="5" t="s">
        <v>892</v>
      </c>
      <c r="C669" s="6" t="s">
        <v>194</v>
      </c>
      <c r="D669" s="533" t="s">
        <v>578</v>
      </c>
      <c r="E669" s="8">
        <v>0</v>
      </c>
      <c r="F669" s="9">
        <v>0</v>
      </c>
      <c r="G669" s="8">
        <v>1</v>
      </c>
      <c r="H669" s="10">
        <v>10000</v>
      </c>
      <c r="I669" s="318"/>
      <c r="J669" s="408"/>
      <c r="K669" s="319"/>
      <c r="L669" s="424"/>
      <c r="M669" s="415"/>
      <c r="N669" s="438"/>
      <c r="Q669"/>
      <c r="R669"/>
      <c r="S669"/>
    </row>
    <row r="670" spans="1:19" s="1" customFormat="1" ht="18.25" customHeight="1" outlineLevel="1">
      <c r="A670" s="576"/>
      <c r="B670" s="34" t="s">
        <v>892</v>
      </c>
      <c r="C670" s="13" t="s">
        <v>170</v>
      </c>
      <c r="D670" s="532"/>
      <c r="E670" s="31">
        <v>0</v>
      </c>
      <c r="F670" s="32">
        <v>0</v>
      </c>
      <c r="G670" s="31">
        <v>1</v>
      </c>
      <c r="H670" s="35">
        <v>10000</v>
      </c>
      <c r="I670" s="328"/>
      <c r="J670" s="329"/>
      <c r="K670" s="455"/>
      <c r="L670" s="423"/>
      <c r="M670" s="419"/>
      <c r="N670" s="441"/>
      <c r="Q670"/>
      <c r="R670"/>
      <c r="S670"/>
    </row>
    <row r="671" spans="1:19" s="1" customFormat="1" ht="18.25" customHeight="1" outlineLevel="2">
      <c r="A671" s="576"/>
      <c r="B671" s="5" t="s">
        <v>892</v>
      </c>
      <c r="C671" s="6" t="s">
        <v>195</v>
      </c>
      <c r="D671" s="7" t="s">
        <v>171</v>
      </c>
      <c r="E671" s="8">
        <v>0</v>
      </c>
      <c r="F671" s="9">
        <v>0</v>
      </c>
      <c r="G671" s="8">
        <v>5</v>
      </c>
      <c r="H671" s="10">
        <v>52369</v>
      </c>
      <c r="I671" s="310">
        <v>1</v>
      </c>
      <c r="J671" s="406">
        <v>1</v>
      </c>
      <c r="K671" s="319">
        <v>1</v>
      </c>
      <c r="L671" s="424"/>
      <c r="M671" s="410">
        <v>1</v>
      </c>
      <c r="N671" s="429"/>
      <c r="Q671"/>
      <c r="R671"/>
      <c r="S671"/>
    </row>
    <row r="672" spans="1:19" s="1" customFormat="1" ht="18.25" customHeight="1" outlineLevel="2">
      <c r="A672" s="576"/>
      <c r="B672" s="5" t="s">
        <v>892</v>
      </c>
      <c r="C672" s="6" t="s">
        <v>712</v>
      </c>
      <c r="D672" s="7" t="s">
        <v>27</v>
      </c>
      <c r="E672" s="8">
        <v>0</v>
      </c>
      <c r="F672" s="9">
        <v>0</v>
      </c>
      <c r="G672" s="8">
        <v>1</v>
      </c>
      <c r="H672" s="10">
        <v>2281</v>
      </c>
      <c r="I672" s="310">
        <v>1</v>
      </c>
      <c r="J672" s="406">
        <v>0</v>
      </c>
      <c r="K672" s="319">
        <v>0</v>
      </c>
      <c r="L672" s="424">
        <v>0</v>
      </c>
      <c r="M672" s="410">
        <v>0</v>
      </c>
      <c r="N672" s="429"/>
      <c r="Q672"/>
      <c r="R672"/>
      <c r="S672"/>
    </row>
    <row r="673" spans="1:19" s="1" customFormat="1" ht="18.25" customHeight="1" outlineLevel="2">
      <c r="A673" s="576"/>
      <c r="B673" s="5" t="s">
        <v>892</v>
      </c>
      <c r="C673" s="6" t="s">
        <v>697</v>
      </c>
      <c r="D673" s="7" t="s">
        <v>27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6">
        <v>0</v>
      </c>
      <c r="K673" s="319">
        <v>0</v>
      </c>
      <c r="L673" s="424">
        <v>0</v>
      </c>
      <c r="M673" s="410">
        <v>0</v>
      </c>
      <c r="N673" s="429"/>
      <c r="Q673"/>
      <c r="R673"/>
      <c r="S673"/>
    </row>
    <row r="674" spans="1:19" s="1" customFormat="1" ht="18.25" customHeight="1" outlineLevel="1">
      <c r="A674" s="576"/>
      <c r="B674" s="12" t="s">
        <v>892</v>
      </c>
      <c r="C674" s="13" t="s">
        <v>172</v>
      </c>
      <c r="D674" s="14">
        <v>3</v>
      </c>
      <c r="E674" s="31">
        <v>0</v>
      </c>
      <c r="F674" s="32">
        <v>0</v>
      </c>
      <c r="G674" s="31">
        <v>6</v>
      </c>
      <c r="H674" s="35">
        <v>54650</v>
      </c>
      <c r="I674" s="326">
        <v>2</v>
      </c>
      <c r="J674" s="327">
        <v>1</v>
      </c>
      <c r="K674" s="455">
        <v>1</v>
      </c>
      <c r="L674" s="423">
        <v>0</v>
      </c>
      <c r="M674" s="418">
        <v>1</v>
      </c>
      <c r="N674" s="440">
        <v>0</v>
      </c>
      <c r="O674" s="1" t="s">
        <v>171</v>
      </c>
      <c r="Q674"/>
      <c r="R674"/>
      <c r="S674"/>
    </row>
    <row r="675" spans="1:19" s="1" customFormat="1" ht="18.25" customHeight="1" outlineLevel="2">
      <c r="A675" s="576"/>
      <c r="B675" s="5" t="s">
        <v>892</v>
      </c>
      <c r="C675" s="6" t="s">
        <v>725</v>
      </c>
      <c r="D675" s="7" t="s">
        <v>900</v>
      </c>
      <c r="E675" s="8">
        <v>0</v>
      </c>
      <c r="F675" s="9">
        <v>0</v>
      </c>
      <c r="G675" s="8">
        <v>2</v>
      </c>
      <c r="H675" s="10">
        <v>37723</v>
      </c>
      <c r="I675" s="310">
        <v>1</v>
      </c>
      <c r="J675" s="406">
        <v>1</v>
      </c>
      <c r="K675" s="319">
        <v>1</v>
      </c>
      <c r="L675" s="424"/>
      <c r="M675" s="410">
        <v>1</v>
      </c>
      <c r="N675" s="429"/>
      <c r="Q675"/>
      <c r="R675"/>
      <c r="S675"/>
    </row>
    <row r="676" spans="1:19" s="1" customFormat="1" ht="18.25" customHeight="1" outlineLevel="1">
      <c r="A676" s="576"/>
      <c r="B676" s="12" t="s">
        <v>892</v>
      </c>
      <c r="C676" s="13" t="s">
        <v>725</v>
      </c>
      <c r="D676" s="14">
        <v>1</v>
      </c>
      <c r="E676" s="31">
        <v>0</v>
      </c>
      <c r="F676" s="32">
        <v>0</v>
      </c>
      <c r="G676" s="31">
        <v>2</v>
      </c>
      <c r="H676" s="35">
        <v>37723</v>
      </c>
      <c r="I676" s="326">
        <v>1</v>
      </c>
      <c r="J676" s="327">
        <v>1</v>
      </c>
      <c r="K676" s="455">
        <v>1</v>
      </c>
      <c r="L676" s="423">
        <v>0</v>
      </c>
      <c r="M676" s="418">
        <v>1</v>
      </c>
      <c r="N676" s="440">
        <v>0</v>
      </c>
      <c r="O676" s="1" t="s">
        <v>670</v>
      </c>
      <c r="Q676"/>
      <c r="R676"/>
      <c r="S676"/>
    </row>
    <row r="677" spans="1:19" s="1" customFormat="1" ht="18.25" customHeight="1" outlineLevel="2">
      <c r="A677" s="576"/>
      <c r="B677" s="5" t="s">
        <v>892</v>
      </c>
      <c r="C677" s="11" t="s">
        <v>203</v>
      </c>
      <c r="D677" s="7" t="s">
        <v>240</v>
      </c>
      <c r="E677" s="8">
        <v>0</v>
      </c>
      <c r="F677" s="37">
        <v>0</v>
      </c>
      <c r="G677" s="8">
        <v>4</v>
      </c>
      <c r="H677" s="10">
        <v>20694</v>
      </c>
      <c r="I677" s="310">
        <v>1</v>
      </c>
      <c r="J677" s="406">
        <v>1</v>
      </c>
      <c r="K677" s="319">
        <v>0</v>
      </c>
      <c r="L677" s="424"/>
      <c r="M677" s="410">
        <v>0</v>
      </c>
      <c r="N677" s="429"/>
      <c r="Q677"/>
      <c r="R677"/>
      <c r="S677"/>
    </row>
    <row r="678" spans="1:19" s="1" customFormat="1" ht="18.25" customHeight="1" outlineLevel="2">
      <c r="A678" s="576"/>
      <c r="B678" s="5" t="s">
        <v>892</v>
      </c>
      <c r="C678" s="6" t="s">
        <v>574</v>
      </c>
      <c r="D678" s="7" t="s">
        <v>27</v>
      </c>
      <c r="E678" s="8">
        <v>0</v>
      </c>
      <c r="F678" s="9">
        <v>0</v>
      </c>
      <c r="G678" s="8">
        <v>0</v>
      </c>
      <c r="H678" s="10">
        <v>0</v>
      </c>
      <c r="I678" s="310">
        <v>0</v>
      </c>
      <c r="J678" s="406">
        <v>0</v>
      </c>
      <c r="K678" s="319">
        <v>0</v>
      </c>
      <c r="L678" s="424">
        <v>0</v>
      </c>
      <c r="M678" s="410">
        <v>0</v>
      </c>
      <c r="N678" s="429"/>
      <c r="Q678"/>
      <c r="R678"/>
      <c r="S678"/>
    </row>
    <row r="679" spans="1:19" s="1" customFormat="1" ht="18.25" customHeight="1" outlineLevel="1">
      <c r="A679" s="576"/>
      <c r="B679" s="12" t="s">
        <v>892</v>
      </c>
      <c r="C679" s="13" t="s">
        <v>203</v>
      </c>
      <c r="D679" s="14">
        <v>2</v>
      </c>
      <c r="E679" s="36">
        <v>0</v>
      </c>
      <c r="F679" s="32">
        <v>0</v>
      </c>
      <c r="G679" s="36">
        <v>4</v>
      </c>
      <c r="H679" s="35">
        <v>20694</v>
      </c>
      <c r="I679" s="326">
        <v>1</v>
      </c>
      <c r="J679" s="327">
        <v>1</v>
      </c>
      <c r="K679" s="455">
        <v>0</v>
      </c>
      <c r="L679" s="423">
        <v>0</v>
      </c>
      <c r="M679" s="418">
        <v>0</v>
      </c>
      <c r="N679" s="440">
        <v>0</v>
      </c>
      <c r="O679" s="1" t="s">
        <v>171</v>
      </c>
      <c r="Q679"/>
      <c r="R679"/>
      <c r="S679"/>
    </row>
    <row r="680" spans="1:19" s="1" customFormat="1" ht="18.25" customHeight="1" outlineLevel="2">
      <c r="A680" s="576"/>
      <c r="B680" s="5" t="s">
        <v>892</v>
      </c>
      <c r="C680" s="6" t="s">
        <v>196</v>
      </c>
      <c r="D680" s="7" t="s">
        <v>51</v>
      </c>
      <c r="E680" s="8">
        <v>0</v>
      </c>
      <c r="F680" s="9">
        <v>0</v>
      </c>
      <c r="G680" s="8">
        <v>8</v>
      </c>
      <c r="H680" s="10">
        <v>235961</v>
      </c>
      <c r="I680" s="310">
        <v>1</v>
      </c>
      <c r="J680" s="406">
        <v>1</v>
      </c>
      <c r="K680" s="319">
        <v>1</v>
      </c>
      <c r="L680" s="424"/>
      <c r="M680" s="410">
        <v>1</v>
      </c>
      <c r="N680" s="429"/>
      <c r="Q680"/>
      <c r="R680"/>
      <c r="S680"/>
    </row>
    <row r="681" spans="1:19" s="1" customFormat="1" ht="18.25" customHeight="1" outlineLevel="2">
      <c r="A681" s="576"/>
      <c r="B681" s="5" t="s">
        <v>892</v>
      </c>
      <c r="C681" s="6" t="s">
        <v>925</v>
      </c>
      <c r="D681" s="7" t="s">
        <v>27</v>
      </c>
      <c r="E681" s="8">
        <v>1</v>
      </c>
      <c r="F681" s="9">
        <v>6401</v>
      </c>
      <c r="G681" s="8">
        <v>3</v>
      </c>
      <c r="H681" s="10">
        <v>49685</v>
      </c>
      <c r="I681" s="310">
        <v>1</v>
      </c>
      <c r="J681" s="406">
        <v>1</v>
      </c>
      <c r="K681" s="319">
        <v>1</v>
      </c>
      <c r="L681" s="424">
        <v>1</v>
      </c>
      <c r="M681" s="410">
        <v>1</v>
      </c>
      <c r="N681" s="429"/>
      <c r="Q681"/>
      <c r="R681"/>
      <c r="S681"/>
    </row>
    <row r="682" spans="1:19" s="1" customFormat="1" ht="18.25" customHeight="1" outlineLevel="2">
      <c r="A682" s="576"/>
      <c r="B682" s="5" t="s">
        <v>892</v>
      </c>
      <c r="C682" s="6" t="s">
        <v>708</v>
      </c>
      <c r="D682" s="7" t="s">
        <v>27</v>
      </c>
      <c r="E682" s="8">
        <v>0</v>
      </c>
      <c r="F682" s="9">
        <v>0</v>
      </c>
      <c r="G682" s="8">
        <v>2</v>
      </c>
      <c r="H682" s="10">
        <v>39353</v>
      </c>
      <c r="I682" s="310">
        <v>1</v>
      </c>
      <c r="J682" s="406">
        <v>1</v>
      </c>
      <c r="K682" s="319">
        <v>1</v>
      </c>
      <c r="L682" s="424">
        <v>0</v>
      </c>
      <c r="M682" s="410">
        <v>1</v>
      </c>
      <c r="N682" s="429"/>
      <c r="Q682"/>
      <c r="R682"/>
      <c r="S682"/>
    </row>
    <row r="683" spans="1:19" ht="18.25" customHeight="1" outlineLevel="1">
      <c r="B683" s="12" t="s">
        <v>892</v>
      </c>
      <c r="C683" s="13" t="s">
        <v>173</v>
      </c>
      <c r="D683" s="14">
        <v>3</v>
      </c>
      <c r="E683" s="31">
        <v>1</v>
      </c>
      <c r="F683" s="32">
        <v>6401</v>
      </c>
      <c r="G683" s="31">
        <v>13</v>
      </c>
      <c r="H683" s="35">
        <v>324999</v>
      </c>
      <c r="I683" s="326">
        <v>3</v>
      </c>
      <c r="J683" s="327">
        <v>3</v>
      </c>
      <c r="K683" s="455">
        <v>3</v>
      </c>
      <c r="L683" s="423">
        <v>1</v>
      </c>
      <c r="M683" s="418">
        <v>3</v>
      </c>
      <c r="N683" s="440">
        <v>0</v>
      </c>
      <c r="O683" s="1" t="s">
        <v>51</v>
      </c>
    </row>
    <row r="684" spans="1:19" s="149" customFormat="1" ht="21.5" customHeight="1">
      <c r="A684" s="575" t="s">
        <v>903</v>
      </c>
      <c r="B684" s="967" t="s">
        <v>903</v>
      </c>
      <c r="C684" s="968"/>
      <c r="D684" s="145">
        <v>15</v>
      </c>
      <c r="E684" s="153">
        <v>2</v>
      </c>
      <c r="F684" s="154">
        <v>9148</v>
      </c>
      <c r="G684" s="153">
        <v>55</v>
      </c>
      <c r="H684" s="155">
        <v>687069</v>
      </c>
      <c r="I684" s="330">
        <v>13</v>
      </c>
      <c r="J684" s="331">
        <v>12</v>
      </c>
      <c r="K684" s="915">
        <v>11</v>
      </c>
      <c r="L684" s="916">
        <v>2</v>
      </c>
      <c r="M684" s="420">
        <v>11</v>
      </c>
      <c r="N684" s="442">
        <v>1</v>
      </c>
      <c r="O684" s="248"/>
      <c r="P684" s="248"/>
    </row>
    <row r="685" spans="1:19" ht="18.25" customHeight="1" outlineLevel="2">
      <c r="B685" s="5" t="s">
        <v>479</v>
      </c>
      <c r="C685" s="6" t="s">
        <v>456</v>
      </c>
      <c r="D685" s="7" t="s">
        <v>167</v>
      </c>
      <c r="E685" s="8">
        <v>0</v>
      </c>
      <c r="F685" s="9">
        <v>0</v>
      </c>
      <c r="G685" s="8">
        <v>0</v>
      </c>
      <c r="H685" s="10">
        <v>0</v>
      </c>
      <c r="I685" s="310">
        <v>0</v>
      </c>
      <c r="J685" s="406">
        <v>0</v>
      </c>
      <c r="K685" s="319">
        <v>0</v>
      </c>
      <c r="L685" s="424"/>
      <c r="M685" s="410">
        <v>0</v>
      </c>
      <c r="N685" s="429"/>
    </row>
    <row r="686" spans="1:19" ht="18.25" customHeight="1" outlineLevel="2">
      <c r="B686" s="5" t="s">
        <v>187</v>
      </c>
      <c r="C686" s="6" t="s">
        <v>890</v>
      </c>
      <c r="D686" s="7" t="s">
        <v>27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6">
        <v>0</v>
      </c>
      <c r="K686" s="319">
        <v>0</v>
      </c>
      <c r="L686" s="424">
        <v>1</v>
      </c>
      <c r="M686" s="410">
        <v>0</v>
      </c>
      <c r="N686" s="429"/>
    </row>
    <row r="687" spans="1:19" ht="18.25" customHeight="1" outlineLevel="2">
      <c r="B687" s="5" t="s">
        <v>187</v>
      </c>
      <c r="C687" s="6" t="s">
        <v>457</v>
      </c>
      <c r="D687" s="7" t="s">
        <v>27</v>
      </c>
      <c r="E687" s="8">
        <v>0</v>
      </c>
      <c r="F687" s="9">
        <v>0</v>
      </c>
      <c r="G687" s="8">
        <v>2</v>
      </c>
      <c r="H687" s="10">
        <v>9303</v>
      </c>
      <c r="I687" s="310">
        <v>1</v>
      </c>
      <c r="J687" s="406">
        <v>0</v>
      </c>
      <c r="K687" s="319">
        <v>0</v>
      </c>
      <c r="L687" s="424">
        <v>0</v>
      </c>
      <c r="M687" s="410">
        <v>0</v>
      </c>
      <c r="N687" s="429"/>
    </row>
    <row r="688" spans="1:19" ht="18.25" customHeight="1" outlineLevel="2">
      <c r="B688" s="5" t="s">
        <v>187</v>
      </c>
      <c r="C688" s="6" t="s">
        <v>458</v>
      </c>
      <c r="D688" s="7" t="s">
        <v>27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6">
        <v>0</v>
      </c>
      <c r="K688" s="319">
        <v>0</v>
      </c>
      <c r="L688" s="424">
        <v>0</v>
      </c>
      <c r="M688" s="410">
        <v>0</v>
      </c>
      <c r="N688" s="429"/>
    </row>
    <row r="689" spans="1:19" ht="18.25" customHeight="1" outlineLevel="2">
      <c r="B689" s="5" t="s">
        <v>187</v>
      </c>
      <c r="C689" s="6" t="s">
        <v>461</v>
      </c>
      <c r="D689" s="7" t="s">
        <v>27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6">
        <v>0</v>
      </c>
      <c r="K689" s="319">
        <v>0</v>
      </c>
      <c r="L689" s="424">
        <v>0</v>
      </c>
      <c r="M689" s="410">
        <v>0</v>
      </c>
      <c r="N689" s="429"/>
    </row>
    <row r="690" spans="1:19" ht="18.25" customHeight="1" outlineLevel="1">
      <c r="B690" s="12" t="s">
        <v>187</v>
      </c>
      <c r="C690" s="13" t="s">
        <v>456</v>
      </c>
      <c r="D690" s="14">
        <v>5</v>
      </c>
      <c r="E690" s="31">
        <v>0</v>
      </c>
      <c r="F690" s="32">
        <v>0</v>
      </c>
      <c r="G690" s="31">
        <v>2</v>
      </c>
      <c r="H690" s="35">
        <v>9303</v>
      </c>
      <c r="I690" s="326">
        <v>1</v>
      </c>
      <c r="J690" s="327">
        <v>0</v>
      </c>
      <c r="K690" s="455">
        <v>0</v>
      </c>
      <c r="L690" s="423">
        <v>1</v>
      </c>
      <c r="M690" s="418">
        <v>0</v>
      </c>
      <c r="N690" s="440">
        <v>0</v>
      </c>
      <c r="O690" s="1" t="s">
        <v>167</v>
      </c>
    </row>
    <row r="691" spans="1:19" ht="18.25" customHeight="1" outlineLevel="2">
      <c r="B691" s="5" t="s">
        <v>187</v>
      </c>
      <c r="C691" s="39" t="s">
        <v>544</v>
      </c>
      <c r="D691" s="534" t="s">
        <v>723</v>
      </c>
      <c r="E691" s="8">
        <v>0</v>
      </c>
      <c r="F691" s="9">
        <v>0</v>
      </c>
      <c r="G691" s="8">
        <v>0</v>
      </c>
      <c r="H691" s="10">
        <v>0</v>
      </c>
      <c r="I691" s="318"/>
      <c r="J691" s="408"/>
      <c r="K691" s="319"/>
      <c r="L691" s="424"/>
      <c r="M691" s="415"/>
      <c r="N691" s="438"/>
    </row>
    <row r="692" spans="1:19" ht="18.25" customHeight="1" outlineLevel="1">
      <c r="B692" s="12" t="s">
        <v>187</v>
      </c>
      <c r="C692" s="13" t="s">
        <v>487</v>
      </c>
      <c r="D692" s="532"/>
      <c r="E692" s="31">
        <v>0</v>
      </c>
      <c r="F692" s="32">
        <v>0</v>
      </c>
      <c r="G692" s="31">
        <v>0</v>
      </c>
      <c r="H692" s="35">
        <v>0</v>
      </c>
      <c r="I692" s="328"/>
      <c r="J692" s="329"/>
      <c r="K692" s="455"/>
      <c r="L692" s="423"/>
      <c r="M692" s="419"/>
      <c r="N692" s="441"/>
    </row>
    <row r="693" spans="1:19" ht="18.25" customHeight="1" outlineLevel="2">
      <c r="B693" s="5" t="s">
        <v>187</v>
      </c>
      <c r="C693" s="39" t="s">
        <v>292</v>
      </c>
      <c r="D693" s="7" t="s">
        <v>765</v>
      </c>
      <c r="E693" s="8">
        <v>0</v>
      </c>
      <c r="F693" s="9">
        <v>0</v>
      </c>
      <c r="G693" s="8">
        <v>0</v>
      </c>
      <c r="H693" s="10">
        <v>0</v>
      </c>
      <c r="I693" s="310">
        <v>0</v>
      </c>
      <c r="J693" s="406">
        <v>0</v>
      </c>
      <c r="K693" s="319">
        <v>0</v>
      </c>
      <c r="L693" s="424"/>
      <c r="M693" s="410">
        <v>0</v>
      </c>
      <c r="N693" s="429"/>
    </row>
    <row r="694" spans="1:19" ht="18.25" customHeight="1" outlineLevel="1">
      <c r="B694" s="12" t="s">
        <v>187</v>
      </c>
      <c r="C694" s="13" t="s">
        <v>292</v>
      </c>
      <c r="D694" s="14">
        <v>1</v>
      </c>
      <c r="E694" s="31">
        <v>0</v>
      </c>
      <c r="F694" s="32">
        <v>0</v>
      </c>
      <c r="G694" s="31">
        <v>0</v>
      </c>
      <c r="H694" s="35">
        <v>0</v>
      </c>
      <c r="I694" s="326">
        <v>0</v>
      </c>
      <c r="J694" s="327">
        <v>0</v>
      </c>
      <c r="K694" s="455">
        <v>0</v>
      </c>
      <c r="L694" s="423">
        <v>0</v>
      </c>
      <c r="M694" s="418">
        <v>0</v>
      </c>
      <c r="N694" s="440">
        <v>0</v>
      </c>
      <c r="O694" s="1" t="s">
        <v>355</v>
      </c>
    </row>
    <row r="695" spans="1:19" ht="18.25" customHeight="1" outlineLevel="2">
      <c r="B695" s="5" t="s">
        <v>187</v>
      </c>
      <c r="C695" s="6" t="s">
        <v>197</v>
      </c>
      <c r="D695" s="7" t="s">
        <v>481</v>
      </c>
      <c r="E695" s="8">
        <v>0</v>
      </c>
      <c r="F695" s="9">
        <v>0</v>
      </c>
      <c r="G695" s="8">
        <v>3</v>
      </c>
      <c r="H695" s="10">
        <v>32587</v>
      </c>
      <c r="I695" s="310">
        <v>1</v>
      </c>
      <c r="J695" s="406">
        <v>1</v>
      </c>
      <c r="K695" s="319">
        <v>1</v>
      </c>
      <c r="L695" s="424"/>
      <c r="M695" s="410">
        <v>1</v>
      </c>
      <c r="N695" s="429"/>
    </row>
    <row r="696" spans="1:19" ht="18.25" customHeight="1" outlineLevel="1">
      <c r="B696" s="12" t="s">
        <v>187</v>
      </c>
      <c r="C696" s="13" t="s">
        <v>176</v>
      </c>
      <c r="D696" s="14">
        <v>1</v>
      </c>
      <c r="E696" s="31">
        <v>0</v>
      </c>
      <c r="F696" s="32">
        <v>0</v>
      </c>
      <c r="G696" s="31">
        <v>3</v>
      </c>
      <c r="H696" s="35">
        <v>32587</v>
      </c>
      <c r="I696" s="326">
        <v>1</v>
      </c>
      <c r="J696" s="327">
        <v>1</v>
      </c>
      <c r="K696" s="455">
        <v>1</v>
      </c>
      <c r="L696" s="423">
        <v>0</v>
      </c>
      <c r="M696" s="418">
        <v>1</v>
      </c>
      <c r="N696" s="440">
        <v>0</v>
      </c>
      <c r="O696" s="1" t="s">
        <v>669</v>
      </c>
    </row>
    <row r="697" spans="1:19" ht="18.25" customHeight="1" outlineLevel="2">
      <c r="B697" s="5" t="s">
        <v>187</v>
      </c>
      <c r="C697" s="39" t="s">
        <v>476</v>
      </c>
      <c r="D697" s="23" t="s">
        <v>221</v>
      </c>
      <c r="E697" s="8">
        <v>0</v>
      </c>
      <c r="F697" s="9">
        <v>0</v>
      </c>
      <c r="G697" s="8">
        <v>1</v>
      </c>
      <c r="H697" s="10">
        <v>12288</v>
      </c>
      <c r="I697" s="310">
        <v>1</v>
      </c>
      <c r="J697" s="406">
        <v>0</v>
      </c>
      <c r="K697" s="319">
        <v>0</v>
      </c>
      <c r="L697" s="424"/>
      <c r="M697" s="410">
        <v>0</v>
      </c>
      <c r="N697" s="429"/>
    </row>
    <row r="698" spans="1:19" ht="18.25" customHeight="1" outlineLevel="2">
      <c r="B698" s="5" t="s">
        <v>187</v>
      </c>
      <c r="C698" s="6" t="s">
        <v>643</v>
      </c>
      <c r="D698" s="7" t="s">
        <v>27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6">
        <v>0</v>
      </c>
      <c r="K698" s="319">
        <v>0</v>
      </c>
      <c r="L698" s="424">
        <v>0</v>
      </c>
      <c r="M698" s="410">
        <v>0</v>
      </c>
      <c r="N698" s="429"/>
    </row>
    <row r="699" spans="1:19" ht="18.25" customHeight="1" outlineLevel="2">
      <c r="B699" s="5" t="s">
        <v>187</v>
      </c>
      <c r="C699" s="6" t="s">
        <v>341</v>
      </c>
      <c r="D699" s="7" t="s">
        <v>27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6">
        <v>0</v>
      </c>
      <c r="K699" s="319">
        <v>0</v>
      </c>
      <c r="L699" s="424">
        <v>0</v>
      </c>
      <c r="M699" s="410">
        <v>0</v>
      </c>
      <c r="N699" s="429"/>
    </row>
    <row r="700" spans="1:19" s="1" customFormat="1" ht="18.25" customHeight="1" outlineLevel="2">
      <c r="A700" s="576"/>
      <c r="B700" s="5" t="s">
        <v>187</v>
      </c>
      <c r="C700" s="39" t="s">
        <v>380</v>
      </c>
      <c r="D700" s="7" t="s">
        <v>39</v>
      </c>
      <c r="E700" s="8">
        <v>0</v>
      </c>
      <c r="F700" s="9">
        <v>0</v>
      </c>
      <c r="G700" s="8">
        <v>2</v>
      </c>
      <c r="H700" s="10">
        <v>218355</v>
      </c>
      <c r="I700" s="310">
        <v>1</v>
      </c>
      <c r="J700" s="406">
        <v>1</v>
      </c>
      <c r="K700" s="319">
        <v>1</v>
      </c>
      <c r="L700" s="424">
        <v>0</v>
      </c>
      <c r="M700" s="410">
        <v>1</v>
      </c>
      <c r="N700" s="429"/>
      <c r="Q700"/>
      <c r="R700"/>
      <c r="S700"/>
    </row>
    <row r="701" spans="1:19" s="1" customFormat="1" ht="18.25" customHeight="1" outlineLevel="1">
      <c r="A701" s="576"/>
      <c r="B701" s="12" t="s">
        <v>187</v>
      </c>
      <c r="C701" s="13" t="s">
        <v>177</v>
      </c>
      <c r="D701" s="14">
        <v>4</v>
      </c>
      <c r="E701" s="31">
        <v>0</v>
      </c>
      <c r="F701" s="32">
        <v>0</v>
      </c>
      <c r="G701" s="31">
        <v>3</v>
      </c>
      <c r="H701" s="35">
        <v>230643</v>
      </c>
      <c r="I701" s="326">
        <v>2</v>
      </c>
      <c r="J701" s="327">
        <v>1</v>
      </c>
      <c r="K701" s="455">
        <v>1</v>
      </c>
      <c r="L701" s="423">
        <v>0</v>
      </c>
      <c r="M701" s="418">
        <v>1</v>
      </c>
      <c r="N701" s="440">
        <v>0</v>
      </c>
      <c r="O701" s="1" t="s">
        <v>51</v>
      </c>
      <c r="Q701"/>
      <c r="R701"/>
      <c r="S701"/>
    </row>
    <row r="702" spans="1:19" s="1" customFormat="1" ht="18.25" customHeight="1" outlineLevel="2">
      <c r="A702" s="576"/>
      <c r="B702" s="5" t="s">
        <v>187</v>
      </c>
      <c r="C702" s="39" t="s">
        <v>312</v>
      </c>
      <c r="D702" s="23" t="s">
        <v>481</v>
      </c>
      <c r="E702" s="8">
        <v>0</v>
      </c>
      <c r="F702" s="9">
        <v>0</v>
      </c>
      <c r="G702" s="8">
        <v>1</v>
      </c>
      <c r="H702" s="10">
        <v>238535</v>
      </c>
      <c r="I702" s="310">
        <v>1</v>
      </c>
      <c r="J702" s="406">
        <v>1</v>
      </c>
      <c r="K702" s="319">
        <v>1</v>
      </c>
      <c r="L702" s="424"/>
      <c r="M702" s="410">
        <v>1</v>
      </c>
      <c r="N702" s="429"/>
      <c r="Q702"/>
      <c r="R702"/>
      <c r="S702"/>
    </row>
    <row r="703" spans="1:19" s="1" customFormat="1" ht="18.25" customHeight="1" outlineLevel="1">
      <c r="A703" s="576"/>
      <c r="B703" s="12" t="s">
        <v>187</v>
      </c>
      <c r="C703" s="13" t="s">
        <v>312</v>
      </c>
      <c r="D703" s="14">
        <v>1</v>
      </c>
      <c r="E703" s="31">
        <v>0</v>
      </c>
      <c r="F703" s="32">
        <v>0</v>
      </c>
      <c r="G703" s="31">
        <v>1</v>
      </c>
      <c r="H703" s="35">
        <v>238535</v>
      </c>
      <c r="I703" s="326">
        <v>1</v>
      </c>
      <c r="J703" s="327">
        <v>1</v>
      </c>
      <c r="K703" s="455">
        <v>1</v>
      </c>
      <c r="L703" s="423">
        <v>0</v>
      </c>
      <c r="M703" s="418">
        <v>1</v>
      </c>
      <c r="N703" s="440">
        <v>0</v>
      </c>
      <c r="O703" s="1" t="s">
        <v>669</v>
      </c>
      <c r="Q703"/>
      <c r="R703"/>
      <c r="S703"/>
    </row>
    <row r="704" spans="1:19" s="1" customFormat="1" ht="18.25" customHeight="1" outlineLevel="2">
      <c r="A704" s="576"/>
      <c r="B704" s="5" t="s">
        <v>187</v>
      </c>
      <c r="C704" s="39" t="s">
        <v>501</v>
      </c>
      <c r="D704" s="23" t="s">
        <v>189</v>
      </c>
      <c r="E704" s="8">
        <v>0</v>
      </c>
      <c r="F704" s="9">
        <v>0</v>
      </c>
      <c r="G704" s="8">
        <v>2</v>
      </c>
      <c r="H704" s="10">
        <v>24570</v>
      </c>
      <c r="I704" s="310">
        <v>1</v>
      </c>
      <c r="J704" s="406">
        <v>1</v>
      </c>
      <c r="K704" s="319">
        <v>0</v>
      </c>
      <c r="L704" s="424"/>
      <c r="M704" s="410">
        <v>0</v>
      </c>
      <c r="N704" s="429"/>
      <c r="Q704"/>
      <c r="R704"/>
      <c r="S704"/>
    </row>
    <row r="705" spans="1:19" s="1" customFormat="1" ht="18.25" customHeight="1" outlineLevel="2">
      <c r="A705" s="576"/>
      <c r="B705" s="41" t="s">
        <v>187</v>
      </c>
      <c r="C705" s="39" t="s">
        <v>753</v>
      </c>
      <c r="D705" s="23" t="s">
        <v>39</v>
      </c>
      <c r="E705" s="42">
        <v>0</v>
      </c>
      <c r="F705" s="43">
        <v>0</v>
      </c>
      <c r="G705" s="42">
        <v>1</v>
      </c>
      <c r="H705" s="44">
        <v>29195</v>
      </c>
      <c r="I705" s="313">
        <v>1</v>
      </c>
      <c r="J705" s="406">
        <v>1</v>
      </c>
      <c r="K705" s="319">
        <v>1</v>
      </c>
      <c r="L705" s="424">
        <v>1</v>
      </c>
      <c r="M705" s="410">
        <v>1</v>
      </c>
      <c r="N705" s="429"/>
      <c r="Q705"/>
      <c r="R705"/>
      <c r="S705"/>
    </row>
    <row r="706" spans="1:19" s="1" customFormat="1" ht="18.25" customHeight="1" outlineLevel="1">
      <c r="A706" s="576"/>
      <c r="B706" s="12" t="s">
        <v>187</v>
      </c>
      <c r="C706" s="13" t="s">
        <v>501</v>
      </c>
      <c r="D706" s="14">
        <v>2</v>
      </c>
      <c r="E706" s="31">
        <v>0</v>
      </c>
      <c r="F706" s="32">
        <v>0</v>
      </c>
      <c r="G706" s="31">
        <v>3</v>
      </c>
      <c r="H706" s="35">
        <v>53765</v>
      </c>
      <c r="I706" s="326">
        <v>2</v>
      </c>
      <c r="J706" s="327">
        <v>2</v>
      </c>
      <c r="K706" s="455">
        <v>1</v>
      </c>
      <c r="L706" s="423">
        <v>1</v>
      </c>
      <c r="M706" s="418">
        <v>1</v>
      </c>
      <c r="N706" s="440">
        <v>1</v>
      </c>
      <c r="O706" s="1" t="s">
        <v>169</v>
      </c>
      <c r="Q706"/>
      <c r="R706"/>
      <c r="S706"/>
    </row>
    <row r="707" spans="1:19" s="1" customFormat="1" ht="18.25" customHeight="1" outlineLevel="2">
      <c r="A707" s="576"/>
      <c r="B707" s="5" t="s">
        <v>187</v>
      </c>
      <c r="C707" s="6" t="s">
        <v>222</v>
      </c>
      <c r="D707" s="7" t="s">
        <v>221</v>
      </c>
      <c r="E707" s="8">
        <v>0</v>
      </c>
      <c r="F707" s="9">
        <v>0</v>
      </c>
      <c r="G707" s="8">
        <v>0</v>
      </c>
      <c r="H707" s="10">
        <v>0</v>
      </c>
      <c r="I707" s="310">
        <v>0</v>
      </c>
      <c r="J707" s="406">
        <v>0</v>
      </c>
      <c r="K707" s="319">
        <v>0</v>
      </c>
      <c r="L707" s="424"/>
      <c r="M707" s="410">
        <v>0</v>
      </c>
      <c r="N707" s="429"/>
      <c r="Q707"/>
      <c r="R707"/>
      <c r="S707"/>
    </row>
    <row r="708" spans="1:19" s="1" customFormat="1" ht="18.25" customHeight="1" outlineLevel="2">
      <c r="A708" s="576"/>
      <c r="B708" s="41" t="s">
        <v>187</v>
      </c>
      <c r="C708" s="39" t="s">
        <v>373</v>
      </c>
      <c r="D708" s="23" t="s">
        <v>39</v>
      </c>
      <c r="E708" s="42">
        <v>0</v>
      </c>
      <c r="F708" s="43">
        <v>0</v>
      </c>
      <c r="G708" s="42">
        <v>1</v>
      </c>
      <c r="H708" s="44">
        <v>23625</v>
      </c>
      <c r="I708" s="313">
        <v>1</v>
      </c>
      <c r="J708" s="406">
        <v>1</v>
      </c>
      <c r="K708" s="319">
        <v>0</v>
      </c>
      <c r="L708" s="424">
        <v>0</v>
      </c>
      <c r="M708" s="410">
        <v>0</v>
      </c>
      <c r="N708" s="429"/>
      <c r="Q708"/>
      <c r="R708"/>
      <c r="S708"/>
    </row>
    <row r="709" spans="1:19" s="1" customFormat="1" ht="18.25" customHeight="1" outlineLevel="1">
      <c r="A709" s="576"/>
      <c r="B709" s="12" t="s">
        <v>187</v>
      </c>
      <c r="C709" s="13" t="s">
        <v>235</v>
      </c>
      <c r="D709" s="14">
        <v>2</v>
      </c>
      <c r="E709" s="31">
        <v>0</v>
      </c>
      <c r="F709" s="32">
        <v>0</v>
      </c>
      <c r="G709" s="31">
        <v>1</v>
      </c>
      <c r="H709" s="35">
        <v>23625</v>
      </c>
      <c r="I709" s="326">
        <v>1</v>
      </c>
      <c r="J709" s="327">
        <v>1</v>
      </c>
      <c r="K709" s="455">
        <v>0</v>
      </c>
      <c r="L709" s="423">
        <v>0</v>
      </c>
      <c r="M709" s="418">
        <v>0</v>
      </c>
      <c r="N709" s="440">
        <v>0</v>
      </c>
      <c r="O709" s="1" t="s">
        <v>51</v>
      </c>
      <c r="Q709"/>
      <c r="R709"/>
      <c r="S709"/>
    </row>
    <row r="710" spans="1:19" s="1" customFormat="1" ht="18" customHeight="1" outlineLevel="2">
      <c r="A710" s="576"/>
      <c r="B710" s="5" t="s">
        <v>187</v>
      </c>
      <c r="C710" s="6" t="s">
        <v>174</v>
      </c>
      <c r="D710" s="19" t="s">
        <v>40</v>
      </c>
      <c r="E710" s="8">
        <v>0</v>
      </c>
      <c r="F710" s="9">
        <v>0</v>
      </c>
      <c r="G710" s="8">
        <v>1.5</v>
      </c>
      <c r="H710" s="10">
        <v>71258</v>
      </c>
      <c r="I710" s="310">
        <v>1</v>
      </c>
      <c r="J710" s="406">
        <v>1</v>
      </c>
      <c r="K710" s="319">
        <v>1</v>
      </c>
      <c r="L710" s="424"/>
      <c r="M710" s="410">
        <v>1</v>
      </c>
      <c r="N710" s="429"/>
      <c r="Q710"/>
      <c r="R710"/>
      <c r="S710"/>
    </row>
    <row r="711" spans="1:19" s="1" customFormat="1" ht="18.25" customHeight="1" outlineLevel="2">
      <c r="A711" s="576"/>
      <c r="B711" s="5" t="s">
        <v>187</v>
      </c>
      <c r="C711" s="39" t="s">
        <v>803</v>
      </c>
      <c r="D711" s="7" t="s">
        <v>39</v>
      </c>
      <c r="E711" s="8">
        <v>0</v>
      </c>
      <c r="F711" s="9">
        <v>0</v>
      </c>
      <c r="G711" s="8">
        <v>0</v>
      </c>
      <c r="H711" s="10">
        <v>0</v>
      </c>
      <c r="I711" s="310">
        <v>0</v>
      </c>
      <c r="J711" s="406">
        <v>0</v>
      </c>
      <c r="K711" s="319">
        <v>0</v>
      </c>
      <c r="L711" s="424">
        <v>0</v>
      </c>
      <c r="M711" s="410">
        <v>0</v>
      </c>
      <c r="N711" s="429"/>
      <c r="Q711"/>
      <c r="R711"/>
      <c r="S711"/>
    </row>
    <row r="712" spans="1:19" s="1" customFormat="1" ht="18.25" customHeight="1" outlineLevel="2">
      <c r="A712" s="576"/>
      <c r="B712" s="5" t="s">
        <v>187</v>
      </c>
      <c r="C712" s="39" t="s">
        <v>722</v>
      </c>
      <c r="D712" s="7" t="s">
        <v>39</v>
      </c>
      <c r="E712" s="8">
        <v>0</v>
      </c>
      <c r="F712" s="9">
        <v>0</v>
      </c>
      <c r="G712" s="8">
        <v>0.5</v>
      </c>
      <c r="H712" s="10">
        <v>18650</v>
      </c>
      <c r="I712" s="310">
        <v>1</v>
      </c>
      <c r="J712" s="406">
        <v>1</v>
      </c>
      <c r="K712" s="319">
        <v>0</v>
      </c>
      <c r="L712" s="424">
        <v>0</v>
      </c>
      <c r="M712" s="410">
        <v>0</v>
      </c>
      <c r="N712" s="429"/>
      <c r="Q712"/>
      <c r="R712"/>
      <c r="S712"/>
    </row>
    <row r="713" spans="1:19" s="1" customFormat="1" ht="18.25" customHeight="1" outlineLevel="2">
      <c r="A713" s="576"/>
      <c r="B713" s="5" t="s">
        <v>187</v>
      </c>
      <c r="C713" s="39" t="s">
        <v>707</v>
      </c>
      <c r="D713" s="7" t="s">
        <v>39</v>
      </c>
      <c r="E713" s="8">
        <v>0</v>
      </c>
      <c r="F713" s="9">
        <v>0</v>
      </c>
      <c r="G713" s="8">
        <v>1</v>
      </c>
      <c r="H713" s="10">
        <v>8423</v>
      </c>
      <c r="I713" s="310">
        <v>1</v>
      </c>
      <c r="J713" s="406">
        <v>0</v>
      </c>
      <c r="K713" s="319">
        <v>0</v>
      </c>
      <c r="L713" s="424">
        <v>0</v>
      </c>
      <c r="M713" s="410">
        <v>0</v>
      </c>
      <c r="N713" s="429"/>
      <c r="Q713"/>
      <c r="R713"/>
      <c r="S713"/>
    </row>
    <row r="714" spans="1:19" s="1" customFormat="1" ht="18.25" customHeight="1" outlineLevel="1">
      <c r="A714" s="576"/>
      <c r="B714" s="12" t="s">
        <v>187</v>
      </c>
      <c r="C714" s="13" t="s">
        <v>175</v>
      </c>
      <c r="D714" s="14">
        <v>4</v>
      </c>
      <c r="E714" s="31">
        <v>0</v>
      </c>
      <c r="F714" s="32">
        <v>0</v>
      </c>
      <c r="G714" s="31">
        <v>3</v>
      </c>
      <c r="H714" s="35">
        <v>98331</v>
      </c>
      <c r="I714" s="326">
        <v>3</v>
      </c>
      <c r="J714" s="327">
        <v>2</v>
      </c>
      <c r="K714" s="455">
        <v>1</v>
      </c>
      <c r="L714" s="423">
        <v>0</v>
      </c>
      <c r="M714" s="418">
        <v>1</v>
      </c>
      <c r="N714" s="440">
        <v>0</v>
      </c>
      <c r="O714" s="1" t="s">
        <v>51</v>
      </c>
      <c r="Q714"/>
      <c r="R714"/>
      <c r="S714"/>
    </row>
    <row r="715" spans="1:19" s="1" customFormat="1" ht="18.25" customHeight="1" outlineLevel="2">
      <c r="A715" s="576"/>
      <c r="B715" s="41" t="s">
        <v>187</v>
      </c>
      <c r="C715" s="39" t="s">
        <v>646</v>
      </c>
      <c r="D715" s="23" t="s">
        <v>189</v>
      </c>
      <c r="E715" s="8">
        <v>0</v>
      </c>
      <c r="F715" s="9">
        <v>0</v>
      </c>
      <c r="G715" s="8">
        <v>4</v>
      </c>
      <c r="H715" s="10">
        <v>63168</v>
      </c>
      <c r="I715" s="310">
        <v>1</v>
      </c>
      <c r="J715" s="406">
        <v>1</v>
      </c>
      <c r="K715" s="319">
        <v>1</v>
      </c>
      <c r="L715" s="424"/>
      <c r="M715" s="410">
        <v>1</v>
      </c>
      <c r="N715" s="429"/>
      <c r="Q715"/>
      <c r="R715"/>
      <c r="S715"/>
    </row>
    <row r="716" spans="1:19" ht="18.25" customHeight="1" outlineLevel="1">
      <c r="B716" s="12" t="s">
        <v>187</v>
      </c>
      <c r="C716" s="13" t="s">
        <v>646</v>
      </c>
      <c r="D716" s="14">
        <v>1</v>
      </c>
      <c r="E716" s="31">
        <v>0</v>
      </c>
      <c r="F716" s="32">
        <v>0</v>
      </c>
      <c r="G716" s="31">
        <v>4</v>
      </c>
      <c r="H716" s="35">
        <v>63168</v>
      </c>
      <c r="I716" s="326">
        <v>1</v>
      </c>
      <c r="J716" s="327">
        <v>1</v>
      </c>
      <c r="K716" s="455">
        <v>1</v>
      </c>
      <c r="L716" s="423">
        <v>0</v>
      </c>
      <c r="M716" s="418">
        <v>1</v>
      </c>
      <c r="N716" s="440">
        <v>0</v>
      </c>
      <c r="O716" s="1" t="s">
        <v>169</v>
      </c>
    </row>
    <row r="717" spans="1:19" ht="18.25" customHeight="1" outlineLevel="2">
      <c r="B717" s="41" t="s">
        <v>187</v>
      </c>
      <c r="C717" s="39" t="s">
        <v>491</v>
      </c>
      <c r="D717" s="23" t="s">
        <v>369</v>
      </c>
      <c r="E717" s="8">
        <v>0</v>
      </c>
      <c r="F717" s="9">
        <v>0</v>
      </c>
      <c r="G717" s="8">
        <v>3</v>
      </c>
      <c r="H717" s="10">
        <v>40147</v>
      </c>
      <c r="I717" s="310">
        <v>1</v>
      </c>
      <c r="J717" s="406">
        <v>1</v>
      </c>
      <c r="K717" s="319">
        <v>1</v>
      </c>
      <c r="L717" s="424"/>
      <c r="M717" s="410">
        <v>1</v>
      </c>
      <c r="N717" s="429"/>
    </row>
    <row r="718" spans="1:19" ht="18.25" customHeight="1" outlineLevel="1">
      <c r="B718" s="12" t="s">
        <v>187</v>
      </c>
      <c r="C718" s="13" t="s">
        <v>491</v>
      </c>
      <c r="D718" s="14">
        <v>1</v>
      </c>
      <c r="E718" s="31">
        <v>0</v>
      </c>
      <c r="F718" s="32">
        <v>0</v>
      </c>
      <c r="G718" s="31">
        <v>3</v>
      </c>
      <c r="H718" s="35">
        <v>40147</v>
      </c>
      <c r="I718" s="326">
        <v>1</v>
      </c>
      <c r="J718" s="327">
        <v>1</v>
      </c>
      <c r="K718" s="455">
        <v>1</v>
      </c>
      <c r="L718" s="423">
        <v>0</v>
      </c>
      <c r="M718" s="418">
        <v>1</v>
      </c>
      <c r="N718" s="440">
        <v>0</v>
      </c>
      <c r="O718" s="1" t="s">
        <v>670</v>
      </c>
    </row>
    <row r="719" spans="1:19" ht="18.25" customHeight="1" outlineLevel="2">
      <c r="B719" s="5" t="s">
        <v>187</v>
      </c>
      <c r="C719" s="39" t="s">
        <v>482</v>
      </c>
      <c r="D719" s="7" t="s">
        <v>481</v>
      </c>
      <c r="E719" s="8">
        <v>0</v>
      </c>
      <c r="F719" s="9">
        <v>0</v>
      </c>
      <c r="G719" s="8">
        <v>6</v>
      </c>
      <c r="H719" s="10">
        <v>52744</v>
      </c>
      <c r="I719" s="310">
        <v>1</v>
      </c>
      <c r="J719" s="406">
        <v>1</v>
      </c>
      <c r="K719" s="319">
        <v>1</v>
      </c>
      <c r="L719" s="424"/>
      <c r="M719" s="410">
        <v>1</v>
      </c>
      <c r="N719" s="429"/>
    </row>
    <row r="720" spans="1:19" ht="18.25" customHeight="1" outlineLevel="1">
      <c r="B720" s="12" t="s">
        <v>187</v>
      </c>
      <c r="C720" s="13" t="s">
        <v>504</v>
      </c>
      <c r="D720" s="14">
        <v>1</v>
      </c>
      <c r="E720" s="31">
        <v>0</v>
      </c>
      <c r="F720" s="32">
        <v>0</v>
      </c>
      <c r="G720" s="31">
        <v>6</v>
      </c>
      <c r="H720" s="35">
        <v>52744</v>
      </c>
      <c r="I720" s="326">
        <v>1</v>
      </c>
      <c r="J720" s="327">
        <v>1</v>
      </c>
      <c r="K720" s="455">
        <v>1</v>
      </c>
      <c r="L720" s="423">
        <v>0</v>
      </c>
      <c r="M720" s="418">
        <v>1</v>
      </c>
      <c r="N720" s="440">
        <v>0</v>
      </c>
      <c r="O720" s="1" t="s">
        <v>669</v>
      </c>
    </row>
    <row r="721" spans="1:16" ht="18.25" customHeight="1" outlineLevel="2">
      <c r="B721" s="41" t="s">
        <v>187</v>
      </c>
      <c r="C721" s="39" t="s">
        <v>231</v>
      </c>
      <c r="D721" s="23" t="s">
        <v>189</v>
      </c>
      <c r="E721" s="8">
        <v>0</v>
      </c>
      <c r="F721" s="9">
        <v>0</v>
      </c>
      <c r="G721" s="8">
        <v>0</v>
      </c>
      <c r="H721" s="10">
        <v>0</v>
      </c>
      <c r="I721" s="310">
        <v>0</v>
      </c>
      <c r="J721" s="406">
        <v>0</v>
      </c>
      <c r="K721" s="319">
        <v>0</v>
      </c>
      <c r="L721" s="424"/>
      <c r="M721" s="410">
        <v>0</v>
      </c>
      <c r="N721" s="429"/>
    </row>
    <row r="722" spans="1:16" ht="18.25" customHeight="1" outlineLevel="2">
      <c r="B722" s="52" t="s">
        <v>187</v>
      </c>
      <c r="C722" s="39" t="s">
        <v>365</v>
      </c>
      <c r="D722" s="7" t="s">
        <v>27</v>
      </c>
      <c r="E722" s="58">
        <v>0</v>
      </c>
      <c r="F722" s="59">
        <v>0</v>
      </c>
      <c r="G722" s="58">
        <v>0</v>
      </c>
      <c r="H722" s="76">
        <v>0</v>
      </c>
      <c r="I722" s="320">
        <v>0</v>
      </c>
      <c r="J722" s="406">
        <v>0</v>
      </c>
      <c r="K722" s="319">
        <v>0</v>
      </c>
      <c r="L722" s="424">
        <v>0</v>
      </c>
      <c r="M722" s="410">
        <v>0</v>
      </c>
      <c r="N722" s="429"/>
    </row>
    <row r="723" spans="1:16" ht="18.25" customHeight="1" outlineLevel="1">
      <c r="B723" s="12" t="s">
        <v>187</v>
      </c>
      <c r="C723" s="13" t="s">
        <v>484</v>
      </c>
      <c r="D723" s="14">
        <v>2</v>
      </c>
      <c r="E723" s="31">
        <v>0</v>
      </c>
      <c r="F723" s="32">
        <v>0</v>
      </c>
      <c r="G723" s="31">
        <v>0</v>
      </c>
      <c r="H723" s="35">
        <v>0</v>
      </c>
      <c r="I723" s="326">
        <v>0</v>
      </c>
      <c r="J723" s="327">
        <v>0</v>
      </c>
      <c r="K723" s="455">
        <v>0</v>
      </c>
      <c r="L723" s="423">
        <v>0</v>
      </c>
      <c r="M723" s="418">
        <v>0</v>
      </c>
      <c r="N723" s="440">
        <v>0</v>
      </c>
      <c r="O723" s="1" t="s">
        <v>169</v>
      </c>
    </row>
    <row r="724" spans="1:16" ht="18.25" customHeight="1" outlineLevel="2">
      <c r="B724" s="53" t="s">
        <v>187</v>
      </c>
      <c r="C724" s="55" t="s">
        <v>459</v>
      </c>
      <c r="D724" s="7" t="s">
        <v>765</v>
      </c>
      <c r="E724" s="58">
        <v>0</v>
      </c>
      <c r="F724" s="59">
        <v>0</v>
      </c>
      <c r="G724" s="58">
        <v>2</v>
      </c>
      <c r="H724" s="76">
        <v>205055</v>
      </c>
      <c r="I724" s="320">
        <v>1</v>
      </c>
      <c r="J724" s="406">
        <v>1</v>
      </c>
      <c r="K724" s="319">
        <v>1</v>
      </c>
      <c r="L724" s="424"/>
      <c r="M724" s="410">
        <v>1</v>
      </c>
      <c r="N724" s="429"/>
    </row>
    <row r="725" spans="1:16" s="65" customFormat="1" ht="18.25" customHeight="1" outlineLevel="1">
      <c r="A725" s="577"/>
      <c r="B725" s="67" t="s">
        <v>187</v>
      </c>
      <c r="C725" s="61" t="s">
        <v>459</v>
      </c>
      <c r="D725" s="26">
        <v>1</v>
      </c>
      <c r="E725" s="69">
        <v>0</v>
      </c>
      <c r="F725" s="70">
        <v>0</v>
      </c>
      <c r="G725" s="69">
        <v>2</v>
      </c>
      <c r="H725" s="77">
        <v>205055</v>
      </c>
      <c r="I725" s="321">
        <v>1</v>
      </c>
      <c r="J725" s="322">
        <v>1</v>
      </c>
      <c r="K725" s="508">
        <v>1</v>
      </c>
      <c r="L725" s="509">
        <v>0</v>
      </c>
      <c r="M725" s="323">
        <v>1</v>
      </c>
      <c r="N725" s="437">
        <v>0</v>
      </c>
      <c r="O725" s="249" t="s">
        <v>355</v>
      </c>
      <c r="P725" s="249"/>
    </row>
    <row r="726" spans="1:16" ht="18.25" customHeight="1" outlineLevel="2">
      <c r="B726" s="53" t="s">
        <v>187</v>
      </c>
      <c r="C726" s="55" t="s">
        <v>460</v>
      </c>
      <c r="D726" s="23" t="s">
        <v>481</v>
      </c>
      <c r="E726" s="58">
        <v>0</v>
      </c>
      <c r="F726" s="59">
        <v>0</v>
      </c>
      <c r="G726" s="58">
        <v>0</v>
      </c>
      <c r="H726" s="76">
        <v>0</v>
      </c>
      <c r="I726" s="320">
        <v>0</v>
      </c>
      <c r="J726" s="406">
        <v>0</v>
      </c>
      <c r="K726" s="319">
        <v>0</v>
      </c>
      <c r="L726" s="424"/>
      <c r="M726" s="410">
        <v>0</v>
      </c>
      <c r="N726" s="429"/>
    </row>
    <row r="727" spans="1:16" s="65" customFormat="1" ht="18.25" customHeight="1" outlineLevel="1">
      <c r="A727" s="577"/>
      <c r="B727" s="67" t="s">
        <v>187</v>
      </c>
      <c r="C727" s="61" t="s">
        <v>460</v>
      </c>
      <c r="D727" s="26">
        <v>1</v>
      </c>
      <c r="E727" s="69">
        <v>0</v>
      </c>
      <c r="F727" s="70">
        <v>0</v>
      </c>
      <c r="G727" s="69">
        <v>0</v>
      </c>
      <c r="H727" s="77">
        <v>0</v>
      </c>
      <c r="I727" s="321">
        <v>0</v>
      </c>
      <c r="J727" s="322">
        <v>0</v>
      </c>
      <c r="K727" s="508">
        <v>0</v>
      </c>
      <c r="L727" s="509">
        <v>0</v>
      </c>
      <c r="M727" s="323">
        <v>0</v>
      </c>
      <c r="N727" s="437">
        <v>0</v>
      </c>
      <c r="O727" s="249" t="s">
        <v>669</v>
      </c>
      <c r="P727" s="249"/>
    </row>
    <row r="728" spans="1:16" ht="18.25" customHeight="1" outlineLevel="2">
      <c r="B728" s="52" t="s">
        <v>187</v>
      </c>
      <c r="C728" s="54" t="s">
        <v>452</v>
      </c>
      <c r="D728" s="7" t="s">
        <v>221</v>
      </c>
      <c r="E728" s="58">
        <v>0</v>
      </c>
      <c r="F728" s="59">
        <v>0</v>
      </c>
      <c r="G728" s="58">
        <v>5</v>
      </c>
      <c r="H728" s="76">
        <v>64690</v>
      </c>
      <c r="I728" s="320">
        <v>1</v>
      </c>
      <c r="J728" s="406">
        <v>1</v>
      </c>
      <c r="K728" s="319">
        <v>1</v>
      </c>
      <c r="L728" s="424"/>
      <c r="M728" s="410">
        <v>1</v>
      </c>
      <c r="N728" s="429"/>
    </row>
    <row r="729" spans="1:16" ht="18.25" customHeight="1" outlineLevel="2">
      <c r="B729" s="52" t="s">
        <v>187</v>
      </c>
      <c r="C729" s="55" t="s">
        <v>832</v>
      </c>
      <c r="D729" s="7" t="s">
        <v>27</v>
      </c>
      <c r="E729" s="58">
        <v>0</v>
      </c>
      <c r="F729" s="59">
        <v>0</v>
      </c>
      <c r="G729" s="58">
        <v>1</v>
      </c>
      <c r="H729" s="76">
        <v>15893</v>
      </c>
      <c r="I729" s="320">
        <v>1</v>
      </c>
      <c r="J729" s="406">
        <v>1</v>
      </c>
      <c r="K729" s="319">
        <v>0</v>
      </c>
      <c r="L729" s="424">
        <v>1</v>
      </c>
      <c r="M729" s="410">
        <v>1</v>
      </c>
      <c r="N729" s="429"/>
    </row>
    <row r="730" spans="1:16" ht="18.25" customHeight="1" outlineLevel="2">
      <c r="B730" s="52" t="s">
        <v>187</v>
      </c>
      <c r="C730" s="55" t="s">
        <v>453</v>
      </c>
      <c r="D730" s="7" t="s">
        <v>27</v>
      </c>
      <c r="E730" s="58">
        <v>0</v>
      </c>
      <c r="F730" s="59">
        <v>0</v>
      </c>
      <c r="G730" s="58">
        <v>1</v>
      </c>
      <c r="H730" s="76">
        <v>23425</v>
      </c>
      <c r="I730" s="320">
        <v>1</v>
      </c>
      <c r="J730" s="406">
        <v>1</v>
      </c>
      <c r="K730" s="319">
        <v>0</v>
      </c>
      <c r="L730" s="424">
        <v>0</v>
      </c>
      <c r="M730" s="410">
        <v>0</v>
      </c>
      <c r="N730" s="429"/>
    </row>
    <row r="731" spans="1:16" s="65" customFormat="1" ht="18.25" customHeight="1" outlineLevel="1">
      <c r="A731" s="577"/>
      <c r="B731" s="67" t="s">
        <v>187</v>
      </c>
      <c r="C731" s="61" t="s">
        <v>452</v>
      </c>
      <c r="D731" s="26">
        <v>3</v>
      </c>
      <c r="E731" s="69">
        <v>0</v>
      </c>
      <c r="F731" s="70">
        <v>0</v>
      </c>
      <c r="G731" s="69">
        <v>7</v>
      </c>
      <c r="H731" s="77">
        <v>104008</v>
      </c>
      <c r="I731" s="321">
        <v>3</v>
      </c>
      <c r="J731" s="322">
        <v>3</v>
      </c>
      <c r="K731" s="508">
        <v>1</v>
      </c>
      <c r="L731" s="509">
        <v>1</v>
      </c>
      <c r="M731" s="323">
        <v>2</v>
      </c>
      <c r="N731" s="437">
        <v>0</v>
      </c>
      <c r="O731" s="249" t="s">
        <v>51</v>
      </c>
      <c r="P731" s="249"/>
    </row>
    <row r="732" spans="1:16" ht="18.25" customHeight="1" outlineLevel="2">
      <c r="B732" s="53" t="s">
        <v>187</v>
      </c>
      <c r="C732" s="54" t="s">
        <v>454</v>
      </c>
      <c r="D732" s="23" t="s">
        <v>240</v>
      </c>
      <c r="E732" s="58">
        <v>0</v>
      </c>
      <c r="F732" s="59">
        <v>0</v>
      </c>
      <c r="G732" s="58">
        <v>1</v>
      </c>
      <c r="H732" s="76">
        <v>2341</v>
      </c>
      <c r="I732" s="320">
        <v>1</v>
      </c>
      <c r="J732" s="406">
        <v>0</v>
      </c>
      <c r="K732" s="319">
        <v>0</v>
      </c>
      <c r="L732" s="424"/>
      <c r="M732" s="410">
        <v>0</v>
      </c>
      <c r="N732" s="429"/>
    </row>
    <row r="733" spans="1:16" ht="18.25" customHeight="1" outlineLevel="2">
      <c r="B733" s="53" t="s">
        <v>187</v>
      </c>
      <c r="C733" s="54" t="s">
        <v>469</v>
      </c>
      <c r="D733" s="7" t="s">
        <v>27</v>
      </c>
      <c r="E733" s="58">
        <v>0</v>
      </c>
      <c r="F733" s="59">
        <v>0</v>
      </c>
      <c r="G733" s="58">
        <v>0</v>
      </c>
      <c r="H733" s="76">
        <v>0</v>
      </c>
      <c r="I733" s="320">
        <v>0</v>
      </c>
      <c r="J733" s="406">
        <v>0</v>
      </c>
      <c r="K733" s="319">
        <v>0</v>
      </c>
      <c r="L733" s="424">
        <v>0</v>
      </c>
      <c r="M733" s="410">
        <v>0</v>
      </c>
      <c r="N733" s="429"/>
    </row>
    <row r="734" spans="1:16" ht="18.25" customHeight="1" outlineLevel="2">
      <c r="B734" s="53" t="s">
        <v>187</v>
      </c>
      <c r="C734" s="54" t="s">
        <v>455</v>
      </c>
      <c r="D734" s="7" t="s">
        <v>27</v>
      </c>
      <c r="E734" s="58">
        <v>0</v>
      </c>
      <c r="F734" s="59">
        <v>0</v>
      </c>
      <c r="G734" s="58">
        <v>1</v>
      </c>
      <c r="H734" s="76">
        <v>11039</v>
      </c>
      <c r="I734" s="320">
        <v>1</v>
      </c>
      <c r="J734" s="406">
        <v>1</v>
      </c>
      <c r="K734" s="319">
        <v>0</v>
      </c>
      <c r="L734" s="424">
        <v>0</v>
      </c>
      <c r="M734" s="410">
        <v>0</v>
      </c>
      <c r="N734" s="429"/>
    </row>
    <row r="735" spans="1:16" s="65" customFormat="1" ht="18.25" customHeight="1" outlineLevel="1">
      <c r="A735" s="577"/>
      <c r="B735" s="67" t="s">
        <v>187</v>
      </c>
      <c r="C735" s="61" t="s">
        <v>454</v>
      </c>
      <c r="D735" s="26">
        <v>3</v>
      </c>
      <c r="E735" s="69">
        <v>0</v>
      </c>
      <c r="F735" s="70">
        <v>0</v>
      </c>
      <c r="G735" s="69">
        <v>2</v>
      </c>
      <c r="H735" s="77">
        <v>13380</v>
      </c>
      <c r="I735" s="321">
        <v>2</v>
      </c>
      <c r="J735" s="322">
        <v>1</v>
      </c>
      <c r="K735" s="508">
        <v>0</v>
      </c>
      <c r="L735" s="509">
        <v>0</v>
      </c>
      <c r="M735" s="323">
        <v>0</v>
      </c>
      <c r="N735" s="437">
        <v>0</v>
      </c>
      <c r="O735" s="249" t="s">
        <v>171</v>
      </c>
      <c r="P735" s="249"/>
    </row>
    <row r="736" spans="1:16" s="149" customFormat="1" ht="18.25" customHeight="1">
      <c r="A736" s="575" t="s">
        <v>854</v>
      </c>
      <c r="B736" s="967" t="s">
        <v>329</v>
      </c>
      <c r="C736" s="968"/>
      <c r="D736" s="145">
        <v>33</v>
      </c>
      <c r="E736" s="156">
        <v>0</v>
      </c>
      <c r="F736" s="154">
        <v>0</v>
      </c>
      <c r="G736" s="353">
        <v>40</v>
      </c>
      <c r="H736" s="354">
        <v>1165291</v>
      </c>
      <c r="I736" s="355">
        <v>20</v>
      </c>
      <c r="J736" s="356">
        <v>16</v>
      </c>
      <c r="K736" s="917">
        <v>10</v>
      </c>
      <c r="L736" s="916">
        <v>3</v>
      </c>
      <c r="M736" s="420">
        <v>11</v>
      </c>
      <c r="N736" s="442">
        <v>1</v>
      </c>
      <c r="O736" s="248"/>
      <c r="P736" s="248"/>
    </row>
    <row r="737" spans="1:16" ht="18.25" customHeight="1" outlineLevel="2">
      <c r="B737" s="52" t="s">
        <v>387</v>
      </c>
      <c r="C737" s="54" t="s">
        <v>388</v>
      </c>
      <c r="D737" s="7" t="s">
        <v>183</v>
      </c>
      <c r="E737" s="58">
        <v>0</v>
      </c>
      <c r="F737" s="59">
        <v>0</v>
      </c>
      <c r="G737" s="58">
        <v>0</v>
      </c>
      <c r="H737" s="76">
        <v>0</v>
      </c>
      <c r="I737" s="320">
        <v>0</v>
      </c>
      <c r="J737" s="406">
        <v>0</v>
      </c>
      <c r="K737" s="319">
        <v>0</v>
      </c>
      <c r="L737" s="424"/>
      <c r="M737" s="410">
        <v>0</v>
      </c>
      <c r="N737" s="429"/>
    </row>
    <row r="738" spans="1:16" ht="18.25" customHeight="1" outlineLevel="2">
      <c r="B738" s="53" t="s">
        <v>387</v>
      </c>
      <c r="C738" s="54" t="s">
        <v>404</v>
      </c>
      <c r="D738" s="7" t="s">
        <v>181</v>
      </c>
      <c r="E738" s="58">
        <v>0</v>
      </c>
      <c r="F738" s="59">
        <v>0</v>
      </c>
      <c r="G738" s="58">
        <v>0</v>
      </c>
      <c r="H738" s="76">
        <v>19200</v>
      </c>
      <c r="I738" s="320">
        <v>0</v>
      </c>
      <c r="J738" s="406">
        <v>1</v>
      </c>
      <c r="K738" s="319">
        <v>0</v>
      </c>
      <c r="L738" s="424">
        <v>0</v>
      </c>
      <c r="M738" s="410">
        <v>0</v>
      </c>
      <c r="N738" s="429"/>
    </row>
    <row r="739" spans="1:16" ht="18.25" customHeight="1" outlineLevel="2">
      <c r="B739" s="53" t="s">
        <v>387</v>
      </c>
      <c r="C739" s="54" t="s">
        <v>627</v>
      </c>
      <c r="D739" s="7" t="s">
        <v>188</v>
      </c>
      <c r="E739" s="56">
        <v>0</v>
      </c>
      <c r="F739" s="57">
        <v>0</v>
      </c>
      <c r="G739" s="56">
        <v>0</v>
      </c>
      <c r="H739" s="78">
        <v>0</v>
      </c>
      <c r="I739" s="332">
        <v>0</v>
      </c>
      <c r="J739" s="406">
        <v>0</v>
      </c>
      <c r="K739" s="319">
        <v>0</v>
      </c>
      <c r="L739" s="424">
        <v>0</v>
      </c>
      <c r="M739" s="410">
        <v>0</v>
      </c>
      <c r="N739" s="429"/>
    </row>
    <row r="740" spans="1:16" ht="18.25" customHeight="1" outlineLevel="2">
      <c r="B740" s="53" t="s">
        <v>387</v>
      </c>
      <c r="C740" s="54" t="s">
        <v>395</v>
      </c>
      <c r="D740" s="7" t="s">
        <v>188</v>
      </c>
      <c r="E740" s="56">
        <v>0</v>
      </c>
      <c r="F740" s="57">
        <v>0</v>
      </c>
      <c r="G740" s="56">
        <v>1</v>
      </c>
      <c r="H740" s="78">
        <v>213010</v>
      </c>
      <c r="I740" s="332">
        <v>1</v>
      </c>
      <c r="J740" s="406">
        <v>1</v>
      </c>
      <c r="K740" s="319">
        <v>1</v>
      </c>
      <c r="L740" s="424">
        <v>0</v>
      </c>
      <c r="M740" s="410">
        <v>1</v>
      </c>
      <c r="N740" s="429"/>
    </row>
    <row r="741" spans="1:16" ht="18.25" customHeight="1" outlineLevel="2">
      <c r="B741" s="53" t="s">
        <v>387</v>
      </c>
      <c r="C741" s="54" t="s">
        <v>396</v>
      </c>
      <c r="D741" s="7" t="s">
        <v>181</v>
      </c>
      <c r="E741" s="56">
        <v>0</v>
      </c>
      <c r="F741" s="57">
        <v>0</v>
      </c>
      <c r="G741" s="56">
        <v>0</v>
      </c>
      <c r="H741" s="78">
        <v>0</v>
      </c>
      <c r="I741" s="332">
        <v>0</v>
      </c>
      <c r="J741" s="406">
        <v>0</v>
      </c>
      <c r="K741" s="319">
        <v>0</v>
      </c>
      <c r="L741" s="424">
        <v>0</v>
      </c>
      <c r="M741" s="410">
        <v>0</v>
      </c>
      <c r="N741" s="429"/>
    </row>
    <row r="742" spans="1:16" ht="18.25" customHeight="1" outlineLevel="2">
      <c r="B742" s="53" t="s">
        <v>387</v>
      </c>
      <c r="C742" s="54" t="s">
        <v>397</v>
      </c>
      <c r="D742" s="7" t="s">
        <v>181</v>
      </c>
      <c r="E742" s="56">
        <v>0</v>
      </c>
      <c r="F742" s="57">
        <v>0</v>
      </c>
      <c r="G742" s="56">
        <v>0</v>
      </c>
      <c r="H742" s="78">
        <v>0</v>
      </c>
      <c r="I742" s="332">
        <v>0</v>
      </c>
      <c r="J742" s="406">
        <v>0</v>
      </c>
      <c r="K742" s="319">
        <v>0</v>
      </c>
      <c r="L742" s="424">
        <v>0</v>
      </c>
      <c r="M742" s="410">
        <v>0</v>
      </c>
      <c r="N742" s="429"/>
    </row>
    <row r="743" spans="1:16" s="65" customFormat="1" ht="18.25" customHeight="1" outlineLevel="1">
      <c r="A743" s="577"/>
      <c r="B743" s="67" t="s">
        <v>387</v>
      </c>
      <c r="C743" s="61" t="s">
        <v>388</v>
      </c>
      <c r="D743" s="26">
        <v>6</v>
      </c>
      <c r="E743" s="69">
        <v>0</v>
      </c>
      <c r="F743" s="70">
        <v>0</v>
      </c>
      <c r="G743" s="69">
        <v>1</v>
      </c>
      <c r="H743" s="77">
        <v>232210</v>
      </c>
      <c r="I743" s="321">
        <v>1</v>
      </c>
      <c r="J743" s="322">
        <v>2</v>
      </c>
      <c r="K743" s="508">
        <v>1</v>
      </c>
      <c r="L743" s="509">
        <v>0</v>
      </c>
      <c r="M743" s="323">
        <v>1</v>
      </c>
      <c r="N743" s="437">
        <v>0</v>
      </c>
      <c r="O743" s="249" t="s">
        <v>167</v>
      </c>
      <c r="P743" s="249"/>
    </row>
    <row r="744" spans="1:16" ht="18.25" customHeight="1" outlineLevel="2">
      <c r="B744" s="52" t="s">
        <v>387</v>
      </c>
      <c r="C744" s="54" t="s">
        <v>403</v>
      </c>
      <c r="D744" s="7" t="s">
        <v>369</v>
      </c>
      <c r="E744" s="58">
        <v>0</v>
      </c>
      <c r="F744" s="59">
        <v>0</v>
      </c>
      <c r="G744" s="58">
        <v>2</v>
      </c>
      <c r="H744" s="76">
        <v>14378</v>
      </c>
      <c r="I744" s="320">
        <v>1</v>
      </c>
      <c r="J744" s="406">
        <v>0</v>
      </c>
      <c r="K744" s="319">
        <v>0</v>
      </c>
      <c r="L744" s="424"/>
      <c r="M744" s="410">
        <v>0</v>
      </c>
      <c r="N744" s="429"/>
    </row>
    <row r="745" spans="1:16" s="65" customFormat="1" ht="18.25" customHeight="1" outlineLevel="1">
      <c r="A745" s="577"/>
      <c r="B745" s="67" t="s">
        <v>387</v>
      </c>
      <c r="C745" s="61" t="s">
        <v>403</v>
      </c>
      <c r="D745" s="26">
        <v>1</v>
      </c>
      <c r="E745" s="69">
        <v>0</v>
      </c>
      <c r="F745" s="70">
        <v>0</v>
      </c>
      <c r="G745" s="69">
        <v>2</v>
      </c>
      <c r="H745" s="77">
        <v>14378</v>
      </c>
      <c r="I745" s="321">
        <v>1</v>
      </c>
      <c r="J745" s="322">
        <v>0</v>
      </c>
      <c r="K745" s="508">
        <v>0</v>
      </c>
      <c r="L745" s="509">
        <v>0</v>
      </c>
      <c r="M745" s="323">
        <v>0</v>
      </c>
      <c r="N745" s="437">
        <v>0</v>
      </c>
      <c r="O745" s="249" t="s">
        <v>670</v>
      </c>
      <c r="P745" s="249"/>
    </row>
    <row r="746" spans="1:16" ht="18.25" customHeight="1" outlineLevel="2">
      <c r="B746" s="53" t="s">
        <v>387</v>
      </c>
      <c r="C746" s="54" t="s">
        <v>389</v>
      </c>
      <c r="D746" s="7" t="s">
        <v>221</v>
      </c>
      <c r="E746" s="56">
        <v>0</v>
      </c>
      <c r="F746" s="57">
        <v>0</v>
      </c>
      <c r="G746" s="56">
        <v>5</v>
      </c>
      <c r="H746" s="78">
        <v>143982</v>
      </c>
      <c r="I746" s="332">
        <v>1</v>
      </c>
      <c r="J746" s="406">
        <v>1</v>
      </c>
      <c r="K746" s="319">
        <v>1</v>
      </c>
      <c r="L746" s="424"/>
      <c r="M746" s="410">
        <v>1</v>
      </c>
      <c r="N746" s="429"/>
    </row>
    <row r="747" spans="1:16" ht="18.25" customHeight="1" outlineLevel="2">
      <c r="B747" s="53" t="s">
        <v>387</v>
      </c>
      <c r="C747" s="54" t="s">
        <v>786</v>
      </c>
      <c r="D747" s="7" t="s">
        <v>181</v>
      </c>
      <c r="E747" s="56">
        <v>0</v>
      </c>
      <c r="F747" s="57">
        <v>0</v>
      </c>
      <c r="G747" s="56">
        <v>0</v>
      </c>
      <c r="H747" s="78">
        <v>0</v>
      </c>
      <c r="I747" s="332">
        <v>0</v>
      </c>
      <c r="J747" s="406">
        <v>0</v>
      </c>
      <c r="K747" s="319">
        <v>0</v>
      </c>
      <c r="L747" s="424">
        <v>1</v>
      </c>
      <c r="M747" s="410">
        <v>0</v>
      </c>
      <c r="N747" s="429"/>
    </row>
    <row r="748" spans="1:16" ht="18.25" customHeight="1" outlineLevel="2">
      <c r="B748" s="53" t="s">
        <v>387</v>
      </c>
      <c r="C748" s="54" t="s">
        <v>653</v>
      </c>
      <c r="D748" s="7" t="s">
        <v>181</v>
      </c>
      <c r="E748" s="56">
        <v>0</v>
      </c>
      <c r="F748" s="57">
        <v>0</v>
      </c>
      <c r="G748" s="56">
        <v>0</v>
      </c>
      <c r="H748" s="78">
        <v>0</v>
      </c>
      <c r="I748" s="332">
        <v>0</v>
      </c>
      <c r="J748" s="406">
        <v>0</v>
      </c>
      <c r="K748" s="319">
        <v>0</v>
      </c>
      <c r="L748" s="424">
        <v>0</v>
      </c>
      <c r="M748" s="410">
        <v>0</v>
      </c>
      <c r="N748" s="429"/>
    </row>
    <row r="749" spans="1:16" ht="18.25" customHeight="1" outlineLevel="2">
      <c r="B749" s="53" t="s">
        <v>387</v>
      </c>
      <c r="C749" s="54" t="s">
        <v>573</v>
      </c>
      <c r="D749" s="7" t="s">
        <v>181</v>
      </c>
      <c r="E749" s="56">
        <v>0</v>
      </c>
      <c r="F749" s="57">
        <v>0</v>
      </c>
      <c r="G749" s="56">
        <v>1</v>
      </c>
      <c r="H749" s="78">
        <v>4486</v>
      </c>
      <c r="I749" s="332">
        <v>1</v>
      </c>
      <c r="J749" s="406">
        <v>0</v>
      </c>
      <c r="K749" s="319">
        <v>0</v>
      </c>
      <c r="L749" s="424">
        <v>0</v>
      </c>
      <c r="M749" s="410">
        <v>0</v>
      </c>
      <c r="N749" s="429"/>
    </row>
    <row r="750" spans="1:16" s="65" customFormat="1" ht="18.25" customHeight="1" outlineLevel="1">
      <c r="A750" s="577"/>
      <c r="B750" s="67" t="s">
        <v>387</v>
      </c>
      <c r="C750" s="61" t="s">
        <v>389</v>
      </c>
      <c r="D750" s="26">
        <v>4</v>
      </c>
      <c r="E750" s="69">
        <v>0</v>
      </c>
      <c r="F750" s="70">
        <v>0</v>
      </c>
      <c r="G750" s="69">
        <v>6</v>
      </c>
      <c r="H750" s="77">
        <v>148468</v>
      </c>
      <c r="I750" s="321">
        <v>2</v>
      </c>
      <c r="J750" s="322">
        <v>1</v>
      </c>
      <c r="K750" s="508">
        <v>1</v>
      </c>
      <c r="L750" s="509">
        <v>1</v>
      </c>
      <c r="M750" s="323">
        <v>1</v>
      </c>
      <c r="N750" s="437">
        <v>0</v>
      </c>
      <c r="O750" s="249" t="s">
        <v>51</v>
      </c>
      <c r="P750" s="249"/>
    </row>
    <row r="751" spans="1:16" ht="18.25" customHeight="1" outlineLevel="2">
      <c r="B751" s="53" t="s">
        <v>387</v>
      </c>
      <c r="C751" s="54" t="s">
        <v>390</v>
      </c>
      <c r="D751" s="7" t="s">
        <v>184</v>
      </c>
      <c r="E751" s="56">
        <v>0</v>
      </c>
      <c r="F751" s="57">
        <v>0</v>
      </c>
      <c r="G751" s="56">
        <v>0</v>
      </c>
      <c r="H751" s="78">
        <v>0</v>
      </c>
      <c r="I751" s="332">
        <v>0</v>
      </c>
      <c r="J751" s="406">
        <v>0</v>
      </c>
      <c r="K751" s="319">
        <v>0</v>
      </c>
      <c r="L751" s="424"/>
      <c r="M751" s="410">
        <v>0</v>
      </c>
      <c r="N751" s="429"/>
    </row>
    <row r="752" spans="1:16" ht="18.25" customHeight="1" outlineLevel="2">
      <c r="B752" s="53" t="s">
        <v>387</v>
      </c>
      <c r="C752" s="54" t="s">
        <v>810</v>
      </c>
      <c r="D752" s="7" t="s">
        <v>181</v>
      </c>
      <c r="E752" s="56">
        <v>0</v>
      </c>
      <c r="F752" s="57">
        <v>0</v>
      </c>
      <c r="G752" s="56">
        <v>0</v>
      </c>
      <c r="H752" s="78">
        <v>0</v>
      </c>
      <c r="I752" s="332">
        <v>0</v>
      </c>
      <c r="J752" s="406">
        <v>0</v>
      </c>
      <c r="K752" s="319">
        <v>0</v>
      </c>
      <c r="L752" s="424">
        <v>1</v>
      </c>
      <c r="M752" s="410">
        <v>0</v>
      </c>
      <c r="N752" s="429"/>
    </row>
    <row r="753" spans="1:16" ht="18.25" customHeight="1" outlineLevel="2">
      <c r="B753" s="53" t="s">
        <v>387</v>
      </c>
      <c r="C753" s="54" t="s">
        <v>394</v>
      </c>
      <c r="D753" s="73" t="s">
        <v>793</v>
      </c>
      <c r="E753" s="56">
        <v>0</v>
      </c>
      <c r="F753" s="57">
        <v>0</v>
      </c>
      <c r="G753" s="56">
        <v>2</v>
      </c>
      <c r="H753" s="78">
        <v>10814</v>
      </c>
      <c r="I753" s="332">
        <v>1</v>
      </c>
      <c r="J753" s="406">
        <v>1</v>
      </c>
      <c r="K753" s="319">
        <v>0</v>
      </c>
      <c r="L753" s="424">
        <v>0</v>
      </c>
      <c r="M753" s="410">
        <v>0</v>
      </c>
      <c r="N753" s="429"/>
    </row>
    <row r="754" spans="1:16" ht="18.25" customHeight="1" outlineLevel="2">
      <c r="B754" s="53" t="s">
        <v>387</v>
      </c>
      <c r="C754" s="54" t="s">
        <v>391</v>
      </c>
      <c r="D754" s="73" t="s">
        <v>470</v>
      </c>
      <c r="E754" s="56">
        <v>0</v>
      </c>
      <c r="F754" s="57">
        <v>0</v>
      </c>
      <c r="G754" s="56">
        <v>0</v>
      </c>
      <c r="H754" s="78">
        <v>0</v>
      </c>
      <c r="I754" s="332">
        <v>0</v>
      </c>
      <c r="J754" s="406">
        <v>0</v>
      </c>
      <c r="K754" s="319">
        <v>0</v>
      </c>
      <c r="L754" s="424">
        <v>0</v>
      </c>
      <c r="M754" s="410">
        <v>0</v>
      </c>
      <c r="N754" s="429"/>
    </row>
    <row r="755" spans="1:16" ht="18.25" customHeight="1" outlineLevel="2">
      <c r="B755" s="53" t="s">
        <v>387</v>
      </c>
      <c r="C755" s="54" t="s">
        <v>392</v>
      </c>
      <c r="D755" s="7" t="s">
        <v>181</v>
      </c>
      <c r="E755" s="56">
        <v>0</v>
      </c>
      <c r="F755" s="57">
        <v>0</v>
      </c>
      <c r="G755" s="56">
        <v>0</v>
      </c>
      <c r="H755" s="78">
        <v>0</v>
      </c>
      <c r="I755" s="332">
        <v>0</v>
      </c>
      <c r="J755" s="406">
        <v>0</v>
      </c>
      <c r="K755" s="319">
        <v>0</v>
      </c>
      <c r="L755" s="424">
        <v>0</v>
      </c>
      <c r="M755" s="410">
        <v>0</v>
      </c>
      <c r="N755" s="429"/>
    </row>
    <row r="756" spans="1:16" s="65" customFormat="1" ht="18.25" customHeight="1" outlineLevel="1">
      <c r="A756" s="577"/>
      <c r="B756" s="67" t="s">
        <v>387</v>
      </c>
      <c r="C756" s="61" t="s">
        <v>390</v>
      </c>
      <c r="D756" s="26">
        <v>5</v>
      </c>
      <c r="E756" s="69">
        <v>0</v>
      </c>
      <c r="F756" s="70">
        <v>0</v>
      </c>
      <c r="G756" s="69">
        <v>2</v>
      </c>
      <c r="H756" s="77">
        <v>10814</v>
      </c>
      <c r="I756" s="321">
        <v>1</v>
      </c>
      <c r="J756" s="322">
        <v>1</v>
      </c>
      <c r="K756" s="508">
        <v>0</v>
      </c>
      <c r="L756" s="509">
        <v>1</v>
      </c>
      <c r="M756" s="323">
        <v>0</v>
      </c>
      <c r="N756" s="437">
        <v>0</v>
      </c>
      <c r="O756" s="249" t="s">
        <v>51</v>
      </c>
      <c r="P756" s="249"/>
    </row>
    <row r="757" spans="1:16" ht="18.25" customHeight="1" outlineLevel="2">
      <c r="B757" s="53" t="s">
        <v>387</v>
      </c>
      <c r="C757" s="54" t="s">
        <v>393</v>
      </c>
      <c r="D757" s="7" t="s">
        <v>369</v>
      </c>
      <c r="E757" s="56">
        <v>0</v>
      </c>
      <c r="F757" s="57">
        <v>0</v>
      </c>
      <c r="G757" s="56">
        <v>0</v>
      </c>
      <c r="H757" s="78">
        <v>0</v>
      </c>
      <c r="I757" s="332">
        <v>0</v>
      </c>
      <c r="J757" s="406">
        <v>0</v>
      </c>
      <c r="K757" s="319">
        <v>0</v>
      </c>
      <c r="L757" s="424"/>
      <c r="M757" s="410">
        <v>0</v>
      </c>
      <c r="N757" s="429"/>
    </row>
    <row r="758" spans="1:16" s="65" customFormat="1" ht="18.25" customHeight="1" outlineLevel="1">
      <c r="A758" s="577"/>
      <c r="B758" s="67" t="s">
        <v>387</v>
      </c>
      <c r="C758" s="61" t="s">
        <v>393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321">
        <v>0</v>
      </c>
      <c r="J758" s="322">
        <v>0</v>
      </c>
      <c r="K758" s="508">
        <v>0</v>
      </c>
      <c r="L758" s="509">
        <v>0</v>
      </c>
      <c r="M758" s="323">
        <v>0</v>
      </c>
      <c r="N758" s="437">
        <v>0</v>
      </c>
      <c r="O758" s="249" t="s">
        <v>670</v>
      </c>
      <c r="P758" s="249"/>
    </row>
    <row r="759" spans="1:16" ht="18.25" customHeight="1" outlineLevel="2">
      <c r="B759" s="53" t="s">
        <v>387</v>
      </c>
      <c r="C759" s="54" t="s">
        <v>398</v>
      </c>
      <c r="D759" s="7" t="s">
        <v>184</v>
      </c>
      <c r="E759" s="56">
        <v>0</v>
      </c>
      <c r="F759" s="57">
        <v>0</v>
      </c>
      <c r="G759" s="56">
        <v>2</v>
      </c>
      <c r="H759" s="78">
        <v>77538</v>
      </c>
      <c r="I759" s="332">
        <v>1</v>
      </c>
      <c r="J759" s="406">
        <v>1</v>
      </c>
      <c r="K759" s="319">
        <v>1</v>
      </c>
      <c r="L759" s="424"/>
      <c r="M759" s="410">
        <v>1</v>
      </c>
      <c r="N759" s="429"/>
    </row>
    <row r="760" spans="1:16" ht="18.25" customHeight="1" outlineLevel="2">
      <c r="B760" s="53" t="s">
        <v>387</v>
      </c>
      <c r="C760" s="54" t="s">
        <v>399</v>
      </c>
      <c r="D760" s="23" t="s">
        <v>181</v>
      </c>
      <c r="E760" s="56">
        <v>0</v>
      </c>
      <c r="F760" s="57">
        <v>0</v>
      </c>
      <c r="G760" s="56">
        <v>1</v>
      </c>
      <c r="H760" s="78">
        <v>1961</v>
      </c>
      <c r="I760" s="332">
        <v>1</v>
      </c>
      <c r="J760" s="406">
        <v>0</v>
      </c>
      <c r="K760" s="319">
        <v>0</v>
      </c>
      <c r="L760" s="424">
        <v>0</v>
      </c>
      <c r="M760" s="410">
        <v>0</v>
      </c>
      <c r="N760" s="429"/>
    </row>
    <row r="761" spans="1:16" ht="18.25" customHeight="1" outlineLevel="2">
      <c r="B761" s="53" t="s">
        <v>387</v>
      </c>
      <c r="C761" s="54" t="s">
        <v>400</v>
      </c>
      <c r="D761" s="7" t="s">
        <v>181</v>
      </c>
      <c r="E761" s="56">
        <v>0</v>
      </c>
      <c r="F761" s="57">
        <v>0</v>
      </c>
      <c r="G761" s="56">
        <v>1</v>
      </c>
      <c r="H761" s="78">
        <v>3352</v>
      </c>
      <c r="I761" s="332">
        <v>1</v>
      </c>
      <c r="J761" s="406">
        <v>0</v>
      </c>
      <c r="K761" s="319">
        <v>0</v>
      </c>
      <c r="L761" s="424">
        <v>0</v>
      </c>
      <c r="M761" s="410">
        <v>0</v>
      </c>
      <c r="N761" s="429"/>
    </row>
    <row r="762" spans="1:16" ht="18.25" customHeight="1" outlineLevel="2">
      <c r="B762" s="53" t="s">
        <v>387</v>
      </c>
      <c r="C762" s="54" t="s">
        <v>401</v>
      </c>
      <c r="D762" s="73" t="s">
        <v>793</v>
      </c>
      <c r="E762" s="56">
        <v>0</v>
      </c>
      <c r="F762" s="57">
        <v>0</v>
      </c>
      <c r="G762" s="56">
        <v>0</v>
      </c>
      <c r="H762" s="78">
        <v>0</v>
      </c>
      <c r="I762" s="332">
        <v>0</v>
      </c>
      <c r="J762" s="406">
        <v>0</v>
      </c>
      <c r="K762" s="319">
        <v>0</v>
      </c>
      <c r="L762" s="424">
        <v>0</v>
      </c>
      <c r="M762" s="410">
        <v>0</v>
      </c>
      <c r="N762" s="429"/>
    </row>
    <row r="763" spans="1:16" s="65" customFormat="1" ht="18.25" customHeight="1" outlineLevel="1">
      <c r="A763" s="577"/>
      <c r="B763" s="67" t="s">
        <v>387</v>
      </c>
      <c r="C763" s="61" t="s">
        <v>398</v>
      </c>
      <c r="D763" s="26">
        <v>4</v>
      </c>
      <c r="E763" s="69">
        <v>0</v>
      </c>
      <c r="F763" s="69">
        <v>0</v>
      </c>
      <c r="G763" s="69">
        <v>4</v>
      </c>
      <c r="H763" s="79">
        <v>82851</v>
      </c>
      <c r="I763" s="321">
        <v>3</v>
      </c>
      <c r="J763" s="322">
        <v>1</v>
      </c>
      <c r="K763" s="508">
        <v>1</v>
      </c>
      <c r="L763" s="509">
        <v>0</v>
      </c>
      <c r="M763" s="323">
        <v>1</v>
      </c>
      <c r="N763" s="437">
        <v>0</v>
      </c>
      <c r="O763" s="249" t="s">
        <v>51</v>
      </c>
      <c r="P763" s="249"/>
    </row>
    <row r="764" spans="1:16" ht="18.25" customHeight="1" outlineLevel="2">
      <c r="B764" s="52" t="s">
        <v>387</v>
      </c>
      <c r="C764" s="54" t="s">
        <v>402</v>
      </c>
      <c r="D764" s="7" t="s">
        <v>180</v>
      </c>
      <c r="E764" s="58">
        <v>0</v>
      </c>
      <c r="F764" s="59">
        <v>0</v>
      </c>
      <c r="G764" s="58">
        <v>9</v>
      </c>
      <c r="H764" s="76">
        <v>81566</v>
      </c>
      <c r="I764" s="320">
        <v>1</v>
      </c>
      <c r="J764" s="406">
        <v>1</v>
      </c>
      <c r="K764" s="319">
        <v>1</v>
      </c>
      <c r="L764" s="424"/>
      <c r="M764" s="410">
        <v>1</v>
      </c>
      <c r="N764" s="429"/>
    </row>
    <row r="765" spans="1:16" ht="18.25" customHeight="1" outlineLevel="2">
      <c r="B765" s="52" t="s">
        <v>387</v>
      </c>
      <c r="C765" s="54" t="s">
        <v>534</v>
      </c>
      <c r="D765" s="23" t="s">
        <v>181</v>
      </c>
      <c r="E765" s="58">
        <v>0</v>
      </c>
      <c r="F765" s="59">
        <v>0</v>
      </c>
      <c r="G765" s="58">
        <v>0</v>
      </c>
      <c r="H765" s="76">
        <v>0</v>
      </c>
      <c r="I765" s="320">
        <v>0</v>
      </c>
      <c r="J765" s="406">
        <v>0</v>
      </c>
      <c r="K765" s="319">
        <v>0</v>
      </c>
      <c r="L765" s="424">
        <v>0</v>
      </c>
      <c r="M765" s="410">
        <v>0</v>
      </c>
      <c r="N765" s="429"/>
    </row>
    <row r="766" spans="1:16" s="65" customFormat="1" ht="18.25" customHeight="1" outlineLevel="1">
      <c r="A766" s="577"/>
      <c r="B766" s="67" t="s">
        <v>387</v>
      </c>
      <c r="C766" s="61" t="s">
        <v>402</v>
      </c>
      <c r="D766" s="26">
        <v>2</v>
      </c>
      <c r="E766" s="69">
        <v>0</v>
      </c>
      <c r="F766" s="70">
        <v>0</v>
      </c>
      <c r="G766" s="69">
        <v>9</v>
      </c>
      <c r="H766" s="77">
        <v>81566</v>
      </c>
      <c r="I766" s="321">
        <v>1</v>
      </c>
      <c r="J766" s="322">
        <v>1</v>
      </c>
      <c r="K766" s="508">
        <v>1</v>
      </c>
      <c r="L766" s="509">
        <v>0</v>
      </c>
      <c r="M766" s="323">
        <v>1</v>
      </c>
      <c r="N766" s="437">
        <v>0</v>
      </c>
      <c r="O766" s="249" t="s">
        <v>171</v>
      </c>
      <c r="P766" s="249"/>
    </row>
    <row r="767" spans="1:16" ht="18.25" customHeight="1" outlineLevel="2">
      <c r="B767" s="53" t="s">
        <v>387</v>
      </c>
      <c r="C767" s="54" t="s">
        <v>405</v>
      </c>
      <c r="D767" s="7" t="s">
        <v>184</v>
      </c>
      <c r="E767" s="58">
        <v>0</v>
      </c>
      <c r="F767" s="59">
        <v>0</v>
      </c>
      <c r="G767" s="58">
        <v>1</v>
      </c>
      <c r="H767" s="76">
        <v>12996</v>
      </c>
      <c r="I767" s="320">
        <v>1</v>
      </c>
      <c r="J767" s="406">
        <v>0</v>
      </c>
      <c r="K767" s="319">
        <v>0</v>
      </c>
      <c r="L767" s="424"/>
      <c r="M767" s="410">
        <v>0</v>
      </c>
      <c r="N767" s="429"/>
    </row>
    <row r="768" spans="1:16" ht="18.25" customHeight="1" outlineLevel="2">
      <c r="B768" s="53" t="s">
        <v>387</v>
      </c>
      <c r="C768" s="54" t="s">
        <v>409</v>
      </c>
      <c r="D768" s="7" t="s">
        <v>181</v>
      </c>
      <c r="E768" s="58">
        <v>0</v>
      </c>
      <c r="F768" s="59">
        <v>0</v>
      </c>
      <c r="G768" s="58">
        <v>1</v>
      </c>
      <c r="H768" s="76">
        <v>75168</v>
      </c>
      <c r="I768" s="320">
        <v>1</v>
      </c>
      <c r="J768" s="406">
        <v>1</v>
      </c>
      <c r="K768" s="319">
        <v>1</v>
      </c>
      <c r="L768" s="424">
        <v>0</v>
      </c>
      <c r="M768" s="410">
        <v>1</v>
      </c>
      <c r="N768" s="429"/>
    </row>
    <row r="769" spans="1:16" ht="18.25" customHeight="1" outlineLevel="2">
      <c r="B769" s="53" t="s">
        <v>387</v>
      </c>
      <c r="C769" s="54" t="s">
        <v>468</v>
      </c>
      <c r="D769" s="7" t="s">
        <v>181</v>
      </c>
      <c r="E769" s="58">
        <v>0</v>
      </c>
      <c r="F769" s="59">
        <v>0</v>
      </c>
      <c r="G769" s="58">
        <v>0</v>
      </c>
      <c r="H769" s="76">
        <v>0</v>
      </c>
      <c r="I769" s="320">
        <v>0</v>
      </c>
      <c r="J769" s="406">
        <v>0</v>
      </c>
      <c r="K769" s="319">
        <v>0</v>
      </c>
      <c r="L769" s="424">
        <v>0</v>
      </c>
      <c r="M769" s="410">
        <v>0</v>
      </c>
      <c r="N769" s="429"/>
    </row>
    <row r="770" spans="1:16" ht="18.25" customHeight="1" outlineLevel="2">
      <c r="B770" s="53" t="s">
        <v>387</v>
      </c>
      <c r="C770" s="54" t="s">
        <v>406</v>
      </c>
      <c r="D770" s="73" t="s">
        <v>470</v>
      </c>
      <c r="E770" s="58">
        <v>0</v>
      </c>
      <c r="F770" s="59">
        <v>0</v>
      </c>
      <c r="G770" s="58">
        <v>1</v>
      </c>
      <c r="H770" s="76">
        <v>3000</v>
      </c>
      <c r="I770" s="320">
        <v>1</v>
      </c>
      <c r="J770" s="406">
        <v>0</v>
      </c>
      <c r="K770" s="319">
        <v>0</v>
      </c>
      <c r="L770" s="424">
        <v>0</v>
      </c>
      <c r="M770" s="410">
        <v>0</v>
      </c>
      <c r="N770" s="429"/>
    </row>
    <row r="771" spans="1:16" ht="18.25" customHeight="1" outlineLevel="2">
      <c r="B771" s="53" t="s">
        <v>387</v>
      </c>
      <c r="C771" s="54" t="s">
        <v>407</v>
      </c>
      <c r="D771" s="7" t="s">
        <v>181</v>
      </c>
      <c r="E771" s="58">
        <v>0</v>
      </c>
      <c r="F771" s="59">
        <v>0</v>
      </c>
      <c r="G771" s="58">
        <v>0</v>
      </c>
      <c r="H771" s="76">
        <v>0</v>
      </c>
      <c r="I771" s="320">
        <v>0</v>
      </c>
      <c r="J771" s="406">
        <v>0</v>
      </c>
      <c r="K771" s="319">
        <v>0</v>
      </c>
      <c r="L771" s="424">
        <v>0</v>
      </c>
      <c r="M771" s="410">
        <v>0</v>
      </c>
      <c r="N771" s="429"/>
    </row>
    <row r="772" spans="1:16" ht="18.5" customHeight="1" outlineLevel="2">
      <c r="B772" s="53" t="s">
        <v>387</v>
      </c>
      <c r="C772" s="54" t="s">
        <v>408</v>
      </c>
      <c r="D772" s="7" t="s">
        <v>181</v>
      </c>
      <c r="E772" s="58">
        <v>0</v>
      </c>
      <c r="F772" s="59">
        <v>0</v>
      </c>
      <c r="G772" s="58">
        <v>0</v>
      </c>
      <c r="H772" s="76">
        <v>0</v>
      </c>
      <c r="I772" s="320">
        <v>0</v>
      </c>
      <c r="J772" s="406">
        <v>0</v>
      </c>
      <c r="K772" s="319">
        <v>0</v>
      </c>
      <c r="L772" s="424">
        <v>0</v>
      </c>
      <c r="M772" s="410">
        <v>0</v>
      </c>
      <c r="N772" s="429"/>
    </row>
    <row r="773" spans="1:16" ht="18.25" customHeight="1" outlineLevel="2">
      <c r="B773" s="53" t="s">
        <v>387</v>
      </c>
      <c r="C773" s="54" t="s">
        <v>410</v>
      </c>
      <c r="D773" s="7" t="s">
        <v>181</v>
      </c>
      <c r="E773" s="58">
        <v>0</v>
      </c>
      <c r="F773" s="59">
        <v>0</v>
      </c>
      <c r="G773" s="58">
        <v>0</v>
      </c>
      <c r="H773" s="76">
        <v>0</v>
      </c>
      <c r="I773" s="320">
        <v>0</v>
      </c>
      <c r="J773" s="406">
        <v>0</v>
      </c>
      <c r="K773" s="319">
        <v>0</v>
      </c>
      <c r="L773" s="424">
        <v>0</v>
      </c>
      <c r="M773" s="410">
        <v>0</v>
      </c>
      <c r="N773" s="429"/>
    </row>
    <row r="774" spans="1:16" s="65" customFormat="1" ht="18.25" customHeight="1" outlineLevel="1">
      <c r="A774" s="577"/>
      <c r="B774" s="67" t="s">
        <v>387</v>
      </c>
      <c r="C774" s="61" t="s">
        <v>405</v>
      </c>
      <c r="D774" s="26">
        <v>7</v>
      </c>
      <c r="E774" s="69">
        <v>0</v>
      </c>
      <c r="F774" s="70">
        <v>0</v>
      </c>
      <c r="G774" s="69">
        <v>3</v>
      </c>
      <c r="H774" s="77">
        <v>91164</v>
      </c>
      <c r="I774" s="321">
        <v>3</v>
      </c>
      <c r="J774" s="322">
        <v>1</v>
      </c>
      <c r="K774" s="508">
        <v>1</v>
      </c>
      <c r="L774" s="509">
        <v>0</v>
      </c>
      <c r="M774" s="323">
        <v>1</v>
      </c>
      <c r="N774" s="437">
        <v>0</v>
      </c>
      <c r="O774" s="249" t="s">
        <v>51</v>
      </c>
      <c r="P774" s="249"/>
    </row>
    <row r="775" spans="1:16" ht="18.25" customHeight="1" outlineLevel="2">
      <c r="B775" s="52" t="s">
        <v>387</v>
      </c>
      <c r="C775" s="54" t="s">
        <v>411</v>
      </c>
      <c r="D775" s="23" t="s">
        <v>180</v>
      </c>
      <c r="E775" s="58">
        <v>0</v>
      </c>
      <c r="F775" s="59">
        <v>0</v>
      </c>
      <c r="G775" s="58">
        <v>6</v>
      </c>
      <c r="H775" s="76">
        <v>118702</v>
      </c>
      <c r="I775" s="320">
        <v>1</v>
      </c>
      <c r="J775" s="406">
        <v>1</v>
      </c>
      <c r="K775" s="319">
        <v>1</v>
      </c>
      <c r="L775" s="424"/>
      <c r="M775" s="410">
        <v>1</v>
      </c>
      <c r="N775" s="429"/>
    </row>
    <row r="776" spans="1:16" ht="18.25" customHeight="1" outlineLevel="1">
      <c r="B776" s="67" t="s">
        <v>387</v>
      </c>
      <c r="C776" s="61" t="s">
        <v>411</v>
      </c>
      <c r="D776" s="26">
        <v>1</v>
      </c>
      <c r="E776" s="69">
        <v>0</v>
      </c>
      <c r="F776" s="70">
        <v>0</v>
      </c>
      <c r="G776" s="69">
        <v>6</v>
      </c>
      <c r="H776" s="77">
        <v>118702</v>
      </c>
      <c r="I776" s="321">
        <v>1</v>
      </c>
      <c r="J776" s="322">
        <v>1</v>
      </c>
      <c r="K776" s="508">
        <v>1</v>
      </c>
      <c r="L776" s="509">
        <v>0</v>
      </c>
      <c r="M776" s="323">
        <v>1</v>
      </c>
      <c r="N776" s="437">
        <v>0</v>
      </c>
      <c r="O776" s="1" t="s">
        <v>171</v>
      </c>
    </row>
    <row r="777" spans="1:16" s="161" customFormat="1" ht="18.25" customHeight="1">
      <c r="A777" s="579" t="s">
        <v>853</v>
      </c>
      <c r="B777" s="971" t="s">
        <v>463</v>
      </c>
      <c r="C777" s="971"/>
      <c r="D777" s="157">
        <v>31</v>
      </c>
      <c r="E777" s="158">
        <v>0</v>
      </c>
      <c r="F777" s="159">
        <v>0</v>
      </c>
      <c r="G777" s="158">
        <v>33</v>
      </c>
      <c r="H777" s="160">
        <v>780153</v>
      </c>
      <c r="I777" s="158">
        <v>13</v>
      </c>
      <c r="J777" s="352">
        <v>8</v>
      </c>
      <c r="K777" s="918">
        <v>6</v>
      </c>
      <c r="L777" s="919">
        <v>2</v>
      </c>
      <c r="M777" s="421">
        <v>6</v>
      </c>
      <c r="N777" s="443">
        <v>0</v>
      </c>
      <c r="O777" s="252"/>
      <c r="P777" s="252"/>
    </row>
    <row r="778" spans="1:16" ht="18.25" customHeight="1" outlineLevel="2">
      <c r="B778" s="52" t="s">
        <v>462</v>
      </c>
      <c r="C778" s="54" t="s">
        <v>425</v>
      </c>
      <c r="D778" s="7" t="s">
        <v>183</v>
      </c>
      <c r="E778" s="58">
        <v>0</v>
      </c>
      <c r="F778" s="59">
        <v>0</v>
      </c>
      <c r="G778" s="58">
        <v>1</v>
      </c>
      <c r="H778" s="76">
        <v>10170</v>
      </c>
      <c r="I778" s="320">
        <v>1</v>
      </c>
      <c r="J778" s="406">
        <v>0</v>
      </c>
      <c r="K778" s="319">
        <v>0</v>
      </c>
      <c r="L778" s="424"/>
      <c r="M778" s="410">
        <v>0</v>
      </c>
      <c r="N778" s="429"/>
    </row>
    <row r="779" spans="1:16" ht="18.25" customHeight="1" outlineLevel="2">
      <c r="B779" s="52" t="s">
        <v>462</v>
      </c>
      <c r="C779" s="54" t="s">
        <v>432</v>
      </c>
      <c r="D779" s="23" t="s">
        <v>181</v>
      </c>
      <c r="E779" s="58">
        <v>0</v>
      </c>
      <c r="F779" s="59">
        <v>0</v>
      </c>
      <c r="G779" s="58">
        <v>0</v>
      </c>
      <c r="H779" s="76">
        <v>0</v>
      </c>
      <c r="I779" s="320">
        <v>0</v>
      </c>
      <c r="J779" s="406">
        <v>0</v>
      </c>
      <c r="K779" s="319">
        <v>0</v>
      </c>
      <c r="L779" s="424">
        <v>0</v>
      </c>
      <c r="M779" s="410">
        <v>0</v>
      </c>
      <c r="N779" s="429"/>
    </row>
    <row r="780" spans="1:16" ht="18.25" customHeight="1" outlineLevel="2">
      <c r="B780" s="52" t="s">
        <v>462</v>
      </c>
      <c r="C780" s="54" t="s">
        <v>899</v>
      </c>
      <c r="D780" s="23" t="s">
        <v>181</v>
      </c>
      <c r="E780" s="58">
        <v>0</v>
      </c>
      <c r="F780" s="59">
        <v>0</v>
      </c>
      <c r="G780" s="58">
        <v>0</v>
      </c>
      <c r="H780" s="76">
        <v>0</v>
      </c>
      <c r="I780" s="320">
        <v>0</v>
      </c>
      <c r="J780" s="406">
        <v>0</v>
      </c>
      <c r="K780" s="319">
        <v>0</v>
      </c>
      <c r="L780" s="424">
        <v>1</v>
      </c>
      <c r="M780" s="410">
        <v>0</v>
      </c>
      <c r="N780" s="429"/>
    </row>
    <row r="781" spans="1:16" ht="18.25" customHeight="1" outlineLevel="2">
      <c r="B781" s="52" t="s">
        <v>462</v>
      </c>
      <c r="C781" s="54" t="s">
        <v>428</v>
      </c>
      <c r="D781" s="23" t="s">
        <v>181</v>
      </c>
      <c r="E781" s="58">
        <v>0</v>
      </c>
      <c r="F781" s="59">
        <v>0</v>
      </c>
      <c r="G781" s="58">
        <v>0</v>
      </c>
      <c r="H781" s="76">
        <v>0</v>
      </c>
      <c r="I781" s="320">
        <v>0</v>
      </c>
      <c r="J781" s="406">
        <v>0</v>
      </c>
      <c r="K781" s="319">
        <v>0</v>
      </c>
      <c r="L781" s="424">
        <v>0</v>
      </c>
      <c r="M781" s="410">
        <v>0</v>
      </c>
      <c r="N781" s="429"/>
    </row>
    <row r="782" spans="1:16" ht="18.25" customHeight="1" outlineLevel="2">
      <c r="B782" s="52" t="s">
        <v>462</v>
      </c>
      <c r="C782" s="54" t="s">
        <v>474</v>
      </c>
      <c r="D782" s="23" t="s">
        <v>181</v>
      </c>
      <c r="E782" s="58">
        <v>0</v>
      </c>
      <c r="F782" s="59">
        <v>0</v>
      </c>
      <c r="G782" s="58">
        <v>4</v>
      </c>
      <c r="H782" s="76">
        <v>66103</v>
      </c>
      <c r="I782" s="320">
        <v>1</v>
      </c>
      <c r="J782" s="406">
        <v>1</v>
      </c>
      <c r="K782" s="319">
        <v>1</v>
      </c>
      <c r="L782" s="424">
        <v>0</v>
      </c>
      <c r="M782" s="410">
        <v>1</v>
      </c>
      <c r="N782" s="429"/>
    </row>
    <row r="783" spans="1:16" ht="18.25" customHeight="1" outlineLevel="2">
      <c r="B783" s="52" t="s">
        <v>462</v>
      </c>
      <c r="C783" s="54" t="s">
        <v>431</v>
      </c>
      <c r="D783" s="23" t="s">
        <v>181</v>
      </c>
      <c r="E783" s="58">
        <v>0</v>
      </c>
      <c r="F783" s="59">
        <v>0</v>
      </c>
      <c r="G783" s="58">
        <v>0</v>
      </c>
      <c r="H783" s="76">
        <v>0</v>
      </c>
      <c r="I783" s="320">
        <v>0</v>
      </c>
      <c r="J783" s="406">
        <v>0</v>
      </c>
      <c r="K783" s="319">
        <v>0</v>
      </c>
      <c r="L783" s="424">
        <v>0</v>
      </c>
      <c r="M783" s="410">
        <v>0</v>
      </c>
      <c r="N783" s="429"/>
    </row>
    <row r="784" spans="1:16" s="65" customFormat="1" ht="18.25" customHeight="1" outlineLevel="1">
      <c r="A784" s="577"/>
      <c r="B784" s="67" t="s">
        <v>462</v>
      </c>
      <c r="C784" s="61" t="s">
        <v>425</v>
      </c>
      <c r="D784" s="26">
        <v>6</v>
      </c>
      <c r="E784" s="69">
        <v>0</v>
      </c>
      <c r="F784" s="70">
        <v>0</v>
      </c>
      <c r="G784" s="69">
        <v>5</v>
      </c>
      <c r="H784" s="77">
        <v>76273</v>
      </c>
      <c r="I784" s="321">
        <v>2</v>
      </c>
      <c r="J784" s="322">
        <v>1</v>
      </c>
      <c r="K784" s="508">
        <v>1</v>
      </c>
      <c r="L784" s="509">
        <v>1</v>
      </c>
      <c r="M784" s="323">
        <v>1</v>
      </c>
      <c r="N784" s="437">
        <v>0</v>
      </c>
      <c r="O784" s="249" t="s">
        <v>167</v>
      </c>
      <c r="P784" s="249"/>
    </row>
    <row r="785" spans="1:16" ht="18.25" customHeight="1" outlineLevel="2">
      <c r="B785" s="52" t="s">
        <v>462</v>
      </c>
      <c r="C785" s="55" t="s">
        <v>429</v>
      </c>
      <c r="D785" s="7" t="s">
        <v>189</v>
      </c>
      <c r="E785" s="58">
        <v>0</v>
      </c>
      <c r="F785" s="59">
        <v>0</v>
      </c>
      <c r="G785" s="58">
        <v>2</v>
      </c>
      <c r="H785" s="76">
        <v>37613</v>
      </c>
      <c r="I785" s="320">
        <v>1</v>
      </c>
      <c r="J785" s="406">
        <v>1</v>
      </c>
      <c r="K785" s="319">
        <v>1</v>
      </c>
      <c r="L785" s="424"/>
      <c r="M785" s="410">
        <v>1</v>
      </c>
      <c r="N785" s="429"/>
    </row>
    <row r="786" spans="1:16" ht="18.25" customHeight="1" outlineLevel="2">
      <c r="B786" s="52" t="s">
        <v>462</v>
      </c>
      <c r="C786" s="55" t="s">
        <v>430</v>
      </c>
      <c r="D786" s="7" t="s">
        <v>27</v>
      </c>
      <c r="E786" s="58">
        <v>0</v>
      </c>
      <c r="F786" s="59">
        <v>0</v>
      </c>
      <c r="G786" s="58">
        <v>0</v>
      </c>
      <c r="H786" s="76">
        <v>0</v>
      </c>
      <c r="I786" s="320">
        <v>0</v>
      </c>
      <c r="J786" s="406">
        <v>0</v>
      </c>
      <c r="K786" s="319">
        <v>0</v>
      </c>
      <c r="L786" s="424">
        <v>0</v>
      </c>
      <c r="M786" s="410">
        <v>0</v>
      </c>
      <c r="N786" s="429"/>
    </row>
    <row r="787" spans="1:16" ht="18.25" customHeight="1" outlineLevel="2">
      <c r="B787" s="52" t="s">
        <v>462</v>
      </c>
      <c r="C787" s="55" t="s">
        <v>435</v>
      </c>
      <c r="D787" s="7" t="s">
        <v>27</v>
      </c>
      <c r="E787" s="58">
        <v>0</v>
      </c>
      <c r="F787" s="59">
        <v>0</v>
      </c>
      <c r="G787" s="58">
        <v>0</v>
      </c>
      <c r="H787" s="76">
        <v>0</v>
      </c>
      <c r="I787" s="320">
        <v>0</v>
      </c>
      <c r="J787" s="406">
        <v>0</v>
      </c>
      <c r="K787" s="319">
        <v>0</v>
      </c>
      <c r="L787" s="424">
        <v>0</v>
      </c>
      <c r="M787" s="410">
        <v>0</v>
      </c>
      <c r="N787" s="429"/>
    </row>
    <row r="788" spans="1:16" s="65" customFormat="1" ht="18.25" customHeight="1" outlineLevel="1">
      <c r="A788" s="577"/>
      <c r="B788" s="67" t="s">
        <v>462</v>
      </c>
      <c r="C788" s="61" t="s">
        <v>429</v>
      </c>
      <c r="D788" s="26">
        <v>3</v>
      </c>
      <c r="E788" s="69">
        <v>0</v>
      </c>
      <c r="F788" s="70">
        <v>0</v>
      </c>
      <c r="G788" s="69">
        <v>2</v>
      </c>
      <c r="H788" s="77">
        <v>37613</v>
      </c>
      <c r="I788" s="321">
        <v>1</v>
      </c>
      <c r="J788" s="322">
        <v>1</v>
      </c>
      <c r="K788" s="508">
        <v>1</v>
      </c>
      <c r="L788" s="509">
        <v>0</v>
      </c>
      <c r="M788" s="323">
        <v>1</v>
      </c>
      <c r="N788" s="437">
        <v>1</v>
      </c>
      <c r="O788" s="249" t="s">
        <v>169</v>
      </c>
      <c r="P788" s="249"/>
    </row>
    <row r="789" spans="1:16" ht="18.25" customHeight="1" outlineLevel="2">
      <c r="B789" s="52" t="s">
        <v>462</v>
      </c>
      <c r="C789" s="55" t="s">
        <v>426</v>
      </c>
      <c r="D789" s="7" t="s">
        <v>189</v>
      </c>
      <c r="E789" s="58">
        <v>0</v>
      </c>
      <c r="F789" s="59">
        <v>0</v>
      </c>
      <c r="G789" s="58">
        <v>2</v>
      </c>
      <c r="H789" s="76">
        <v>16880</v>
      </c>
      <c r="I789" s="320">
        <v>1</v>
      </c>
      <c r="J789" s="406">
        <v>0</v>
      </c>
      <c r="K789" s="319">
        <v>0</v>
      </c>
      <c r="L789" s="424"/>
      <c r="M789" s="410">
        <v>0</v>
      </c>
      <c r="N789" s="429"/>
    </row>
    <row r="790" spans="1:16" ht="18.25" customHeight="1" outlineLevel="2">
      <c r="B790" s="52" t="s">
        <v>462</v>
      </c>
      <c r="C790" s="55" t="s">
        <v>427</v>
      </c>
      <c r="D790" s="7" t="s">
        <v>27</v>
      </c>
      <c r="E790" s="58">
        <v>0</v>
      </c>
      <c r="F790" s="59">
        <v>0</v>
      </c>
      <c r="G790" s="58">
        <v>1</v>
      </c>
      <c r="H790" s="76">
        <v>13740</v>
      </c>
      <c r="I790" s="320">
        <v>1</v>
      </c>
      <c r="J790" s="406">
        <v>1</v>
      </c>
      <c r="K790" s="319">
        <v>0</v>
      </c>
      <c r="L790" s="424">
        <v>0</v>
      </c>
      <c r="M790" s="410">
        <v>0</v>
      </c>
      <c r="N790" s="429"/>
    </row>
    <row r="791" spans="1:16" s="65" customFormat="1" ht="18.25" customHeight="1" outlineLevel="1">
      <c r="A791" s="577"/>
      <c r="B791" s="67" t="s">
        <v>462</v>
      </c>
      <c r="C791" s="61" t="s">
        <v>426</v>
      </c>
      <c r="D791" s="26">
        <v>2</v>
      </c>
      <c r="E791" s="69">
        <v>0</v>
      </c>
      <c r="F791" s="70">
        <v>0</v>
      </c>
      <c r="G791" s="69">
        <v>3</v>
      </c>
      <c r="H791" s="77">
        <v>30620</v>
      </c>
      <c r="I791" s="321">
        <v>2</v>
      </c>
      <c r="J791" s="322">
        <v>1</v>
      </c>
      <c r="K791" s="508">
        <v>0</v>
      </c>
      <c r="L791" s="509">
        <v>0</v>
      </c>
      <c r="M791" s="323">
        <v>0</v>
      </c>
      <c r="N791" s="437">
        <v>0</v>
      </c>
      <c r="O791" s="249" t="s">
        <v>169</v>
      </c>
      <c r="P791" s="249"/>
    </row>
    <row r="792" spans="1:16" ht="18.25" customHeight="1" outlineLevel="2">
      <c r="B792" s="52" t="s">
        <v>462</v>
      </c>
      <c r="C792" s="55" t="s">
        <v>433</v>
      </c>
      <c r="D792" s="7" t="s">
        <v>189</v>
      </c>
      <c r="E792" s="58">
        <v>0</v>
      </c>
      <c r="F792" s="59">
        <v>0</v>
      </c>
      <c r="G792" s="58">
        <v>4.5</v>
      </c>
      <c r="H792" s="76">
        <v>36967</v>
      </c>
      <c r="I792" s="320">
        <v>1</v>
      </c>
      <c r="J792" s="406">
        <v>1</v>
      </c>
      <c r="K792" s="319">
        <v>1</v>
      </c>
      <c r="L792" s="424"/>
      <c r="M792" s="410">
        <v>1</v>
      </c>
      <c r="N792" s="429"/>
    </row>
    <row r="793" spans="1:16" ht="18.25" customHeight="1" outlineLevel="2">
      <c r="B793" s="52" t="s">
        <v>462</v>
      </c>
      <c r="C793" s="55" t="s">
        <v>644</v>
      </c>
      <c r="D793" s="7" t="s">
        <v>27</v>
      </c>
      <c r="E793" s="58">
        <v>0</v>
      </c>
      <c r="F793" s="59">
        <v>0</v>
      </c>
      <c r="G793" s="58">
        <v>0</v>
      </c>
      <c r="H793" s="76">
        <v>0</v>
      </c>
      <c r="I793" s="320">
        <v>0</v>
      </c>
      <c r="J793" s="406">
        <v>0</v>
      </c>
      <c r="K793" s="319">
        <v>0</v>
      </c>
      <c r="L793" s="424">
        <v>0</v>
      </c>
      <c r="M793" s="410">
        <v>0</v>
      </c>
      <c r="N793" s="429"/>
    </row>
    <row r="794" spans="1:16" ht="18.25" customHeight="1" outlineLevel="2">
      <c r="B794" s="52" t="s">
        <v>462</v>
      </c>
      <c r="C794" s="55" t="s">
        <v>472</v>
      </c>
      <c r="D794" s="7" t="s">
        <v>27</v>
      </c>
      <c r="E794" s="58">
        <v>0</v>
      </c>
      <c r="F794" s="59">
        <v>0</v>
      </c>
      <c r="G794" s="58">
        <v>0.5</v>
      </c>
      <c r="H794" s="76">
        <v>7418</v>
      </c>
      <c r="I794" s="320">
        <v>1</v>
      </c>
      <c r="J794" s="406">
        <v>0</v>
      </c>
      <c r="K794" s="319">
        <v>0</v>
      </c>
      <c r="L794" s="424">
        <v>0</v>
      </c>
      <c r="M794" s="410">
        <v>0</v>
      </c>
      <c r="N794" s="429"/>
    </row>
    <row r="795" spans="1:16" s="65" customFormat="1" ht="18.25" customHeight="1" outlineLevel="1">
      <c r="A795" s="577"/>
      <c r="B795" s="67" t="s">
        <v>462</v>
      </c>
      <c r="C795" s="61" t="s">
        <v>433</v>
      </c>
      <c r="D795" s="26">
        <v>3</v>
      </c>
      <c r="E795" s="69">
        <v>0</v>
      </c>
      <c r="F795" s="70">
        <v>0</v>
      </c>
      <c r="G795" s="69">
        <v>5</v>
      </c>
      <c r="H795" s="77">
        <v>44385</v>
      </c>
      <c r="I795" s="321">
        <v>2</v>
      </c>
      <c r="J795" s="322">
        <v>1</v>
      </c>
      <c r="K795" s="508">
        <v>1</v>
      </c>
      <c r="L795" s="509">
        <v>0</v>
      </c>
      <c r="M795" s="323">
        <v>1</v>
      </c>
      <c r="N795" s="437">
        <v>1</v>
      </c>
      <c r="O795" s="249" t="s">
        <v>169</v>
      </c>
      <c r="P795" s="249"/>
    </row>
    <row r="796" spans="1:16" ht="18.25" customHeight="1" outlineLevel="2">
      <c r="B796" s="52" t="s">
        <v>462</v>
      </c>
      <c r="C796" s="55" t="s">
        <v>434</v>
      </c>
      <c r="D796" s="7" t="s">
        <v>369</v>
      </c>
      <c r="E796" s="58">
        <v>0</v>
      </c>
      <c r="F796" s="59">
        <v>0</v>
      </c>
      <c r="G796" s="58">
        <v>0</v>
      </c>
      <c r="H796" s="76">
        <v>0</v>
      </c>
      <c r="I796" s="320">
        <v>0</v>
      </c>
      <c r="J796" s="406">
        <v>0</v>
      </c>
      <c r="K796" s="319">
        <v>0</v>
      </c>
      <c r="L796" s="424"/>
      <c r="M796" s="410">
        <v>0</v>
      </c>
      <c r="N796" s="429"/>
    </row>
    <row r="797" spans="1:16" s="65" customFormat="1" ht="18.25" customHeight="1" outlineLevel="1">
      <c r="A797" s="577"/>
      <c r="B797" s="67" t="s">
        <v>462</v>
      </c>
      <c r="C797" s="61" t="s">
        <v>434</v>
      </c>
      <c r="D797" s="26">
        <v>1</v>
      </c>
      <c r="E797" s="69">
        <v>0</v>
      </c>
      <c r="F797" s="70">
        <v>0</v>
      </c>
      <c r="G797" s="69">
        <v>0</v>
      </c>
      <c r="H797" s="77">
        <v>0</v>
      </c>
      <c r="I797" s="321">
        <v>0</v>
      </c>
      <c r="J797" s="322">
        <v>0</v>
      </c>
      <c r="K797" s="508">
        <v>0</v>
      </c>
      <c r="L797" s="509">
        <v>0</v>
      </c>
      <c r="M797" s="323">
        <v>0</v>
      </c>
      <c r="N797" s="437">
        <v>0</v>
      </c>
      <c r="O797" s="249" t="s">
        <v>670</v>
      </c>
      <c r="P797" s="249"/>
    </row>
    <row r="798" spans="1:16" ht="18.25" customHeight="1" outlineLevel="2">
      <c r="B798" s="53" t="s">
        <v>462</v>
      </c>
      <c r="C798" s="54" t="s">
        <v>436</v>
      </c>
      <c r="D798" s="7" t="s">
        <v>240</v>
      </c>
      <c r="E798" s="58">
        <v>0</v>
      </c>
      <c r="F798" s="59">
        <v>0</v>
      </c>
      <c r="G798" s="58">
        <v>3</v>
      </c>
      <c r="H798" s="76">
        <v>5193</v>
      </c>
      <c r="I798" s="320">
        <v>1</v>
      </c>
      <c r="J798" s="406">
        <v>0</v>
      </c>
      <c r="K798" s="319">
        <v>0</v>
      </c>
      <c r="L798" s="424"/>
      <c r="M798" s="410">
        <v>0</v>
      </c>
      <c r="N798" s="429"/>
    </row>
    <row r="799" spans="1:16" ht="18.25" customHeight="1" outlineLevel="2">
      <c r="B799" s="53" t="s">
        <v>462</v>
      </c>
      <c r="C799" s="55" t="s">
        <v>703</v>
      </c>
      <c r="D799" s="23" t="s">
        <v>188</v>
      </c>
      <c r="E799" s="58">
        <v>0</v>
      </c>
      <c r="F799" s="59">
        <v>0</v>
      </c>
      <c r="G799" s="58">
        <v>2</v>
      </c>
      <c r="H799" s="76">
        <v>17639</v>
      </c>
      <c r="I799" s="320">
        <v>1</v>
      </c>
      <c r="J799" s="406">
        <v>1</v>
      </c>
      <c r="K799" s="319">
        <v>0</v>
      </c>
      <c r="L799" s="424">
        <v>0</v>
      </c>
      <c r="M799" s="410">
        <v>0</v>
      </c>
      <c r="N799" s="429"/>
    </row>
    <row r="800" spans="1:16" s="65" customFormat="1" ht="18.25" customHeight="1" outlineLevel="1">
      <c r="A800" s="577"/>
      <c r="B800" s="67" t="s">
        <v>462</v>
      </c>
      <c r="C800" s="61" t="s">
        <v>436</v>
      </c>
      <c r="D800" s="26">
        <v>2</v>
      </c>
      <c r="E800" s="69">
        <v>0</v>
      </c>
      <c r="F800" s="70">
        <v>0</v>
      </c>
      <c r="G800" s="69">
        <v>5</v>
      </c>
      <c r="H800" s="77">
        <v>22832</v>
      </c>
      <c r="I800" s="321">
        <v>2</v>
      </c>
      <c r="J800" s="322">
        <v>1</v>
      </c>
      <c r="K800" s="508">
        <v>0</v>
      </c>
      <c r="L800" s="509">
        <v>0</v>
      </c>
      <c r="M800" s="323">
        <v>0</v>
      </c>
      <c r="N800" s="437">
        <v>0</v>
      </c>
      <c r="O800" s="249" t="s">
        <v>171</v>
      </c>
      <c r="P800" s="249"/>
    </row>
    <row r="801" spans="1:16" ht="18.25" customHeight="1" outlineLevel="2">
      <c r="B801" s="53" t="s">
        <v>462</v>
      </c>
      <c r="C801" s="55" t="s">
        <v>437</v>
      </c>
      <c r="D801" s="7" t="s">
        <v>189</v>
      </c>
      <c r="E801" s="58">
        <v>0</v>
      </c>
      <c r="F801" s="59">
        <v>0</v>
      </c>
      <c r="G801" s="58">
        <v>0</v>
      </c>
      <c r="H801" s="76">
        <v>0</v>
      </c>
      <c r="I801" s="320">
        <v>0</v>
      </c>
      <c r="J801" s="406">
        <v>0</v>
      </c>
      <c r="K801" s="319">
        <v>0</v>
      </c>
      <c r="L801" s="424"/>
      <c r="M801" s="410">
        <v>0</v>
      </c>
      <c r="N801" s="429"/>
    </row>
    <row r="802" spans="1:16" ht="18.25" customHeight="1" outlineLevel="2">
      <c r="B802" s="53" t="s">
        <v>462</v>
      </c>
      <c r="C802" s="55" t="s">
        <v>438</v>
      </c>
      <c r="D802" s="23" t="s">
        <v>188</v>
      </c>
      <c r="E802" s="58">
        <v>0</v>
      </c>
      <c r="F802" s="59">
        <v>0</v>
      </c>
      <c r="G802" s="58">
        <v>1</v>
      </c>
      <c r="H802" s="76">
        <v>2546</v>
      </c>
      <c r="I802" s="320">
        <v>1</v>
      </c>
      <c r="J802" s="406">
        <v>0</v>
      </c>
      <c r="K802" s="319">
        <v>0</v>
      </c>
      <c r="L802" s="424">
        <v>0</v>
      </c>
      <c r="M802" s="410">
        <v>0</v>
      </c>
      <c r="N802" s="429"/>
    </row>
    <row r="803" spans="1:16" s="65" customFormat="1" ht="18.25" customHeight="1" outlineLevel="1">
      <c r="A803" s="577"/>
      <c r="B803" s="67" t="s">
        <v>462</v>
      </c>
      <c r="C803" s="61" t="s">
        <v>437</v>
      </c>
      <c r="D803" s="26">
        <v>2</v>
      </c>
      <c r="E803" s="69">
        <v>0</v>
      </c>
      <c r="F803" s="70">
        <v>0</v>
      </c>
      <c r="G803" s="69">
        <v>1</v>
      </c>
      <c r="H803" s="77">
        <v>2546</v>
      </c>
      <c r="I803" s="321">
        <v>1</v>
      </c>
      <c r="J803" s="322">
        <v>0</v>
      </c>
      <c r="K803" s="508">
        <v>0</v>
      </c>
      <c r="L803" s="509">
        <v>0</v>
      </c>
      <c r="M803" s="323">
        <v>0</v>
      </c>
      <c r="N803" s="437">
        <v>0</v>
      </c>
      <c r="O803" s="249" t="s">
        <v>169</v>
      </c>
      <c r="P803" s="249"/>
    </row>
    <row r="804" spans="1:16" ht="18.25" customHeight="1" outlineLevel="2">
      <c r="B804" s="53" t="s">
        <v>462</v>
      </c>
      <c r="C804" s="54" t="s">
        <v>439</v>
      </c>
      <c r="D804" s="7" t="s">
        <v>240</v>
      </c>
      <c r="E804" s="58">
        <v>0</v>
      </c>
      <c r="F804" s="59">
        <v>0</v>
      </c>
      <c r="G804" s="58">
        <v>0</v>
      </c>
      <c r="H804" s="76">
        <v>0</v>
      </c>
      <c r="I804" s="320">
        <v>0</v>
      </c>
      <c r="J804" s="406">
        <v>0</v>
      </c>
      <c r="K804" s="319">
        <v>0</v>
      </c>
      <c r="L804" s="424"/>
      <c r="M804" s="410">
        <v>0</v>
      </c>
      <c r="N804" s="429"/>
    </row>
    <row r="805" spans="1:16" ht="18.25" customHeight="1" outlineLevel="2">
      <c r="B805" s="53" t="s">
        <v>462</v>
      </c>
      <c r="C805" s="54" t="s">
        <v>440</v>
      </c>
      <c r="D805" s="7" t="s">
        <v>27</v>
      </c>
      <c r="E805" s="58">
        <v>0</v>
      </c>
      <c r="F805" s="59">
        <v>0</v>
      </c>
      <c r="G805" s="58">
        <v>0</v>
      </c>
      <c r="H805" s="76">
        <v>0</v>
      </c>
      <c r="I805" s="320">
        <v>0</v>
      </c>
      <c r="J805" s="406">
        <v>0</v>
      </c>
      <c r="K805" s="319">
        <v>0</v>
      </c>
      <c r="L805" s="424">
        <v>0</v>
      </c>
      <c r="M805" s="410">
        <v>0</v>
      </c>
      <c r="N805" s="429"/>
    </row>
    <row r="806" spans="1:16" s="65" customFormat="1" ht="18.25" customHeight="1" outlineLevel="1">
      <c r="A806" s="577"/>
      <c r="B806" s="67" t="s">
        <v>462</v>
      </c>
      <c r="C806" s="61" t="s">
        <v>439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321">
        <v>0</v>
      </c>
      <c r="J806" s="322">
        <v>0</v>
      </c>
      <c r="K806" s="508">
        <v>0</v>
      </c>
      <c r="L806" s="509">
        <v>0</v>
      </c>
      <c r="M806" s="323">
        <v>0</v>
      </c>
      <c r="N806" s="437">
        <v>0</v>
      </c>
      <c r="O806" s="249" t="s">
        <v>171</v>
      </c>
      <c r="P806" s="249"/>
    </row>
    <row r="807" spans="1:16" ht="18.25" customHeight="1" outlineLevel="2">
      <c r="B807" s="53" t="s">
        <v>462</v>
      </c>
      <c r="C807" s="54" t="s">
        <v>441</v>
      </c>
      <c r="D807" s="7" t="s">
        <v>481</v>
      </c>
      <c r="E807" s="58">
        <v>0</v>
      </c>
      <c r="F807" s="59">
        <v>0</v>
      </c>
      <c r="G807" s="58">
        <v>1</v>
      </c>
      <c r="H807" s="76">
        <v>33533</v>
      </c>
      <c r="I807" s="320">
        <v>1</v>
      </c>
      <c r="J807" s="406">
        <v>1</v>
      </c>
      <c r="K807" s="319">
        <v>1</v>
      </c>
      <c r="L807" s="424"/>
      <c r="M807" s="410">
        <v>1</v>
      </c>
      <c r="N807" s="429"/>
    </row>
    <row r="808" spans="1:16" s="65" customFormat="1" ht="18.25" customHeight="1" outlineLevel="1">
      <c r="A808" s="577"/>
      <c r="B808" s="67" t="s">
        <v>462</v>
      </c>
      <c r="C808" s="61" t="s">
        <v>441</v>
      </c>
      <c r="D808" s="26">
        <v>1</v>
      </c>
      <c r="E808" s="69">
        <v>0</v>
      </c>
      <c r="F808" s="70">
        <v>0</v>
      </c>
      <c r="G808" s="69">
        <v>1</v>
      </c>
      <c r="H808" s="77">
        <v>33533</v>
      </c>
      <c r="I808" s="321">
        <v>1</v>
      </c>
      <c r="J808" s="322">
        <v>1</v>
      </c>
      <c r="K808" s="508">
        <v>1</v>
      </c>
      <c r="L808" s="509">
        <v>0</v>
      </c>
      <c r="M808" s="323">
        <v>1</v>
      </c>
      <c r="N808" s="437">
        <v>0</v>
      </c>
      <c r="O808" s="249" t="s">
        <v>669</v>
      </c>
      <c r="P808" s="249"/>
    </row>
    <row r="809" spans="1:16" ht="18.25" customHeight="1" outlineLevel="2">
      <c r="B809" s="53" t="s">
        <v>462</v>
      </c>
      <c r="C809" s="54" t="s">
        <v>442</v>
      </c>
      <c r="D809" s="7" t="s">
        <v>221</v>
      </c>
      <c r="E809" s="58">
        <v>0</v>
      </c>
      <c r="F809" s="59">
        <v>0</v>
      </c>
      <c r="G809" s="58">
        <v>1</v>
      </c>
      <c r="H809" s="76">
        <v>7353</v>
      </c>
      <c r="I809" s="320">
        <v>1</v>
      </c>
      <c r="J809" s="406">
        <v>0</v>
      </c>
      <c r="K809" s="319">
        <v>0</v>
      </c>
      <c r="L809" s="424"/>
      <c r="M809" s="410">
        <v>0</v>
      </c>
      <c r="N809" s="429"/>
    </row>
    <row r="810" spans="1:16" ht="18.25" customHeight="1" outlineLevel="2">
      <c r="B810" s="53" t="s">
        <v>462</v>
      </c>
      <c r="C810" s="55" t="s">
        <v>412</v>
      </c>
      <c r="D810" s="7" t="s">
        <v>181</v>
      </c>
      <c r="E810" s="58">
        <v>0</v>
      </c>
      <c r="F810" s="59">
        <v>0</v>
      </c>
      <c r="G810" s="58">
        <v>0.5</v>
      </c>
      <c r="H810" s="76">
        <v>16911</v>
      </c>
      <c r="I810" s="320">
        <v>1</v>
      </c>
      <c r="J810" s="406">
        <v>1</v>
      </c>
      <c r="K810" s="319">
        <v>0</v>
      </c>
      <c r="L810" s="424">
        <v>0</v>
      </c>
      <c r="M810" s="410">
        <v>0</v>
      </c>
      <c r="N810" s="429"/>
    </row>
    <row r="811" spans="1:16" ht="18.25" customHeight="1" outlineLevel="2">
      <c r="B811" s="53" t="s">
        <v>462</v>
      </c>
      <c r="C811" s="55" t="s">
        <v>447</v>
      </c>
      <c r="D811" s="7" t="s">
        <v>181</v>
      </c>
      <c r="E811" s="58">
        <v>0</v>
      </c>
      <c r="F811" s="59">
        <v>0</v>
      </c>
      <c r="G811" s="58">
        <v>0.5</v>
      </c>
      <c r="H811" s="76">
        <v>16911</v>
      </c>
      <c r="I811" s="320">
        <v>1</v>
      </c>
      <c r="J811" s="406">
        <v>1</v>
      </c>
      <c r="K811" s="319">
        <v>0</v>
      </c>
      <c r="L811" s="424">
        <v>0</v>
      </c>
      <c r="M811" s="410">
        <v>0</v>
      </c>
      <c r="N811" s="429"/>
    </row>
    <row r="812" spans="1:16" ht="18.25" customHeight="1" outlineLevel="2">
      <c r="B812" s="53" t="s">
        <v>462</v>
      </c>
      <c r="C812" s="55" t="s">
        <v>445</v>
      </c>
      <c r="D812" s="7" t="s">
        <v>181</v>
      </c>
      <c r="E812" s="58">
        <v>0</v>
      </c>
      <c r="F812" s="59">
        <v>0</v>
      </c>
      <c r="G812" s="58">
        <v>1</v>
      </c>
      <c r="H812" s="76">
        <v>7353</v>
      </c>
      <c r="I812" s="320">
        <v>1</v>
      </c>
      <c r="J812" s="406">
        <v>0</v>
      </c>
      <c r="K812" s="319">
        <v>0</v>
      </c>
      <c r="L812" s="424">
        <v>0</v>
      </c>
      <c r="M812" s="410">
        <v>0</v>
      </c>
      <c r="N812" s="429"/>
    </row>
    <row r="813" spans="1:16" ht="18.25" customHeight="1" outlineLevel="2">
      <c r="B813" s="53" t="s">
        <v>462</v>
      </c>
      <c r="C813" s="54" t="s">
        <v>446</v>
      </c>
      <c r="D813" s="23" t="s">
        <v>181</v>
      </c>
      <c r="E813" s="58">
        <v>0</v>
      </c>
      <c r="F813" s="59">
        <v>0</v>
      </c>
      <c r="G813" s="58">
        <v>1</v>
      </c>
      <c r="H813" s="76">
        <v>6316</v>
      </c>
      <c r="I813" s="320">
        <v>1</v>
      </c>
      <c r="J813" s="406">
        <v>0</v>
      </c>
      <c r="K813" s="319">
        <v>0</v>
      </c>
      <c r="L813" s="424">
        <v>0</v>
      </c>
      <c r="M813" s="410">
        <v>0</v>
      </c>
      <c r="N813" s="429"/>
    </row>
    <row r="814" spans="1:16" s="65" customFormat="1" ht="18.25" customHeight="1" outlineLevel="1">
      <c r="A814" s="577"/>
      <c r="B814" s="67" t="s">
        <v>462</v>
      </c>
      <c r="C814" s="61" t="s">
        <v>442</v>
      </c>
      <c r="D814" s="26">
        <v>5</v>
      </c>
      <c r="E814" s="69">
        <v>0</v>
      </c>
      <c r="F814" s="70">
        <v>0</v>
      </c>
      <c r="G814" s="69">
        <v>4</v>
      </c>
      <c r="H814" s="77">
        <v>54844</v>
      </c>
      <c r="I814" s="321">
        <v>5</v>
      </c>
      <c r="J814" s="322">
        <v>2</v>
      </c>
      <c r="K814" s="508">
        <v>0</v>
      </c>
      <c r="L814" s="509">
        <v>0</v>
      </c>
      <c r="M814" s="323">
        <v>0</v>
      </c>
      <c r="N814" s="437">
        <v>0</v>
      </c>
      <c r="O814" s="249" t="s">
        <v>51</v>
      </c>
      <c r="P814" s="249"/>
    </row>
    <row r="815" spans="1:16" ht="18.25" customHeight="1" outlineLevel="2">
      <c r="B815" s="53" t="s">
        <v>462</v>
      </c>
      <c r="C815" s="54" t="s">
        <v>443</v>
      </c>
      <c r="D815" s="7" t="s">
        <v>189</v>
      </c>
      <c r="E815" s="58">
        <v>0</v>
      </c>
      <c r="F815" s="59">
        <v>0</v>
      </c>
      <c r="G815" s="58">
        <v>1</v>
      </c>
      <c r="H815" s="76">
        <v>7398</v>
      </c>
      <c r="I815" s="320">
        <v>1</v>
      </c>
      <c r="J815" s="406">
        <v>0</v>
      </c>
      <c r="K815" s="319">
        <v>0</v>
      </c>
      <c r="L815" s="424"/>
      <c r="M815" s="410">
        <v>0</v>
      </c>
      <c r="N815" s="429"/>
    </row>
    <row r="816" spans="1:16" ht="18.25" customHeight="1" outlineLevel="2">
      <c r="B816" s="53" t="s">
        <v>462</v>
      </c>
      <c r="C816" s="54" t="s">
        <v>444</v>
      </c>
      <c r="D816" s="23" t="s">
        <v>27</v>
      </c>
      <c r="E816" s="58">
        <v>0</v>
      </c>
      <c r="F816" s="59">
        <v>0</v>
      </c>
      <c r="G816" s="58">
        <v>1</v>
      </c>
      <c r="H816" s="76">
        <v>2409</v>
      </c>
      <c r="I816" s="320">
        <v>1</v>
      </c>
      <c r="J816" s="406">
        <v>0</v>
      </c>
      <c r="K816" s="319">
        <v>0</v>
      </c>
      <c r="L816" s="424">
        <v>0</v>
      </c>
      <c r="M816" s="410">
        <v>0</v>
      </c>
      <c r="N816" s="429"/>
    </row>
    <row r="817" spans="1:16" s="65" customFormat="1" ht="18.25" customHeight="1" outlineLevel="1">
      <c r="A817" s="577"/>
      <c r="B817" s="67" t="s">
        <v>462</v>
      </c>
      <c r="C817" s="61" t="s">
        <v>443</v>
      </c>
      <c r="D817" s="26">
        <v>2</v>
      </c>
      <c r="E817" s="69">
        <v>0</v>
      </c>
      <c r="F817" s="70">
        <v>0</v>
      </c>
      <c r="G817" s="69">
        <v>2</v>
      </c>
      <c r="H817" s="77">
        <v>9807</v>
      </c>
      <c r="I817" s="321">
        <v>2</v>
      </c>
      <c r="J817" s="322">
        <v>0</v>
      </c>
      <c r="K817" s="508">
        <v>0</v>
      </c>
      <c r="L817" s="509">
        <v>0</v>
      </c>
      <c r="M817" s="323">
        <v>0</v>
      </c>
      <c r="N817" s="437">
        <v>0</v>
      </c>
      <c r="O817" s="249" t="s">
        <v>169</v>
      </c>
      <c r="P817" s="249"/>
    </row>
    <row r="818" spans="1:16" ht="18.25" customHeight="1" outlineLevel="2">
      <c r="B818" s="53" t="s">
        <v>462</v>
      </c>
      <c r="C818" s="54" t="s">
        <v>448</v>
      </c>
      <c r="D818" s="7" t="s">
        <v>240</v>
      </c>
      <c r="E818" s="58">
        <v>0</v>
      </c>
      <c r="F818" s="59">
        <v>0</v>
      </c>
      <c r="G818" s="58">
        <v>6.5</v>
      </c>
      <c r="H818" s="76">
        <v>93733</v>
      </c>
      <c r="I818" s="320">
        <v>1</v>
      </c>
      <c r="J818" s="406">
        <v>1</v>
      </c>
      <c r="K818" s="319">
        <v>1</v>
      </c>
      <c r="L818" s="424"/>
      <c r="M818" s="410">
        <v>1</v>
      </c>
      <c r="N818" s="429"/>
    </row>
    <row r="819" spans="1:16" ht="18.25" customHeight="1" outlineLevel="2">
      <c r="B819" s="53" t="s">
        <v>462</v>
      </c>
      <c r="C819" s="54" t="s">
        <v>449</v>
      </c>
      <c r="D819" s="23" t="s">
        <v>181</v>
      </c>
      <c r="E819" s="58">
        <v>0</v>
      </c>
      <c r="F819" s="59">
        <v>0</v>
      </c>
      <c r="G819" s="58">
        <v>1.5</v>
      </c>
      <c r="H819" s="76">
        <v>6255</v>
      </c>
      <c r="I819" s="320">
        <v>1</v>
      </c>
      <c r="J819" s="406">
        <v>0</v>
      </c>
      <c r="K819" s="319">
        <v>0</v>
      </c>
      <c r="L819" s="424">
        <v>0</v>
      </c>
      <c r="M819" s="410">
        <v>0</v>
      </c>
      <c r="N819" s="429"/>
    </row>
    <row r="820" spans="1:16" ht="18.25" customHeight="1" outlineLevel="2">
      <c r="B820" s="53" t="s">
        <v>462</v>
      </c>
      <c r="C820" s="54" t="s">
        <v>450</v>
      </c>
      <c r="D820" s="23" t="s">
        <v>181</v>
      </c>
      <c r="E820" s="58">
        <v>0</v>
      </c>
      <c r="F820" s="59">
        <v>0</v>
      </c>
      <c r="G820" s="58">
        <v>1</v>
      </c>
      <c r="H820" s="76">
        <v>30581</v>
      </c>
      <c r="I820" s="320">
        <v>1</v>
      </c>
      <c r="J820" s="406">
        <v>1</v>
      </c>
      <c r="K820" s="319">
        <v>1</v>
      </c>
      <c r="L820" s="424">
        <v>0</v>
      </c>
      <c r="M820" s="410">
        <v>1</v>
      </c>
      <c r="N820" s="429"/>
    </row>
    <row r="821" spans="1:16" ht="18.25" customHeight="1" outlineLevel="2">
      <c r="B821" s="53" t="s">
        <v>462</v>
      </c>
      <c r="C821" s="54" t="s">
        <v>451</v>
      </c>
      <c r="D821" s="7" t="s">
        <v>27</v>
      </c>
      <c r="E821" s="58">
        <v>0</v>
      </c>
      <c r="F821" s="59">
        <v>0</v>
      </c>
      <c r="G821" s="58">
        <v>0</v>
      </c>
      <c r="H821" s="76">
        <v>0</v>
      </c>
      <c r="I821" s="320">
        <v>0</v>
      </c>
      <c r="J821" s="406">
        <v>0</v>
      </c>
      <c r="K821" s="319">
        <v>0</v>
      </c>
      <c r="L821" s="424">
        <v>0</v>
      </c>
      <c r="M821" s="410">
        <v>0</v>
      </c>
      <c r="N821" s="429"/>
    </row>
    <row r="822" spans="1:16" s="65" customFormat="1" ht="18.25" customHeight="1" outlineLevel="1">
      <c r="A822" s="577"/>
      <c r="B822" s="67" t="s">
        <v>462</v>
      </c>
      <c r="C822" s="61" t="s">
        <v>448</v>
      </c>
      <c r="D822" s="26">
        <v>4</v>
      </c>
      <c r="E822" s="69">
        <v>0</v>
      </c>
      <c r="F822" s="70">
        <v>0</v>
      </c>
      <c r="G822" s="69">
        <v>9</v>
      </c>
      <c r="H822" s="77">
        <v>130569</v>
      </c>
      <c r="I822" s="321">
        <v>3</v>
      </c>
      <c r="J822" s="322">
        <v>2</v>
      </c>
      <c r="K822" s="508">
        <v>2</v>
      </c>
      <c r="L822" s="509">
        <v>0</v>
      </c>
      <c r="M822" s="323">
        <v>2</v>
      </c>
      <c r="N822" s="437">
        <v>1</v>
      </c>
      <c r="O822" s="249" t="s">
        <v>171</v>
      </c>
      <c r="P822" s="249"/>
    </row>
    <row r="823" spans="1:16" s="161" customFormat="1" ht="18.25" customHeight="1">
      <c r="A823" s="579" t="s">
        <v>852</v>
      </c>
      <c r="B823" s="971" t="s">
        <v>464</v>
      </c>
      <c r="C823" s="971"/>
      <c r="D823" s="157">
        <v>33</v>
      </c>
      <c r="E823" s="158">
        <v>0</v>
      </c>
      <c r="F823" s="159">
        <v>0</v>
      </c>
      <c r="G823" s="158">
        <v>37</v>
      </c>
      <c r="H823" s="160">
        <v>443022</v>
      </c>
      <c r="I823" s="158">
        <v>21</v>
      </c>
      <c r="J823" s="352">
        <v>10</v>
      </c>
      <c r="K823" s="918">
        <v>6</v>
      </c>
      <c r="L823" s="919">
        <v>1</v>
      </c>
      <c r="M823" s="421">
        <v>6</v>
      </c>
      <c r="N823" s="443">
        <v>3</v>
      </c>
      <c r="O823" s="252"/>
      <c r="P823" s="252"/>
    </row>
    <row r="824" spans="1:16" ht="18.25" customHeight="1" outlineLevel="2">
      <c r="B824" s="144" t="s">
        <v>587</v>
      </c>
      <c r="C824" s="54" t="s">
        <v>588</v>
      </c>
      <c r="D824" s="7" t="s">
        <v>167</v>
      </c>
      <c r="E824" s="58">
        <v>0</v>
      </c>
      <c r="F824" s="59">
        <v>0</v>
      </c>
      <c r="G824" s="58">
        <v>1</v>
      </c>
      <c r="H824" s="76">
        <v>1185</v>
      </c>
      <c r="I824" s="320">
        <v>1</v>
      </c>
      <c r="J824" s="406">
        <v>0</v>
      </c>
      <c r="K824" s="319">
        <v>0</v>
      </c>
      <c r="L824" s="424"/>
      <c r="M824" s="410">
        <v>0</v>
      </c>
      <c r="N824" s="429"/>
    </row>
    <row r="825" spans="1:16" ht="18.25" customHeight="1" outlineLevel="2">
      <c r="B825" s="53" t="s">
        <v>585</v>
      </c>
      <c r="C825" s="54" t="s">
        <v>609</v>
      </c>
      <c r="D825" s="23" t="s">
        <v>27</v>
      </c>
      <c r="E825" s="58">
        <v>0</v>
      </c>
      <c r="F825" s="59">
        <v>0</v>
      </c>
      <c r="G825" s="58">
        <v>5</v>
      </c>
      <c r="H825" s="76">
        <v>45292</v>
      </c>
      <c r="I825" s="320">
        <v>1</v>
      </c>
      <c r="J825" s="406">
        <v>1</v>
      </c>
      <c r="K825" s="319">
        <v>1</v>
      </c>
      <c r="L825" s="424">
        <v>0</v>
      </c>
      <c r="M825" s="410">
        <v>1</v>
      </c>
      <c r="N825" s="429"/>
    </row>
    <row r="826" spans="1:16" ht="18.25" customHeight="1" outlineLevel="2">
      <c r="B826" s="53" t="s">
        <v>585</v>
      </c>
      <c r="C826" s="54" t="s">
        <v>599</v>
      </c>
      <c r="D826" s="23" t="s">
        <v>27</v>
      </c>
      <c r="E826" s="58">
        <v>0</v>
      </c>
      <c r="F826" s="59">
        <v>0</v>
      </c>
      <c r="G826" s="58">
        <v>2.5</v>
      </c>
      <c r="H826" s="76">
        <v>36124</v>
      </c>
      <c r="I826" s="320">
        <v>1</v>
      </c>
      <c r="J826" s="406">
        <v>1</v>
      </c>
      <c r="K826" s="319">
        <v>1</v>
      </c>
      <c r="L826" s="424">
        <v>0</v>
      </c>
      <c r="M826" s="410">
        <v>1</v>
      </c>
      <c r="N826" s="429"/>
    </row>
    <row r="827" spans="1:16" ht="18.25" customHeight="1" outlineLevel="2">
      <c r="B827" s="53" t="s">
        <v>585</v>
      </c>
      <c r="C827" s="54" t="s">
        <v>690</v>
      </c>
      <c r="D827" s="23" t="s">
        <v>27</v>
      </c>
      <c r="E827" s="58">
        <v>0</v>
      </c>
      <c r="F827" s="59">
        <v>0</v>
      </c>
      <c r="G827" s="58">
        <v>1</v>
      </c>
      <c r="H827" s="76">
        <v>20677</v>
      </c>
      <c r="I827" s="320">
        <v>1</v>
      </c>
      <c r="J827" s="406">
        <v>1</v>
      </c>
      <c r="K827" s="319">
        <v>0</v>
      </c>
      <c r="L827" s="424">
        <v>0</v>
      </c>
      <c r="M827" s="410">
        <v>0</v>
      </c>
      <c r="N827" s="429"/>
    </row>
    <row r="828" spans="1:16" ht="18.25" customHeight="1" outlineLevel="2">
      <c r="B828" s="53" t="s">
        <v>585</v>
      </c>
      <c r="C828" s="54" t="s">
        <v>831</v>
      </c>
      <c r="D828" s="23" t="s">
        <v>27</v>
      </c>
      <c r="E828" s="58">
        <v>0</v>
      </c>
      <c r="F828" s="59">
        <v>0</v>
      </c>
      <c r="G828" s="58">
        <v>0</v>
      </c>
      <c r="H828" s="76">
        <v>0</v>
      </c>
      <c r="I828" s="320">
        <v>0</v>
      </c>
      <c r="J828" s="406">
        <v>0</v>
      </c>
      <c r="K828" s="319">
        <v>0</v>
      </c>
      <c r="L828" s="424">
        <v>1</v>
      </c>
      <c r="M828" s="410">
        <v>0</v>
      </c>
      <c r="N828" s="429"/>
    </row>
    <row r="829" spans="1:16" ht="18.25" customHeight="1" outlineLevel="2">
      <c r="B829" s="53" t="s">
        <v>585</v>
      </c>
      <c r="C829" s="54" t="s">
        <v>590</v>
      </c>
      <c r="D829" s="23" t="s">
        <v>27</v>
      </c>
      <c r="E829" s="58">
        <v>0</v>
      </c>
      <c r="F829" s="59">
        <v>0</v>
      </c>
      <c r="G829" s="58">
        <v>1</v>
      </c>
      <c r="H829" s="76">
        <v>608</v>
      </c>
      <c r="I829" s="320">
        <v>1</v>
      </c>
      <c r="J829" s="406">
        <v>0</v>
      </c>
      <c r="K829" s="319">
        <v>0</v>
      </c>
      <c r="L829" s="424">
        <v>0</v>
      </c>
      <c r="M829" s="410">
        <v>0</v>
      </c>
      <c r="N829" s="429"/>
    </row>
    <row r="830" spans="1:16" ht="18.25" customHeight="1" outlineLevel="2">
      <c r="B830" s="53" t="s">
        <v>585</v>
      </c>
      <c r="C830" s="54" t="s">
        <v>607</v>
      </c>
      <c r="D830" s="23" t="s">
        <v>608</v>
      </c>
      <c r="E830" s="58">
        <v>1</v>
      </c>
      <c r="F830" s="59">
        <v>25786</v>
      </c>
      <c r="G830" s="58">
        <v>2</v>
      </c>
      <c r="H830" s="76">
        <v>35897</v>
      </c>
      <c r="I830" s="320">
        <v>1</v>
      </c>
      <c r="J830" s="406">
        <v>1</v>
      </c>
      <c r="K830" s="319">
        <v>1</v>
      </c>
      <c r="L830" s="424">
        <v>0</v>
      </c>
      <c r="M830" s="410">
        <v>1</v>
      </c>
      <c r="N830" s="429"/>
    </row>
    <row r="831" spans="1:16" ht="18.25" customHeight="1" outlineLevel="2">
      <c r="B831" s="53" t="s">
        <v>585</v>
      </c>
      <c r="C831" s="54" t="s">
        <v>613</v>
      </c>
      <c r="D831" s="23" t="s">
        <v>27</v>
      </c>
      <c r="E831" s="58">
        <v>0</v>
      </c>
      <c r="F831" s="59">
        <v>0</v>
      </c>
      <c r="G831" s="58">
        <v>0</v>
      </c>
      <c r="H831" s="76">
        <v>0</v>
      </c>
      <c r="I831" s="320">
        <v>0</v>
      </c>
      <c r="J831" s="406">
        <v>0</v>
      </c>
      <c r="K831" s="319">
        <v>0</v>
      </c>
      <c r="L831" s="424">
        <v>0</v>
      </c>
      <c r="M831" s="410">
        <v>0</v>
      </c>
      <c r="N831" s="429"/>
    </row>
    <row r="832" spans="1:16" ht="18.25" customHeight="1" outlineLevel="2">
      <c r="B832" s="53" t="s">
        <v>585</v>
      </c>
      <c r="C832" s="54" t="s">
        <v>695</v>
      </c>
      <c r="D832" s="23" t="s">
        <v>27</v>
      </c>
      <c r="E832" s="58">
        <v>0</v>
      </c>
      <c r="F832" s="59">
        <v>0</v>
      </c>
      <c r="G832" s="58">
        <v>1</v>
      </c>
      <c r="H832" s="76">
        <v>5000</v>
      </c>
      <c r="I832" s="320">
        <v>1</v>
      </c>
      <c r="J832" s="406">
        <v>0</v>
      </c>
      <c r="K832" s="319">
        <v>0</v>
      </c>
      <c r="L832" s="424">
        <v>0</v>
      </c>
      <c r="M832" s="410">
        <v>0</v>
      </c>
      <c r="N832" s="429"/>
    </row>
    <row r="833" spans="1:16" ht="18.25" customHeight="1" outlineLevel="2">
      <c r="B833" s="52" t="s">
        <v>585</v>
      </c>
      <c r="C833" s="54" t="s">
        <v>736</v>
      </c>
      <c r="D833" s="23" t="s">
        <v>27</v>
      </c>
      <c r="E833" s="58">
        <v>0</v>
      </c>
      <c r="F833" s="59">
        <v>0</v>
      </c>
      <c r="G833" s="58">
        <v>1</v>
      </c>
      <c r="H833" s="76">
        <v>14654</v>
      </c>
      <c r="I833" s="320">
        <v>1</v>
      </c>
      <c r="J833" s="406">
        <v>1</v>
      </c>
      <c r="K833" s="319">
        <v>0</v>
      </c>
      <c r="L833" s="424">
        <v>0</v>
      </c>
      <c r="M833" s="410">
        <v>0</v>
      </c>
      <c r="N833" s="429"/>
    </row>
    <row r="834" spans="1:16" ht="18.25" customHeight="1" outlineLevel="2">
      <c r="B834" s="52" t="s">
        <v>585</v>
      </c>
      <c r="C834" s="54" t="s">
        <v>589</v>
      </c>
      <c r="D834" s="23" t="s">
        <v>27</v>
      </c>
      <c r="E834" s="58">
        <v>0</v>
      </c>
      <c r="F834" s="59">
        <v>0</v>
      </c>
      <c r="G834" s="58">
        <v>2</v>
      </c>
      <c r="H834" s="76">
        <v>15891</v>
      </c>
      <c r="I834" s="320">
        <v>1</v>
      </c>
      <c r="J834" s="406">
        <v>1</v>
      </c>
      <c r="K834" s="319">
        <v>0</v>
      </c>
      <c r="L834" s="424">
        <v>0</v>
      </c>
      <c r="M834" s="410">
        <v>0</v>
      </c>
      <c r="N834" s="429"/>
    </row>
    <row r="835" spans="1:16" s="65" customFormat="1" ht="18.25" customHeight="1" outlineLevel="1">
      <c r="A835" s="577"/>
      <c r="B835" s="67" t="s">
        <v>585</v>
      </c>
      <c r="C835" s="61" t="s">
        <v>588</v>
      </c>
      <c r="D835" s="26">
        <v>11</v>
      </c>
      <c r="E835" s="69">
        <v>1</v>
      </c>
      <c r="F835" s="70">
        <v>25786</v>
      </c>
      <c r="G835" s="69">
        <v>16.5</v>
      </c>
      <c r="H835" s="77">
        <v>175328</v>
      </c>
      <c r="I835" s="321">
        <v>9</v>
      </c>
      <c r="J835" s="322">
        <v>6</v>
      </c>
      <c r="K835" s="508">
        <v>3</v>
      </c>
      <c r="L835" s="509">
        <v>1</v>
      </c>
      <c r="M835" s="323">
        <v>3</v>
      </c>
      <c r="N835" s="437">
        <v>1</v>
      </c>
      <c r="O835" s="249" t="s">
        <v>167</v>
      </c>
      <c r="P835" s="249"/>
    </row>
    <row r="836" spans="1:16" ht="18.25" customHeight="1" outlineLevel="2">
      <c r="B836" s="52" t="s">
        <v>585</v>
      </c>
      <c r="C836" s="54" t="s">
        <v>737</v>
      </c>
      <c r="D836" s="23" t="s">
        <v>369</v>
      </c>
      <c r="E836" s="58">
        <v>0</v>
      </c>
      <c r="F836" s="59">
        <v>0</v>
      </c>
      <c r="G836" s="58">
        <v>6</v>
      </c>
      <c r="H836" s="76">
        <v>48921</v>
      </c>
      <c r="I836" s="320">
        <v>1</v>
      </c>
      <c r="J836" s="406">
        <v>1</v>
      </c>
      <c r="K836" s="319">
        <v>1</v>
      </c>
      <c r="L836" s="424"/>
      <c r="M836" s="410">
        <v>1</v>
      </c>
      <c r="N836" s="429"/>
    </row>
    <row r="837" spans="1:16" s="65" customFormat="1" ht="18.25" customHeight="1" outlineLevel="1">
      <c r="A837" s="577"/>
      <c r="B837" s="67" t="s">
        <v>585</v>
      </c>
      <c r="C837" s="61" t="s">
        <v>737</v>
      </c>
      <c r="D837" s="26">
        <v>1</v>
      </c>
      <c r="E837" s="69">
        <v>0</v>
      </c>
      <c r="F837" s="70">
        <v>0</v>
      </c>
      <c r="G837" s="69">
        <v>6</v>
      </c>
      <c r="H837" s="77">
        <v>48921</v>
      </c>
      <c r="I837" s="321">
        <v>1</v>
      </c>
      <c r="J837" s="322">
        <v>1</v>
      </c>
      <c r="K837" s="508">
        <v>1</v>
      </c>
      <c r="L837" s="509">
        <v>0</v>
      </c>
      <c r="M837" s="323">
        <v>1</v>
      </c>
      <c r="N837" s="437">
        <v>0</v>
      </c>
      <c r="O837" s="249" t="s">
        <v>670</v>
      </c>
      <c r="P837" s="249"/>
    </row>
    <row r="838" spans="1:16" ht="18.25" customHeight="1" outlineLevel="2">
      <c r="B838" s="52" t="s">
        <v>585</v>
      </c>
      <c r="C838" s="54" t="s">
        <v>591</v>
      </c>
      <c r="D838" s="23" t="s">
        <v>171</v>
      </c>
      <c r="E838" s="58">
        <v>0</v>
      </c>
      <c r="F838" s="59">
        <v>0</v>
      </c>
      <c r="G838" s="58">
        <v>0.5</v>
      </c>
      <c r="H838" s="76">
        <v>4991</v>
      </c>
      <c r="I838" s="320">
        <v>1</v>
      </c>
      <c r="J838" s="406">
        <v>0</v>
      </c>
      <c r="K838" s="319">
        <v>0</v>
      </c>
      <c r="L838" s="424"/>
      <c r="M838" s="410">
        <v>0</v>
      </c>
      <c r="N838" s="429"/>
    </row>
    <row r="839" spans="1:16" ht="18.25" customHeight="1" outlineLevel="2">
      <c r="B839" s="52" t="s">
        <v>585</v>
      </c>
      <c r="C839" s="54" t="s">
        <v>592</v>
      </c>
      <c r="D839" s="23" t="s">
        <v>27</v>
      </c>
      <c r="E839" s="58">
        <v>0</v>
      </c>
      <c r="F839" s="59">
        <v>0</v>
      </c>
      <c r="G839" s="58">
        <v>1.5</v>
      </c>
      <c r="H839" s="76">
        <v>10151</v>
      </c>
      <c r="I839" s="320">
        <v>1</v>
      </c>
      <c r="J839" s="406">
        <v>1</v>
      </c>
      <c r="K839" s="319">
        <v>0</v>
      </c>
      <c r="L839" s="424">
        <v>0</v>
      </c>
      <c r="M839" s="410">
        <v>0</v>
      </c>
      <c r="N839" s="429"/>
    </row>
    <row r="840" spans="1:16" s="65" customFormat="1" ht="18.25" customHeight="1" outlineLevel="1">
      <c r="A840" s="577"/>
      <c r="B840" s="67" t="s">
        <v>585</v>
      </c>
      <c r="C840" s="61" t="s">
        <v>591</v>
      </c>
      <c r="D840" s="26">
        <v>2</v>
      </c>
      <c r="E840" s="69">
        <v>0</v>
      </c>
      <c r="F840" s="70">
        <v>0</v>
      </c>
      <c r="G840" s="69">
        <v>2</v>
      </c>
      <c r="H840" s="77">
        <v>15142</v>
      </c>
      <c r="I840" s="321">
        <v>2</v>
      </c>
      <c r="J840" s="322">
        <v>1</v>
      </c>
      <c r="K840" s="508">
        <v>0</v>
      </c>
      <c r="L840" s="509">
        <v>0</v>
      </c>
      <c r="M840" s="323">
        <v>0</v>
      </c>
      <c r="N840" s="437">
        <v>0</v>
      </c>
      <c r="O840" s="249" t="s">
        <v>171</v>
      </c>
      <c r="P840" s="249"/>
    </row>
    <row r="841" spans="1:16" ht="18.25" customHeight="1" outlineLevel="2">
      <c r="B841" s="52" t="s">
        <v>585</v>
      </c>
      <c r="C841" s="55" t="s">
        <v>593</v>
      </c>
      <c r="D841" s="7" t="s">
        <v>169</v>
      </c>
      <c r="E841" s="58">
        <v>0</v>
      </c>
      <c r="F841" s="59">
        <v>0</v>
      </c>
      <c r="G841" s="58">
        <v>0.5</v>
      </c>
      <c r="H841" s="76">
        <v>14206</v>
      </c>
      <c r="I841" s="320">
        <v>1</v>
      </c>
      <c r="J841" s="406">
        <v>0</v>
      </c>
      <c r="K841" s="319">
        <v>0</v>
      </c>
      <c r="L841" s="424"/>
      <c r="M841" s="410">
        <v>0</v>
      </c>
      <c r="N841" s="429"/>
    </row>
    <row r="842" spans="1:16" ht="18.25" customHeight="1" outlineLevel="2">
      <c r="B842" s="52" t="s">
        <v>585</v>
      </c>
      <c r="C842" s="55" t="s">
        <v>787</v>
      </c>
      <c r="D842" s="23" t="s">
        <v>27</v>
      </c>
      <c r="E842" s="58">
        <v>0</v>
      </c>
      <c r="F842" s="59">
        <v>0</v>
      </c>
      <c r="G842" s="58">
        <v>1</v>
      </c>
      <c r="H842" s="76">
        <v>5093</v>
      </c>
      <c r="I842" s="320">
        <v>1</v>
      </c>
      <c r="J842" s="406">
        <v>0</v>
      </c>
      <c r="K842" s="319">
        <v>0</v>
      </c>
      <c r="L842" s="424">
        <v>0</v>
      </c>
      <c r="M842" s="410">
        <v>0</v>
      </c>
      <c r="N842" s="429"/>
    </row>
    <row r="843" spans="1:16" ht="18.25" customHeight="1" outlineLevel="2">
      <c r="B843" s="52" t="s">
        <v>585</v>
      </c>
      <c r="C843" s="55" t="s">
        <v>717</v>
      </c>
      <c r="D843" s="23" t="s">
        <v>27</v>
      </c>
      <c r="E843" s="58">
        <v>0</v>
      </c>
      <c r="F843" s="59">
        <v>0</v>
      </c>
      <c r="G843" s="58">
        <v>0.5</v>
      </c>
      <c r="H843" s="76">
        <v>14206</v>
      </c>
      <c r="I843" s="320">
        <v>1</v>
      </c>
      <c r="J843" s="406">
        <v>1</v>
      </c>
      <c r="K843" s="319">
        <v>0</v>
      </c>
      <c r="L843" s="424">
        <v>0</v>
      </c>
      <c r="M843" s="410">
        <v>0</v>
      </c>
      <c r="N843" s="429"/>
    </row>
    <row r="844" spans="1:16" s="65" customFormat="1" ht="18.25" customHeight="1" outlineLevel="1">
      <c r="A844" s="577"/>
      <c r="B844" s="67" t="s">
        <v>585</v>
      </c>
      <c r="C844" s="61" t="s">
        <v>593</v>
      </c>
      <c r="D844" s="26">
        <v>3</v>
      </c>
      <c r="E844" s="69">
        <v>0</v>
      </c>
      <c r="F844" s="70">
        <v>0</v>
      </c>
      <c r="G844" s="69">
        <v>2</v>
      </c>
      <c r="H844" s="77">
        <v>33505</v>
      </c>
      <c r="I844" s="321">
        <v>3</v>
      </c>
      <c r="J844" s="322">
        <v>1</v>
      </c>
      <c r="K844" s="508">
        <v>0</v>
      </c>
      <c r="L844" s="509">
        <v>0</v>
      </c>
      <c r="M844" s="323">
        <v>0</v>
      </c>
      <c r="N844" s="437">
        <v>0</v>
      </c>
      <c r="O844" s="249" t="s">
        <v>169</v>
      </c>
      <c r="P844" s="249"/>
    </row>
    <row r="845" spans="1:16" ht="18.25" customHeight="1" outlineLevel="2">
      <c r="B845" s="52" t="s">
        <v>585</v>
      </c>
      <c r="C845" s="55" t="s">
        <v>594</v>
      </c>
      <c r="D845" s="7" t="s">
        <v>171</v>
      </c>
      <c r="E845" s="58">
        <v>0</v>
      </c>
      <c r="F845" s="59">
        <v>0</v>
      </c>
      <c r="G845" s="58">
        <v>0</v>
      </c>
      <c r="H845" s="76">
        <v>2500</v>
      </c>
      <c r="I845" s="320">
        <v>0</v>
      </c>
      <c r="J845" s="406">
        <v>0</v>
      </c>
      <c r="K845" s="319">
        <v>0</v>
      </c>
      <c r="L845" s="424"/>
      <c r="M845" s="410">
        <v>0</v>
      </c>
      <c r="N845" s="429"/>
    </row>
    <row r="846" spans="1:16" ht="18.25" customHeight="1" outlineLevel="2">
      <c r="B846" s="52" t="s">
        <v>585</v>
      </c>
      <c r="C846" s="55" t="s">
        <v>595</v>
      </c>
      <c r="D846" s="7" t="s">
        <v>27</v>
      </c>
      <c r="E846" s="58">
        <v>0</v>
      </c>
      <c r="F846" s="59">
        <v>0</v>
      </c>
      <c r="G846" s="58">
        <v>0</v>
      </c>
      <c r="H846" s="76">
        <v>0</v>
      </c>
      <c r="I846" s="320">
        <v>0</v>
      </c>
      <c r="J846" s="406">
        <v>0</v>
      </c>
      <c r="K846" s="319">
        <v>0</v>
      </c>
      <c r="L846" s="424">
        <v>0</v>
      </c>
      <c r="M846" s="410">
        <v>0</v>
      </c>
      <c r="N846" s="429"/>
    </row>
    <row r="847" spans="1:16" s="65" customFormat="1" ht="18.25" customHeight="1" outlineLevel="1">
      <c r="A847" s="577"/>
      <c r="B847" s="67" t="s">
        <v>585</v>
      </c>
      <c r="C847" s="61" t="s">
        <v>594</v>
      </c>
      <c r="D847" s="26">
        <v>2</v>
      </c>
      <c r="E847" s="69">
        <v>0</v>
      </c>
      <c r="F847" s="70">
        <v>0</v>
      </c>
      <c r="G847" s="69">
        <v>0</v>
      </c>
      <c r="H847" s="77">
        <v>2500</v>
      </c>
      <c r="I847" s="321">
        <v>0</v>
      </c>
      <c r="J847" s="322">
        <v>0</v>
      </c>
      <c r="K847" s="508">
        <v>0</v>
      </c>
      <c r="L847" s="509">
        <v>0</v>
      </c>
      <c r="M847" s="323">
        <v>0</v>
      </c>
      <c r="N847" s="437">
        <v>0</v>
      </c>
      <c r="O847" s="249" t="s">
        <v>171</v>
      </c>
      <c r="P847" s="249"/>
    </row>
    <row r="848" spans="1:16" ht="18.25" customHeight="1" outlineLevel="2">
      <c r="B848" s="52" t="s">
        <v>585</v>
      </c>
      <c r="C848" s="55" t="s">
        <v>596</v>
      </c>
      <c r="D848" s="7" t="s">
        <v>171</v>
      </c>
      <c r="E848" s="58">
        <v>0</v>
      </c>
      <c r="F848" s="59">
        <v>0</v>
      </c>
      <c r="G848" s="58">
        <v>1</v>
      </c>
      <c r="H848" s="76">
        <v>26400</v>
      </c>
      <c r="I848" s="320">
        <v>1</v>
      </c>
      <c r="J848" s="406">
        <v>1</v>
      </c>
      <c r="K848" s="319">
        <v>1</v>
      </c>
      <c r="L848" s="424"/>
      <c r="M848" s="410">
        <v>1</v>
      </c>
      <c r="N848" s="429"/>
    </row>
    <row r="849" spans="1:16" ht="18.25" customHeight="1" outlineLevel="2">
      <c r="B849" s="52" t="s">
        <v>585</v>
      </c>
      <c r="C849" s="55" t="s">
        <v>598</v>
      </c>
      <c r="D849" s="7" t="s">
        <v>27</v>
      </c>
      <c r="E849" s="58">
        <v>0</v>
      </c>
      <c r="F849" s="59">
        <v>0</v>
      </c>
      <c r="G849" s="58">
        <v>2</v>
      </c>
      <c r="H849" s="76">
        <v>14615</v>
      </c>
      <c r="I849" s="320">
        <v>1</v>
      </c>
      <c r="J849" s="406">
        <v>1</v>
      </c>
      <c r="K849" s="319">
        <v>0</v>
      </c>
      <c r="L849" s="424">
        <v>0</v>
      </c>
      <c r="M849" s="410">
        <v>0</v>
      </c>
      <c r="N849" s="429"/>
    </row>
    <row r="850" spans="1:16" ht="18.25" customHeight="1" outlineLevel="2">
      <c r="B850" s="52" t="s">
        <v>585</v>
      </c>
      <c r="C850" s="55" t="s">
        <v>715</v>
      </c>
      <c r="D850" s="7" t="s">
        <v>27</v>
      </c>
      <c r="E850" s="58">
        <v>0</v>
      </c>
      <c r="F850" s="59">
        <v>0</v>
      </c>
      <c r="G850" s="58">
        <v>0</v>
      </c>
      <c r="H850" s="76">
        <v>0</v>
      </c>
      <c r="I850" s="320">
        <v>0</v>
      </c>
      <c r="J850" s="406">
        <v>0</v>
      </c>
      <c r="K850" s="319">
        <v>0</v>
      </c>
      <c r="L850" s="424">
        <v>0</v>
      </c>
      <c r="M850" s="410">
        <v>0</v>
      </c>
      <c r="N850" s="429"/>
    </row>
    <row r="851" spans="1:16" ht="18.25" customHeight="1" outlineLevel="2">
      <c r="B851" s="52" t="s">
        <v>585</v>
      </c>
      <c r="C851" s="55" t="s">
        <v>597</v>
      </c>
      <c r="D851" s="7" t="s">
        <v>27</v>
      </c>
      <c r="E851" s="58">
        <v>0</v>
      </c>
      <c r="F851" s="59">
        <v>0</v>
      </c>
      <c r="G851" s="58">
        <v>1</v>
      </c>
      <c r="H851" s="76">
        <v>11081</v>
      </c>
      <c r="I851" s="320">
        <v>1</v>
      </c>
      <c r="J851" s="406">
        <v>1</v>
      </c>
      <c r="K851" s="319">
        <v>0</v>
      </c>
      <c r="L851" s="424">
        <v>0</v>
      </c>
      <c r="M851" s="410">
        <v>0</v>
      </c>
      <c r="N851" s="429"/>
    </row>
    <row r="852" spans="1:16" s="65" customFormat="1" ht="18.25" customHeight="1" outlineLevel="1">
      <c r="A852" s="577"/>
      <c r="B852" s="67" t="s">
        <v>585</v>
      </c>
      <c r="C852" s="61" t="s">
        <v>596</v>
      </c>
      <c r="D852" s="26">
        <v>4</v>
      </c>
      <c r="E852" s="69">
        <v>0</v>
      </c>
      <c r="F852" s="70">
        <v>0</v>
      </c>
      <c r="G852" s="69">
        <v>4</v>
      </c>
      <c r="H852" s="77">
        <v>52096</v>
      </c>
      <c r="I852" s="321">
        <v>3</v>
      </c>
      <c r="J852" s="322">
        <v>3</v>
      </c>
      <c r="K852" s="508">
        <v>1</v>
      </c>
      <c r="L852" s="509">
        <v>0</v>
      </c>
      <c r="M852" s="323">
        <v>1</v>
      </c>
      <c r="N852" s="437">
        <v>0</v>
      </c>
      <c r="O852" s="249" t="s">
        <v>171</v>
      </c>
      <c r="P852" s="249"/>
    </row>
    <row r="853" spans="1:16" ht="18.25" customHeight="1" outlineLevel="2">
      <c r="B853" s="53" t="s">
        <v>585</v>
      </c>
      <c r="C853" s="55" t="s">
        <v>600</v>
      </c>
      <c r="D853" s="7" t="s">
        <v>169</v>
      </c>
      <c r="E853" s="58">
        <v>0</v>
      </c>
      <c r="F853" s="59">
        <v>0</v>
      </c>
      <c r="G853" s="58">
        <v>9.5</v>
      </c>
      <c r="H853" s="76">
        <v>109365</v>
      </c>
      <c r="I853" s="320">
        <v>1</v>
      </c>
      <c r="J853" s="406">
        <v>1</v>
      </c>
      <c r="K853" s="319">
        <v>1</v>
      </c>
      <c r="L853" s="424"/>
      <c r="M853" s="410">
        <v>1</v>
      </c>
      <c r="N853" s="429"/>
    </row>
    <row r="854" spans="1:16" ht="18.25" customHeight="1" outlineLevel="2">
      <c r="B854" s="53" t="s">
        <v>585</v>
      </c>
      <c r="C854" s="55" t="s">
        <v>869</v>
      </c>
      <c r="D854" s="23" t="s">
        <v>27</v>
      </c>
      <c r="E854" s="58">
        <v>0</v>
      </c>
      <c r="F854" s="59">
        <v>0</v>
      </c>
      <c r="G854" s="58">
        <v>1</v>
      </c>
      <c r="H854" s="76">
        <v>18311</v>
      </c>
      <c r="I854" s="320">
        <v>1</v>
      </c>
      <c r="J854" s="406">
        <v>1</v>
      </c>
      <c r="K854" s="319">
        <v>0</v>
      </c>
      <c r="L854" s="424">
        <v>1</v>
      </c>
      <c r="M854" s="410">
        <v>1</v>
      </c>
      <c r="N854" s="429"/>
    </row>
    <row r="855" spans="1:16" ht="18.25" customHeight="1" outlineLevel="2">
      <c r="B855" s="53" t="s">
        <v>585</v>
      </c>
      <c r="C855" s="55" t="s">
        <v>601</v>
      </c>
      <c r="D855" s="23" t="s">
        <v>27</v>
      </c>
      <c r="E855" s="58">
        <v>0</v>
      </c>
      <c r="F855" s="59">
        <v>0</v>
      </c>
      <c r="G855" s="58">
        <v>0</v>
      </c>
      <c r="H855" s="76">
        <v>0</v>
      </c>
      <c r="I855" s="320">
        <v>0</v>
      </c>
      <c r="J855" s="406">
        <v>0</v>
      </c>
      <c r="K855" s="319">
        <v>0</v>
      </c>
      <c r="L855" s="424">
        <v>0</v>
      </c>
      <c r="M855" s="410">
        <v>0</v>
      </c>
      <c r="N855" s="429"/>
    </row>
    <row r="856" spans="1:16" s="65" customFormat="1" ht="18.25" customHeight="1" outlineLevel="1">
      <c r="A856" s="577"/>
      <c r="B856" s="67" t="s">
        <v>585</v>
      </c>
      <c r="C856" s="61" t="s">
        <v>600</v>
      </c>
      <c r="D856" s="26">
        <v>3</v>
      </c>
      <c r="E856" s="69">
        <v>0</v>
      </c>
      <c r="F856" s="70">
        <v>0</v>
      </c>
      <c r="G856" s="69">
        <v>10.5</v>
      </c>
      <c r="H856" s="77">
        <v>127676</v>
      </c>
      <c r="I856" s="321">
        <v>2</v>
      </c>
      <c r="J856" s="322">
        <v>2</v>
      </c>
      <c r="K856" s="508">
        <v>1</v>
      </c>
      <c r="L856" s="509">
        <v>1</v>
      </c>
      <c r="M856" s="323">
        <v>2</v>
      </c>
      <c r="N856" s="437">
        <v>1</v>
      </c>
      <c r="O856" s="249" t="s">
        <v>169</v>
      </c>
      <c r="P856" s="249"/>
    </row>
    <row r="857" spans="1:16" ht="18.25" customHeight="1" outlineLevel="2">
      <c r="B857" s="53" t="s">
        <v>585</v>
      </c>
      <c r="C857" s="54" t="s">
        <v>602</v>
      </c>
      <c r="D857" s="7" t="s">
        <v>51</v>
      </c>
      <c r="E857" s="58">
        <v>0</v>
      </c>
      <c r="F857" s="59">
        <v>0</v>
      </c>
      <c r="G857" s="58">
        <v>1</v>
      </c>
      <c r="H857" s="76">
        <v>10929</v>
      </c>
      <c r="I857" s="320">
        <v>1</v>
      </c>
      <c r="J857" s="406">
        <v>0</v>
      </c>
      <c r="K857" s="319">
        <v>0</v>
      </c>
      <c r="L857" s="424"/>
      <c r="M857" s="410">
        <v>0</v>
      </c>
      <c r="N857" s="429"/>
    </row>
    <row r="858" spans="1:16" ht="18.25" customHeight="1" outlineLevel="2">
      <c r="B858" s="53" t="s">
        <v>585</v>
      </c>
      <c r="C858" s="54" t="s">
        <v>606</v>
      </c>
      <c r="D858" s="7" t="s">
        <v>27</v>
      </c>
      <c r="E858" s="58">
        <v>0</v>
      </c>
      <c r="F858" s="59">
        <v>0</v>
      </c>
      <c r="G858" s="58">
        <v>1.5</v>
      </c>
      <c r="H858" s="76">
        <v>7325</v>
      </c>
      <c r="I858" s="320">
        <v>1</v>
      </c>
      <c r="J858" s="406">
        <v>0</v>
      </c>
      <c r="K858" s="319">
        <v>0</v>
      </c>
      <c r="L858" s="424">
        <v>0</v>
      </c>
      <c r="M858" s="410">
        <v>0</v>
      </c>
      <c r="N858" s="429"/>
    </row>
    <row r="859" spans="1:16" ht="18.25" customHeight="1" outlineLevel="2">
      <c r="B859" s="53" t="s">
        <v>585</v>
      </c>
      <c r="C859" s="54" t="s">
        <v>794</v>
      </c>
      <c r="D859" s="7" t="s">
        <v>27</v>
      </c>
      <c r="E859" s="58">
        <v>0</v>
      </c>
      <c r="F859" s="59">
        <v>0</v>
      </c>
      <c r="G859" s="58">
        <v>1.5</v>
      </c>
      <c r="H859" s="76">
        <v>7325</v>
      </c>
      <c r="I859" s="320">
        <v>1</v>
      </c>
      <c r="J859" s="406">
        <v>0</v>
      </c>
      <c r="K859" s="319">
        <v>0</v>
      </c>
      <c r="L859" s="424">
        <v>1</v>
      </c>
      <c r="M859" s="410">
        <v>0</v>
      </c>
      <c r="N859" s="429"/>
    </row>
    <row r="860" spans="1:16" ht="18.25" customHeight="1" outlineLevel="2">
      <c r="B860" s="53" t="s">
        <v>585</v>
      </c>
      <c r="C860" s="54" t="s">
        <v>603</v>
      </c>
      <c r="D860" s="7" t="s">
        <v>27</v>
      </c>
      <c r="E860" s="58">
        <v>0</v>
      </c>
      <c r="F860" s="59">
        <v>0</v>
      </c>
      <c r="G860" s="58">
        <v>0</v>
      </c>
      <c r="H860" s="76">
        <v>0</v>
      </c>
      <c r="I860" s="320">
        <v>0</v>
      </c>
      <c r="J860" s="406">
        <v>0</v>
      </c>
      <c r="K860" s="319">
        <v>0</v>
      </c>
      <c r="L860" s="424">
        <v>0</v>
      </c>
      <c r="M860" s="410">
        <v>0</v>
      </c>
      <c r="N860" s="429"/>
    </row>
    <row r="861" spans="1:16" ht="18.25" customHeight="1" outlineLevel="2">
      <c r="B861" s="53" t="s">
        <v>585</v>
      </c>
      <c r="C861" s="54" t="s">
        <v>604</v>
      </c>
      <c r="D861" s="7" t="s">
        <v>27</v>
      </c>
      <c r="E861" s="58">
        <v>0</v>
      </c>
      <c r="F861" s="59">
        <v>0</v>
      </c>
      <c r="G861" s="58">
        <v>0</v>
      </c>
      <c r="H861" s="76">
        <v>0</v>
      </c>
      <c r="I861" s="320">
        <v>0</v>
      </c>
      <c r="J861" s="406">
        <v>0</v>
      </c>
      <c r="K861" s="319">
        <v>0</v>
      </c>
      <c r="L861" s="424">
        <v>0</v>
      </c>
      <c r="M861" s="410">
        <v>0</v>
      </c>
      <c r="N861" s="429"/>
    </row>
    <row r="862" spans="1:16" s="65" customFormat="1" ht="18.25" customHeight="1" outlineLevel="1">
      <c r="A862" s="577"/>
      <c r="B862" s="67" t="s">
        <v>585</v>
      </c>
      <c r="C862" s="61" t="s">
        <v>602</v>
      </c>
      <c r="D862" s="26">
        <v>5</v>
      </c>
      <c r="E862" s="69">
        <v>0</v>
      </c>
      <c r="F862" s="70">
        <v>0</v>
      </c>
      <c r="G862" s="69">
        <v>4</v>
      </c>
      <c r="H862" s="77">
        <v>25579</v>
      </c>
      <c r="I862" s="321">
        <v>3</v>
      </c>
      <c r="J862" s="322">
        <v>0</v>
      </c>
      <c r="K862" s="508">
        <v>0</v>
      </c>
      <c r="L862" s="509">
        <v>1</v>
      </c>
      <c r="M862" s="323">
        <v>0</v>
      </c>
      <c r="N862" s="437">
        <v>0</v>
      </c>
      <c r="O862" s="249" t="s">
        <v>51</v>
      </c>
      <c r="P862" s="249"/>
    </row>
    <row r="863" spans="1:16" ht="18.25" customHeight="1" outlineLevel="2">
      <c r="B863" s="53" t="s">
        <v>585</v>
      </c>
      <c r="C863" s="54" t="s">
        <v>605</v>
      </c>
      <c r="D863" s="7" t="s">
        <v>189</v>
      </c>
      <c r="E863" s="58">
        <v>0</v>
      </c>
      <c r="F863" s="59">
        <v>0</v>
      </c>
      <c r="G863" s="58">
        <v>1</v>
      </c>
      <c r="H863" s="76">
        <v>19124</v>
      </c>
      <c r="I863" s="320">
        <v>1</v>
      </c>
      <c r="J863" s="406">
        <v>0</v>
      </c>
      <c r="K863" s="319">
        <v>0</v>
      </c>
      <c r="L863" s="424"/>
      <c r="M863" s="410">
        <v>0</v>
      </c>
      <c r="N863" s="429"/>
    </row>
    <row r="864" spans="1:16" ht="18.25" customHeight="1" outlineLevel="2">
      <c r="B864" s="53" t="s">
        <v>585</v>
      </c>
      <c r="C864" s="54" t="s">
        <v>637</v>
      </c>
      <c r="D864" s="7" t="s">
        <v>27</v>
      </c>
      <c r="E864" s="58">
        <v>0</v>
      </c>
      <c r="F864" s="59">
        <v>0</v>
      </c>
      <c r="G864" s="58">
        <v>0</v>
      </c>
      <c r="H864" s="76">
        <v>0</v>
      </c>
      <c r="I864" s="320">
        <v>0</v>
      </c>
      <c r="J864" s="406">
        <v>0</v>
      </c>
      <c r="K864" s="319">
        <v>0</v>
      </c>
      <c r="L864" s="424">
        <v>0</v>
      </c>
      <c r="M864" s="410">
        <v>0</v>
      </c>
      <c r="N864" s="429"/>
    </row>
    <row r="865" spans="1:19" s="65" customFormat="1" ht="18.25" customHeight="1" outlineLevel="1">
      <c r="A865" s="577"/>
      <c r="B865" s="67" t="s">
        <v>585</v>
      </c>
      <c r="C865" s="61" t="s">
        <v>605</v>
      </c>
      <c r="D865" s="26">
        <v>2</v>
      </c>
      <c r="E865" s="69">
        <v>0</v>
      </c>
      <c r="F865" s="70">
        <v>0</v>
      </c>
      <c r="G865" s="69">
        <v>1</v>
      </c>
      <c r="H865" s="77">
        <v>19124</v>
      </c>
      <c r="I865" s="321">
        <v>1</v>
      </c>
      <c r="J865" s="322">
        <v>0</v>
      </c>
      <c r="K865" s="508">
        <v>0</v>
      </c>
      <c r="L865" s="509">
        <v>0</v>
      </c>
      <c r="M865" s="323">
        <v>0</v>
      </c>
      <c r="N865" s="437">
        <v>0</v>
      </c>
      <c r="O865" s="249" t="s">
        <v>169</v>
      </c>
      <c r="P865" s="249"/>
    </row>
    <row r="866" spans="1:19" ht="18.25" customHeight="1" outlineLevel="2">
      <c r="B866" s="53" t="s">
        <v>585</v>
      </c>
      <c r="C866" s="54" t="s">
        <v>610</v>
      </c>
      <c r="D866" s="7" t="s">
        <v>171</v>
      </c>
      <c r="E866" s="58">
        <v>0</v>
      </c>
      <c r="F866" s="59">
        <v>0</v>
      </c>
      <c r="G866" s="58">
        <v>1</v>
      </c>
      <c r="H866" s="76">
        <v>18083</v>
      </c>
      <c r="I866" s="320">
        <v>1</v>
      </c>
      <c r="J866" s="406">
        <v>0</v>
      </c>
      <c r="K866" s="319">
        <v>0</v>
      </c>
      <c r="L866" s="424"/>
      <c r="M866" s="410">
        <v>0</v>
      </c>
      <c r="N866" s="429"/>
    </row>
    <row r="867" spans="1:19" ht="18.25" customHeight="1" outlineLevel="2">
      <c r="B867" s="53" t="s">
        <v>585</v>
      </c>
      <c r="C867" s="54" t="s">
        <v>611</v>
      </c>
      <c r="D867" s="23" t="s">
        <v>27</v>
      </c>
      <c r="E867" s="58">
        <v>0</v>
      </c>
      <c r="F867" s="59">
        <v>0</v>
      </c>
      <c r="G867" s="58">
        <v>1</v>
      </c>
      <c r="H867" s="76">
        <v>5531</v>
      </c>
      <c r="I867" s="320">
        <v>1</v>
      </c>
      <c r="J867" s="406">
        <v>0</v>
      </c>
      <c r="K867" s="319">
        <v>0</v>
      </c>
      <c r="L867" s="424">
        <v>0</v>
      </c>
      <c r="M867" s="410">
        <v>0</v>
      </c>
      <c r="N867" s="429"/>
    </row>
    <row r="868" spans="1:19" ht="18.25" customHeight="1" outlineLevel="2">
      <c r="B868" s="53" t="s">
        <v>585</v>
      </c>
      <c r="C868" s="54" t="s">
        <v>612</v>
      </c>
      <c r="D868" s="23" t="s">
        <v>27</v>
      </c>
      <c r="E868" s="58">
        <v>0</v>
      </c>
      <c r="F868" s="59">
        <v>0</v>
      </c>
      <c r="G868" s="58">
        <v>0</v>
      </c>
      <c r="H868" s="76">
        <v>0</v>
      </c>
      <c r="I868" s="320">
        <v>0</v>
      </c>
      <c r="J868" s="406">
        <v>0</v>
      </c>
      <c r="K868" s="319">
        <v>0</v>
      </c>
      <c r="L868" s="424">
        <v>0</v>
      </c>
      <c r="M868" s="410">
        <v>0</v>
      </c>
      <c r="N868" s="429"/>
    </row>
    <row r="869" spans="1:19" s="65" customFormat="1" ht="18.25" customHeight="1" outlineLevel="1">
      <c r="A869" s="577"/>
      <c r="B869" s="67" t="s">
        <v>585</v>
      </c>
      <c r="C869" s="61" t="s">
        <v>610</v>
      </c>
      <c r="D869" s="26">
        <v>3</v>
      </c>
      <c r="E869" s="69">
        <v>0</v>
      </c>
      <c r="F869" s="70">
        <v>0</v>
      </c>
      <c r="G869" s="69">
        <v>2</v>
      </c>
      <c r="H869" s="77">
        <v>23614</v>
      </c>
      <c r="I869" s="321">
        <v>2</v>
      </c>
      <c r="J869" s="322">
        <v>0</v>
      </c>
      <c r="K869" s="508">
        <v>0</v>
      </c>
      <c r="L869" s="509">
        <v>0</v>
      </c>
      <c r="M869" s="323">
        <v>0</v>
      </c>
      <c r="N869" s="437">
        <v>0</v>
      </c>
      <c r="O869" s="249" t="s">
        <v>171</v>
      </c>
      <c r="P869" s="249"/>
    </row>
    <row r="870" spans="1:19" s="161" customFormat="1" ht="18.25" customHeight="1">
      <c r="A870" s="579" t="s">
        <v>851</v>
      </c>
      <c r="B870" s="971" t="s">
        <v>586</v>
      </c>
      <c r="C870" s="971"/>
      <c r="D870" s="157">
        <v>36</v>
      </c>
      <c r="E870" s="158">
        <v>1</v>
      </c>
      <c r="F870" s="159">
        <v>25786</v>
      </c>
      <c r="G870" s="158">
        <v>48</v>
      </c>
      <c r="H870" s="160">
        <v>523485</v>
      </c>
      <c r="I870" s="158">
        <v>26</v>
      </c>
      <c r="J870" s="160">
        <v>14</v>
      </c>
      <c r="K870" s="920">
        <v>6</v>
      </c>
      <c r="L870" s="921">
        <v>3</v>
      </c>
      <c r="M870" s="422">
        <v>7</v>
      </c>
      <c r="N870" s="443">
        <v>2</v>
      </c>
      <c r="O870" s="252"/>
      <c r="P870" s="252"/>
    </row>
    <row r="871" spans="1:19" s="1" customFormat="1">
      <c r="A871" s="576"/>
      <c r="D871" s="60"/>
      <c r="E871" s="49"/>
      <c r="F871" s="49"/>
      <c r="G871" s="49"/>
      <c r="H871" s="49"/>
      <c r="I871" s="292"/>
      <c r="J871" s="307"/>
      <c r="K871" s="900"/>
      <c r="L871" s="900"/>
      <c r="M871" s="307"/>
      <c r="N871" s="427"/>
      <c r="Q871"/>
      <c r="R871"/>
      <c r="S871"/>
    </row>
    <row r="872" spans="1:19" s="1" customFormat="1">
      <c r="A872" s="576"/>
      <c r="B872" s="1" t="s">
        <v>560</v>
      </c>
      <c r="D872" s="71">
        <v>592</v>
      </c>
      <c r="E872" s="72">
        <v>30</v>
      </c>
      <c r="F872" s="72">
        <v>507381</v>
      </c>
      <c r="G872" s="72">
        <v>826.5</v>
      </c>
      <c r="H872" s="72">
        <v>13648332</v>
      </c>
      <c r="I872" s="334">
        <v>330</v>
      </c>
      <c r="J872" s="335">
        <v>215</v>
      </c>
      <c r="K872" s="922">
        <v>144</v>
      </c>
      <c r="L872" s="922">
        <v>55</v>
      </c>
      <c r="M872" s="335">
        <v>150</v>
      </c>
      <c r="N872" s="444" t="e">
        <v>#VALUE!</v>
      </c>
      <c r="Q872"/>
      <c r="R872"/>
      <c r="S872"/>
    </row>
    <row r="873" spans="1:19" s="1" customFormat="1">
      <c r="A873" s="576"/>
      <c r="D873" s="71"/>
      <c r="E873" s="72"/>
      <c r="F873" s="72"/>
      <c r="H873" s="206"/>
      <c r="K873" s="923"/>
      <c r="L873" s="923"/>
      <c r="N873" s="445"/>
      <c r="Q873"/>
      <c r="R873"/>
      <c r="S873"/>
    </row>
    <row r="875" spans="1:19" s="1" customFormat="1">
      <c r="A875" s="576"/>
      <c r="D875" s="71"/>
      <c r="I875" s="292"/>
      <c r="J875" s="307"/>
      <c r="K875" s="900"/>
      <c r="L875" s="900"/>
      <c r="M875" s="307"/>
      <c r="N875" s="427"/>
      <c r="Q875"/>
      <c r="R875"/>
      <c r="S875"/>
    </row>
  </sheetData>
  <mergeCells count="19">
    <mergeCell ref="L3:M3"/>
    <mergeCell ref="B870:C870"/>
    <mergeCell ref="B506:C506"/>
    <mergeCell ref="B655:C655"/>
    <mergeCell ref="B684:C684"/>
    <mergeCell ref="B736:C736"/>
    <mergeCell ref="B777:C777"/>
    <mergeCell ref="B823:C823"/>
    <mergeCell ref="B33:C33"/>
    <mergeCell ref="B445:C445"/>
    <mergeCell ref="B226:C226"/>
    <mergeCell ref="B283:C283"/>
    <mergeCell ref="B352:C352"/>
    <mergeCell ref="B381:C381"/>
    <mergeCell ref="B1:I1"/>
    <mergeCell ref="B3:C3"/>
    <mergeCell ref="E3:F3"/>
    <mergeCell ref="G3:H3"/>
    <mergeCell ref="B95:C95"/>
  </mergeCells>
  <phoneticPr fontId="3" type="noConversion"/>
  <conditionalFormatting sqref="E848:I848 E764:I764 E737:I737 E759:I762 E767:I767 E724:I724 J743 E750:J750 E756:J756 E763:J763 E766:J766 E774:J774 E776:J777 E835:J835 J844 E852:J852 J856 J869 J725 J727 E731:J731 J735 J453 J457 J460 J469 J477 F463:J463 E847:J847 E867:I869 E841:I841 E844:I845 E862:J862 E769:I773 E816:I818 E865:I865 E448:I448 E741:I743 E798:I798 E468:I469 N847 N463 N477 N469 N460 N457 N453 N451 N735 N731 N727 N725 N869:N870 N862 N856 N852 N844 N835 N776:N777 N774 N766 N763 N756 N750 N743 N814 N791 N822:N823 N817 N808 N806 N803 N800 N795 N788 N784 N840 N865 E870:M870 E732:I735 E451:J451 E860:I861 E834:I834 E745:I746 J474 N474 E781:I783 E751:I755 E453:I454 E775:I775 E474:I475 E853:I857 E800:I809 N471 E471:J471 E824:I830">
    <cfRule type="cellIs" dxfId="472" priority="532" stopIfTrue="1" operator="equal">
      <formula>0</formula>
    </cfRule>
  </conditionalFormatting>
  <conditionalFormatting sqref="E866:I866">
    <cfRule type="cellIs" dxfId="471" priority="531" stopIfTrue="1" operator="equal">
      <formula>0</formula>
    </cfRule>
  </conditionalFormatting>
  <conditionalFormatting sqref="E765:I765">
    <cfRule type="cellIs" dxfId="470" priority="530" stopIfTrue="1" operator="equal">
      <formula>0</formula>
    </cfRule>
  </conditionalFormatting>
  <conditionalFormatting sqref="E740:H740">
    <cfRule type="cellIs" dxfId="469" priority="529" stopIfTrue="1" operator="equal">
      <formula>0</formula>
    </cfRule>
  </conditionalFormatting>
  <conditionalFormatting sqref="I740">
    <cfRule type="cellIs" dxfId="468" priority="528" stopIfTrue="1" operator="equal">
      <formula>0</formula>
    </cfRule>
  </conditionalFormatting>
  <conditionalFormatting sqref="E725:I728">
    <cfRule type="cellIs" dxfId="467" priority="527" stopIfTrue="1" operator="equal">
      <formula>0</formula>
    </cfRule>
  </conditionalFormatting>
  <conditionalFormatting sqref="E722:I722">
    <cfRule type="cellIs" dxfId="466" priority="526" stopIfTrue="1" operator="equal">
      <formula>0</formula>
    </cfRule>
  </conditionalFormatting>
  <conditionalFormatting sqref="E464:I464 E463 E477:I477 E457:I458 E460:I461">
    <cfRule type="cellIs" dxfId="465" priority="525" stopIfTrue="1" operator="equal">
      <formula>0</formula>
    </cfRule>
  </conditionalFormatting>
  <conditionalFormatting sqref="E452:I452">
    <cfRule type="cellIs" dxfId="464" priority="524" stopIfTrue="1" operator="equal">
      <formula>0</formula>
    </cfRule>
  </conditionalFormatting>
  <conditionalFormatting sqref="J847:J848 J606:J607 J224:J227 J359 J342:K343 J244:J245 J243:K243 J679:J680 J593:K594 J76:K76 J841 J587:J588 J844:J845 J740:K743 J308:K312 J609:K610 J306 J305:K305 J296:K296 J221:K221 J399:K399 J258 J411:K412 J590:K590 J865:K865 J363:K367 J569:K572 J565:J567 J794:K795 J123:K124 J27:K27 J16:K17 J29:K30 J373:K375 J596:K601 J477:J480 L215:M215 N246 L249:N249 L251:N251 N250 N252 L253:N253 N258 N285 N314 L315:N316 N317 N320 L321:N323 L325:N326 N324 N327 L328:N329 L331:N331 N330 N332 L333:N334 L336:N336 N335 N338 N457 N460 L461:N461 N463 L478:N479 N477 N480 N544 N547 L548:N548 N551 N565 N587 N606 L680:N680 N679 N683 L691:N691 N690 N692 L693:N693 L695:N695 N694 N696 N701 N788 L789:N790 N791 L841:N841 N840 N844 L845:N846 L848:N848 N847 N852 N856 L481:N487 J32:K34 L27:N34 J618:K621 L318:N319 L227:N227 J463:J464 J39:N39 J369:K371 J85:N86 J82:N83 L564:N564 J88:K88 L88:N89 J313:J336 J490:N491 J23:N23 J297:N300 L545:N546 J544:J547 J561:N562 L241:N245 L603:N603 L851:N851 J583:N584 J714:N714 L75:N76 J246:K246 J20:N21 L605:N605 J12:N13 J126:M126 J55:K57 L607:N610 J444:N448 J860:K862 J798:N798 J797:K797 L792:N797 L15:N17 J256:K256 L256:N257 L122:M124 J834:N835 J707:N710 J574:K577 L566:N577 J377:N382 L702:N704 J259:N259 L219:M223 J285:K285 L593:N601 L706:N706 L739:N743 J403:K409 L402:N412 J71:N72 J63:N67 L511:N513 J358:N358 L359:N359 J457:J458 J579:N580 J497:N497 J496:K496 L495:N496 J493:N494 J472 J499:N500 J750:K751 J745:N746 J92:N92 J812:K824 J481:K481 L498:N498 J118:M120 L857:N865 L830:N831 J830:K830 L838:N839 J552:N556 J558:N559 L697:N700 J699:K703 J460:J461 L454:N456 J451:N453 J200:M204 L747:N751 J542:K542 L542:N543 N290 N302 L301:N301 J549:N550 J753:K756 J752:N752 L449:N450 J454:K454 J355:K357 J293:N293 J69:N69 J611:N613 J8:K9 L8:N10 N288 J288:K288 J286:N287 J58:N58 J60:N60 L56:N57 J42:N52 J392:N396 J639:J640 J650:K651 J633:K633 J635:K636 L640:N640 J642:K648 L642:N651 J630:K631 J626:N629 L630:N636 J637:N638 J5:N7 J247 N248 L247:N247 J248:K253 L289:N289 L458:N458 J459:N459 J758:K767 L397:N399 J483:K489 L303:N313 J266:N268 L582:N582 J581:K582 J384:N389 J769:K777 J717:N737 J217:M217 J94:N96 J216:K216 J206:M207 J187:M187 J474:N475 J345:K353 L853:N855 L685:N689 J683:J697 J653:N658 J212:K214 L212:M213 J234:K238 L234:N239 J229:N233 L294:N296 J866:N870 J852:K857 J800:K809 L800:N824 J677:K677 L677:N678 J674:N676 J263:K264 L262:N264 J661:N671 L585:N586 J470 J468:K469 J471:K471 L464:N472 J189:M193 J622:N623 J271:N284 L588:N588 L361:N375 J97:M116 N97:N128 J129:N181 J514:N530 J182:M185 J825:N829 J198:K199 L197:M199 L339:N357 J338:K340 J194:N195 N182:N193 J414:N435 J438:N441 J779:K784 L753:N787 J77:N79 N292 L291:N291 J209:M211 N196:N225 L590:N591 L614:N621 J503:N507">
    <cfRule type="cellIs" dxfId="463" priority="522" operator="equal">
      <formula>0</formula>
    </cfRule>
  </conditionalFormatting>
  <conditionalFormatting sqref="J568">
    <cfRule type="cellIs" dxfId="462" priority="521" operator="equal">
      <formula>0</formula>
    </cfRule>
  </conditionalFormatting>
  <conditionalFormatting sqref="J362">
    <cfRule type="cellIs" dxfId="461" priority="520" operator="equal">
      <formula>0</formula>
    </cfRule>
  </conditionalFormatting>
  <conditionalFormatting sqref="J591">
    <cfRule type="cellIs" dxfId="460" priority="519" operator="equal">
      <formula>0</formula>
    </cfRule>
  </conditionalFormatting>
  <conditionalFormatting sqref="E846:I846">
    <cfRule type="cellIs" dxfId="459" priority="518" stopIfTrue="1" operator="equal">
      <formula>0</formula>
    </cfRule>
  </conditionalFormatting>
  <conditionalFormatting sqref="J846">
    <cfRule type="cellIs" dxfId="458" priority="517" operator="equal">
      <formula>0</formula>
    </cfRule>
  </conditionalFormatting>
  <conditionalFormatting sqref="J605">
    <cfRule type="cellIs" dxfId="457" priority="516" operator="equal">
      <formula>0</formula>
    </cfRule>
  </conditionalFormatting>
  <conditionalFormatting sqref="J341">
    <cfRule type="cellIs" dxfId="456" priority="515" operator="equal">
      <formula>0</formula>
    </cfRule>
  </conditionalFormatting>
  <conditionalFormatting sqref="J215">
    <cfRule type="cellIs" dxfId="455" priority="514" operator="equal">
      <formula>0</formula>
    </cfRule>
  </conditionalFormatting>
  <conditionalFormatting sqref="J222">
    <cfRule type="cellIs" dxfId="454" priority="513" operator="equal">
      <formula>0</formula>
    </cfRule>
  </conditionalFormatting>
  <conditionalFormatting sqref="J564">
    <cfRule type="cellIs" dxfId="453" priority="511" operator="equal">
      <formula>0</formula>
    </cfRule>
  </conditionalFormatting>
  <conditionalFormatting sqref="E730:I730">
    <cfRule type="cellIs" dxfId="452" priority="510" stopIfTrue="1" operator="equal">
      <formula>0</formula>
    </cfRule>
  </conditionalFormatting>
  <conditionalFormatting sqref="J749">
    <cfRule type="cellIs" dxfId="451" priority="508" operator="equal">
      <formula>0</formula>
    </cfRule>
  </conditionalFormatting>
  <conditionalFormatting sqref="E749:I749">
    <cfRule type="cellIs" dxfId="450" priority="509" stopIfTrue="1" operator="equal">
      <formula>0</formula>
    </cfRule>
  </conditionalFormatting>
  <conditionalFormatting sqref="J482">
    <cfRule type="cellIs" dxfId="449" priority="507" operator="equal">
      <formula>0</formula>
    </cfRule>
  </conditionalFormatting>
  <conditionalFormatting sqref="J155">
    <cfRule type="cellIs" dxfId="448" priority="506" operator="equal">
      <formula>0</formula>
    </cfRule>
  </conditionalFormatting>
  <conditionalFormatting sqref="J138">
    <cfRule type="cellIs" dxfId="447" priority="505" operator="equal">
      <formula>0</formula>
    </cfRule>
  </conditionalFormatting>
  <conditionalFormatting sqref="J89">
    <cfRule type="cellIs" dxfId="446" priority="504" operator="equal">
      <formula>0</formula>
    </cfRule>
  </conditionalFormatting>
  <conditionalFormatting sqref="E792:I792 E813:I813 E784:J784 J788 E795:J795 J800 J803 J806 J808 J817 J822:J823 E791:J791 E819:I823 E814:J814 E778:I778 E785:I789">
    <cfRule type="cellIs" dxfId="445" priority="503" stopIfTrue="1" operator="equal">
      <formula>0</formula>
    </cfRule>
  </conditionalFormatting>
  <conditionalFormatting sqref="E794:I794">
    <cfRule type="cellIs" dxfId="444" priority="502" stopIfTrue="1" operator="equal">
      <formula>0</formula>
    </cfRule>
  </conditionalFormatting>
  <conditionalFormatting sqref="E812:I812">
    <cfRule type="cellIs" dxfId="443" priority="501" stopIfTrue="1" operator="equal">
      <formula>0</formula>
    </cfRule>
  </conditionalFormatting>
  <conditionalFormatting sqref="E815:I815">
    <cfRule type="cellIs" dxfId="442" priority="500" stopIfTrue="1" operator="equal">
      <formula>0</formula>
    </cfRule>
  </conditionalFormatting>
  <conditionalFormatting sqref="J791:J792 J778 J785:J789">
    <cfRule type="cellIs" dxfId="441" priority="499" operator="equal">
      <formula>0</formula>
    </cfRule>
  </conditionalFormatting>
  <conditionalFormatting sqref="E790:I790">
    <cfRule type="cellIs" dxfId="440" priority="498" stopIfTrue="1" operator="equal">
      <formula>0</formula>
    </cfRule>
  </conditionalFormatting>
  <conditionalFormatting sqref="J790">
    <cfRule type="cellIs" dxfId="439" priority="497" operator="equal">
      <formula>0</formula>
    </cfRule>
  </conditionalFormatting>
  <conditionalFormatting sqref="E851:I851">
    <cfRule type="cellIs" dxfId="438" priority="496" stopIfTrue="1" operator="equal">
      <formula>0</formula>
    </cfRule>
  </conditionalFormatting>
  <conditionalFormatting sqref="J851">
    <cfRule type="cellIs" dxfId="437" priority="495" operator="equal">
      <formula>0</formula>
    </cfRule>
  </conditionalFormatting>
  <conditionalFormatting sqref="J513">
    <cfRule type="cellIs" dxfId="436" priority="494" operator="equal">
      <formula>0</formula>
    </cfRule>
  </conditionalFormatting>
  <conditionalFormatting sqref="K451:M451 K453:M453 K457:M457 K460:M460 K463:M463 K469:M469 K477:M477 K725:M725 K727:M727 K731:M731 K735:M735 K743:M743 K750:M750 K756:M756 K763:M763 K766:M766 K774:M774 K776:M777 K835:M835 K844:M844 K847:M847 K852:M852 K856:M856 K862:M862 K869:M869 N777 K474:M474 K471:M471">
    <cfRule type="cellIs" dxfId="435" priority="493" stopIfTrue="1" operator="equal">
      <formula>0</formula>
    </cfRule>
  </conditionalFormatting>
  <conditionalFormatting sqref="K107:K109 K847:K848 K606:K607 K224:K227 K156:K157 K359 K244:K245 K679:K680 K841 K587:K588 K844:K845 K306 K565:K567 K477:K480 L55:N55 L131:M131 L134:M134 L214:M214 L216:M216 L108:M108 L112:M112 L224:M225 L246:M246 L250:M250 L252:M252 K258:M258 L285:M285 L314:M314 L317:M317 L320:M320 L324:M324 L327:M327 L330:M330 L332:M332 L335:M335 L338:M338 L457:M457 L460:M460 K463:M463 L477:M477 L480:M480 L544:M544 L547:M547 L565:M565 L587:M587 L606:M606 L679:M679 L683:M683 L690:M690 L692:M692 L694:M694 L696:M696 L701:M701 L844:M844 L847:M847 L852:M852 L856:M856 L226:N226 L684:N684 K464 K313:K336 K544:K547 K111:K113 K457:K458 K460:K461 L288:M288 K247 L248:M248 K683:K697">
    <cfRule type="cellIs" dxfId="434" priority="492" operator="equal">
      <formula>0</formula>
    </cfRule>
  </conditionalFormatting>
  <conditionalFormatting sqref="K568">
    <cfRule type="cellIs" dxfId="433" priority="491" operator="equal">
      <formula>0</formula>
    </cfRule>
  </conditionalFormatting>
  <conditionalFormatting sqref="K362">
    <cfRule type="cellIs" dxfId="432" priority="490" operator="equal">
      <formula>0</formula>
    </cfRule>
  </conditionalFormatting>
  <conditionalFormatting sqref="K591">
    <cfRule type="cellIs" dxfId="431" priority="489" operator="equal">
      <formula>0</formula>
    </cfRule>
  </conditionalFormatting>
  <conditionalFormatting sqref="K846">
    <cfRule type="cellIs" dxfId="430" priority="488" operator="equal">
      <formula>0</formula>
    </cfRule>
  </conditionalFormatting>
  <conditionalFormatting sqref="K605">
    <cfRule type="cellIs" dxfId="429" priority="487" operator="equal">
      <formula>0</formula>
    </cfRule>
  </conditionalFormatting>
  <conditionalFormatting sqref="K341">
    <cfRule type="cellIs" dxfId="428" priority="486" operator="equal">
      <formula>0</formula>
    </cfRule>
  </conditionalFormatting>
  <conditionalFormatting sqref="K215">
    <cfRule type="cellIs" dxfId="427" priority="485" operator="equal">
      <formula>0</formula>
    </cfRule>
  </conditionalFormatting>
  <conditionalFormatting sqref="K222">
    <cfRule type="cellIs" dxfId="426" priority="484" operator="equal">
      <formula>0</formula>
    </cfRule>
  </conditionalFormatting>
  <conditionalFormatting sqref="K564">
    <cfRule type="cellIs" dxfId="425" priority="482" operator="equal">
      <formula>0</formula>
    </cfRule>
  </conditionalFormatting>
  <conditionalFormatting sqref="K749">
    <cfRule type="cellIs" dxfId="424" priority="481" operator="equal">
      <formula>0</formula>
    </cfRule>
  </conditionalFormatting>
  <conditionalFormatting sqref="K482">
    <cfRule type="cellIs" dxfId="423" priority="480" operator="equal">
      <formula>0</formula>
    </cfRule>
  </conditionalFormatting>
  <conditionalFormatting sqref="K155">
    <cfRule type="cellIs" dxfId="422" priority="479" operator="equal">
      <formula>0</formula>
    </cfRule>
  </conditionalFormatting>
  <conditionalFormatting sqref="K138">
    <cfRule type="cellIs" dxfId="421" priority="478" operator="equal">
      <formula>0</formula>
    </cfRule>
  </conditionalFormatting>
  <conditionalFormatting sqref="K89">
    <cfRule type="cellIs" dxfId="420" priority="477" operator="equal">
      <formula>0</formula>
    </cfRule>
  </conditionalFormatting>
  <conditionalFormatting sqref="K791:K792 K778 L788:M788 L791:M791 K785:K789">
    <cfRule type="cellIs" dxfId="419" priority="475" operator="equal">
      <formula>0</formula>
    </cfRule>
  </conditionalFormatting>
  <conditionalFormatting sqref="K822:K823 K784:M784 K788:M788 K791:M791 K795:M795 K800:M800 K803:M803 K806:M806 K808:M808 K814:M814 K817:M817 L822:M822 L823:N823">
    <cfRule type="cellIs" dxfId="418" priority="476" stopIfTrue="1" operator="equal">
      <formula>0</formula>
    </cfRule>
  </conditionalFormatting>
  <conditionalFormatting sqref="K790">
    <cfRule type="cellIs" dxfId="417" priority="474" operator="equal">
      <formula>0</formula>
    </cfRule>
  </conditionalFormatting>
  <conditionalFormatting sqref="K851">
    <cfRule type="cellIs" dxfId="416" priority="473" operator="equal">
      <formula>0</formula>
    </cfRule>
  </conditionalFormatting>
  <conditionalFormatting sqref="K513">
    <cfRule type="cellIs" dxfId="415" priority="472" operator="equal">
      <formula>0</formula>
    </cfRule>
  </conditionalFormatting>
  <conditionalFormatting sqref="J294:J295">
    <cfRule type="cellIs" dxfId="414" priority="471" operator="equal">
      <formula>0</formula>
    </cfRule>
  </conditionalFormatting>
  <conditionalFormatting sqref="K294:K295">
    <cfRule type="cellIs" dxfId="413" priority="470" operator="equal">
      <formula>0</formula>
    </cfRule>
  </conditionalFormatting>
  <conditionalFormatting sqref="J372:K372">
    <cfRule type="cellIs" dxfId="412" priority="469" operator="equal">
      <formula>0</formula>
    </cfRule>
  </conditionalFormatting>
  <conditionalFormatting sqref="J239">
    <cfRule type="cellIs" dxfId="411" priority="468" operator="equal">
      <formula>0</formula>
    </cfRule>
  </conditionalFormatting>
  <conditionalFormatting sqref="J242">
    <cfRule type="cellIs" dxfId="410" priority="467" operator="equal">
      <formula>0</formula>
    </cfRule>
  </conditionalFormatting>
  <conditionalFormatting sqref="K239">
    <cfRule type="cellIs" dxfId="409" priority="466" operator="equal">
      <formula>0</formula>
    </cfRule>
  </conditionalFormatting>
  <conditionalFormatting sqref="K242">
    <cfRule type="cellIs" dxfId="408" priority="465" operator="equal">
      <formula>0</formula>
    </cfRule>
  </conditionalFormatting>
  <conditionalFormatting sqref="J307">
    <cfRule type="cellIs" dxfId="407" priority="464" operator="equal">
      <formula>0</formula>
    </cfRule>
  </conditionalFormatting>
  <conditionalFormatting sqref="K307">
    <cfRule type="cellIs" dxfId="406" priority="463" operator="equal">
      <formula>0</formula>
    </cfRule>
  </conditionalFormatting>
  <conditionalFormatting sqref="J344:K344">
    <cfRule type="cellIs" dxfId="405" priority="462" operator="equal">
      <formula>0</formula>
    </cfRule>
  </conditionalFormatting>
  <conditionalFormatting sqref="J398:K398">
    <cfRule type="cellIs" dxfId="404" priority="459" operator="equal">
      <formula>0</formula>
    </cfRule>
  </conditionalFormatting>
  <conditionalFormatting sqref="J220:K220">
    <cfRule type="cellIs" dxfId="403" priority="458" operator="equal">
      <formula>0</formula>
    </cfRule>
  </conditionalFormatting>
  <conditionalFormatting sqref="J223">
    <cfRule type="cellIs" dxfId="402" priority="457" operator="equal">
      <formula>0</formula>
    </cfRule>
  </conditionalFormatting>
  <conditionalFormatting sqref="K543">
    <cfRule type="cellIs" dxfId="401" priority="453" operator="equal">
      <formula>0</formula>
    </cfRule>
  </conditionalFormatting>
  <conditionalFormatting sqref="J512">
    <cfRule type="cellIs" dxfId="400" priority="452" operator="equal">
      <formula>0</formula>
    </cfRule>
  </conditionalFormatting>
  <conditionalFormatting sqref="K223">
    <cfRule type="cellIs" dxfId="399" priority="456" operator="equal">
      <formula>0</formula>
    </cfRule>
  </conditionalFormatting>
  <conditionalFormatting sqref="J197:K197">
    <cfRule type="cellIs" dxfId="398" priority="455" operator="equal">
      <formula>0</formula>
    </cfRule>
  </conditionalFormatting>
  <conditionalFormatting sqref="J543">
    <cfRule type="cellIs" dxfId="397" priority="454" operator="equal">
      <formula>0</formula>
    </cfRule>
  </conditionalFormatting>
  <conditionalFormatting sqref="K512">
    <cfRule type="cellIs" dxfId="396" priority="451" operator="equal">
      <formula>0</formula>
    </cfRule>
  </conditionalFormatting>
  <conditionalFormatting sqref="J608">
    <cfRule type="cellIs" dxfId="395" priority="448" operator="equal">
      <formula>0</formula>
    </cfRule>
  </conditionalFormatting>
  <conditionalFormatting sqref="K608">
    <cfRule type="cellIs" dxfId="394" priority="447" operator="equal">
      <formula>0</formula>
    </cfRule>
  </conditionalFormatting>
  <conditionalFormatting sqref="E768:I768">
    <cfRule type="cellIs" dxfId="393" priority="446" stopIfTrue="1" operator="equal">
      <formula>0</formula>
    </cfRule>
  </conditionalFormatting>
  <conditionalFormatting sqref="J768:K768">
    <cfRule type="cellIs" dxfId="392" priority="445" operator="equal">
      <formula>0</formula>
    </cfRule>
  </conditionalFormatting>
  <conditionalFormatting sqref="E739:H739">
    <cfRule type="cellIs" dxfId="391" priority="444" stopIfTrue="1" operator="equal">
      <formula>0</formula>
    </cfRule>
  </conditionalFormatting>
  <conditionalFormatting sqref="I739">
    <cfRule type="cellIs" dxfId="390" priority="443" stopIfTrue="1" operator="equal">
      <formula>0</formula>
    </cfRule>
  </conditionalFormatting>
  <conditionalFormatting sqref="J739">
    <cfRule type="cellIs" dxfId="389" priority="442" operator="equal">
      <formula>0</formula>
    </cfRule>
  </conditionalFormatting>
  <conditionalFormatting sqref="K739">
    <cfRule type="cellIs" dxfId="388" priority="441" operator="equal">
      <formula>0</formula>
    </cfRule>
  </conditionalFormatting>
  <conditionalFormatting sqref="J262">
    <cfRule type="cellIs" dxfId="387" priority="440" operator="equal">
      <formula>0</formula>
    </cfRule>
  </conditionalFormatting>
  <conditionalFormatting sqref="K262">
    <cfRule type="cellIs" dxfId="386" priority="439" operator="equal">
      <formula>0</formula>
    </cfRule>
  </conditionalFormatting>
  <conditionalFormatting sqref="J122:K122">
    <cfRule type="cellIs" dxfId="385" priority="438" operator="equal">
      <formula>0</formula>
    </cfRule>
  </conditionalFormatting>
  <conditionalFormatting sqref="J368">
    <cfRule type="cellIs" dxfId="384" priority="437" operator="equal">
      <formula>0</formula>
    </cfRule>
  </conditionalFormatting>
  <conditionalFormatting sqref="K368">
    <cfRule type="cellIs" dxfId="383" priority="436" operator="equal">
      <formula>0</formula>
    </cfRule>
  </conditionalFormatting>
  <conditionalFormatting sqref="J595">
    <cfRule type="cellIs" dxfId="382" priority="435" operator="equal">
      <formula>0</formula>
    </cfRule>
  </conditionalFormatting>
  <conditionalFormatting sqref="K595">
    <cfRule type="cellIs" dxfId="381" priority="434" operator="equal">
      <formula>0</formula>
    </cfRule>
  </conditionalFormatting>
  <conditionalFormatting sqref="E838:I838 E840:J840">
    <cfRule type="cellIs" dxfId="380" priority="433" stopIfTrue="1" operator="equal">
      <formula>0</formula>
    </cfRule>
  </conditionalFormatting>
  <conditionalFormatting sqref="J838 J840">
    <cfRule type="cellIs" dxfId="379" priority="432" operator="equal">
      <formula>0</formula>
    </cfRule>
  </conditionalFormatting>
  <conditionalFormatting sqref="E839:I839">
    <cfRule type="cellIs" dxfId="378" priority="431" stopIfTrue="1" operator="equal">
      <formula>0</formula>
    </cfRule>
  </conditionalFormatting>
  <conditionalFormatting sqref="J839">
    <cfRule type="cellIs" dxfId="377" priority="430" operator="equal">
      <formula>0</formula>
    </cfRule>
  </conditionalFormatting>
  <conditionalFormatting sqref="K840:M840">
    <cfRule type="cellIs" dxfId="376" priority="429" stopIfTrue="1" operator="equal">
      <formula>0</formula>
    </cfRule>
  </conditionalFormatting>
  <conditionalFormatting sqref="K838 K840:M840">
    <cfRule type="cellIs" dxfId="375" priority="428" operator="equal">
      <formula>0</formula>
    </cfRule>
  </conditionalFormatting>
  <conditionalFormatting sqref="K839">
    <cfRule type="cellIs" dxfId="374" priority="427" operator="equal">
      <formula>0</formula>
    </cfRule>
  </conditionalFormatting>
  <conditionalFormatting sqref="J585:J586">
    <cfRule type="cellIs" dxfId="373" priority="426" operator="equal">
      <formula>0</formula>
    </cfRule>
  </conditionalFormatting>
  <conditionalFormatting sqref="K585:K586">
    <cfRule type="cellIs" dxfId="372" priority="425" operator="equal">
      <formula>0</formula>
    </cfRule>
  </conditionalFormatting>
  <conditionalFormatting sqref="J865 E863:I863">
    <cfRule type="cellIs" dxfId="371" priority="424" stopIfTrue="1" operator="equal">
      <formula>0</formula>
    </cfRule>
  </conditionalFormatting>
  <conditionalFormatting sqref="J863">
    <cfRule type="cellIs" dxfId="370" priority="423" operator="equal">
      <formula>0</formula>
    </cfRule>
  </conditionalFormatting>
  <conditionalFormatting sqref="E864:I864">
    <cfRule type="cellIs" dxfId="369" priority="422" stopIfTrue="1" operator="equal">
      <formula>0</formula>
    </cfRule>
  </conditionalFormatting>
  <conditionalFormatting sqref="J864">
    <cfRule type="cellIs" dxfId="368" priority="421" operator="equal">
      <formula>0</formula>
    </cfRule>
  </conditionalFormatting>
  <conditionalFormatting sqref="K865:M865">
    <cfRule type="cellIs" dxfId="367" priority="420" stopIfTrue="1" operator="equal">
      <formula>0</formula>
    </cfRule>
  </conditionalFormatting>
  <conditionalFormatting sqref="K863">
    <cfRule type="cellIs" dxfId="366" priority="419" operator="equal">
      <formula>0</formula>
    </cfRule>
  </conditionalFormatting>
  <conditionalFormatting sqref="K864">
    <cfRule type="cellIs" dxfId="365" priority="418" operator="equal">
      <formula>0</formula>
    </cfRule>
  </conditionalFormatting>
  <conditionalFormatting sqref="J10">
    <cfRule type="cellIs" dxfId="364" priority="417" operator="equal">
      <formula>0</formula>
    </cfRule>
  </conditionalFormatting>
  <conditionalFormatting sqref="K10">
    <cfRule type="cellIs" dxfId="363" priority="416" operator="equal">
      <formula>0</formula>
    </cfRule>
  </conditionalFormatting>
  <conditionalFormatting sqref="J548 J551">
    <cfRule type="cellIs" dxfId="362" priority="415" operator="equal">
      <formula>0</formula>
    </cfRule>
  </conditionalFormatting>
  <conditionalFormatting sqref="K548 K551:M551">
    <cfRule type="cellIs" dxfId="361" priority="414" operator="equal">
      <formula>0</formula>
    </cfRule>
  </conditionalFormatting>
  <conditionalFormatting sqref="E810:I811">
    <cfRule type="cellIs" dxfId="360" priority="413" stopIfTrue="1" operator="equal">
      <formula>0</formula>
    </cfRule>
  </conditionalFormatting>
  <conditionalFormatting sqref="J810:J811">
    <cfRule type="cellIs" dxfId="359" priority="412" operator="equal">
      <formula>0</formula>
    </cfRule>
  </conditionalFormatting>
  <conditionalFormatting sqref="K810:K811">
    <cfRule type="cellIs" dxfId="358" priority="411" operator="equal">
      <formula>0</formula>
    </cfRule>
  </conditionalFormatting>
  <conditionalFormatting sqref="E858:I859">
    <cfRule type="cellIs" dxfId="357" priority="410" stopIfTrue="1" operator="equal">
      <formula>0</formula>
    </cfRule>
  </conditionalFormatting>
  <conditionalFormatting sqref="J858:J859">
    <cfRule type="cellIs" dxfId="356" priority="409" operator="equal">
      <formula>0</formula>
    </cfRule>
  </conditionalFormatting>
  <conditionalFormatting sqref="K858:K859">
    <cfRule type="cellIs" dxfId="355" priority="408" operator="equal">
      <formula>0</formula>
    </cfRule>
  </conditionalFormatting>
  <conditionalFormatting sqref="J410">
    <cfRule type="cellIs" dxfId="354" priority="407" operator="equal">
      <formula>0</formula>
    </cfRule>
  </conditionalFormatting>
  <conditionalFormatting sqref="K410">
    <cfRule type="cellIs" dxfId="353" priority="406" operator="equal">
      <formula>0</formula>
    </cfRule>
  </conditionalFormatting>
  <conditionalFormatting sqref="J15:K15">
    <cfRule type="cellIs" dxfId="352" priority="405" operator="equal">
      <formula>0</formula>
    </cfRule>
  </conditionalFormatting>
  <conditionalFormatting sqref="J617">
    <cfRule type="cellIs" dxfId="351" priority="401" operator="equal">
      <formula>0</formula>
    </cfRule>
  </conditionalFormatting>
  <conditionalFormatting sqref="K617">
    <cfRule type="cellIs" dxfId="350" priority="400" operator="equal">
      <formula>0</formula>
    </cfRule>
  </conditionalFormatting>
  <conditionalFormatting sqref="J698">
    <cfRule type="cellIs" dxfId="349" priority="403" operator="equal">
      <formula>0</formula>
    </cfRule>
  </conditionalFormatting>
  <conditionalFormatting sqref="K698">
    <cfRule type="cellIs" dxfId="348" priority="402" operator="equal">
      <formula>0</formula>
    </cfRule>
  </conditionalFormatting>
  <conditionalFormatting sqref="J143:J146">
    <cfRule type="cellIs" dxfId="347" priority="399" operator="equal">
      <formula>0</formula>
    </cfRule>
  </conditionalFormatting>
  <conditionalFormatting sqref="K143:K146">
    <cfRule type="cellIs" dxfId="346" priority="398" operator="equal">
      <formula>0</formula>
    </cfRule>
  </conditionalFormatting>
  <conditionalFormatting sqref="J303">
    <cfRule type="cellIs" dxfId="345" priority="397" operator="equal">
      <formula>0</formula>
    </cfRule>
  </conditionalFormatting>
  <conditionalFormatting sqref="K303">
    <cfRule type="cellIs" dxfId="344" priority="396" operator="equal">
      <formula>0</formula>
    </cfRule>
  </conditionalFormatting>
  <conditionalFormatting sqref="J304">
    <cfRule type="cellIs" dxfId="343" priority="395" operator="equal">
      <formula>0</formula>
    </cfRule>
  </conditionalFormatting>
  <conditionalFormatting sqref="K304">
    <cfRule type="cellIs" dxfId="342" priority="394" operator="equal">
      <formula>0</formula>
    </cfRule>
  </conditionalFormatting>
  <conditionalFormatting sqref="J678">
    <cfRule type="cellIs" dxfId="341" priority="393" operator="equal">
      <formula>0</formula>
    </cfRule>
  </conditionalFormatting>
  <conditionalFormatting sqref="K678">
    <cfRule type="cellIs" dxfId="340" priority="392" operator="equal">
      <formula>0</formula>
    </cfRule>
  </conditionalFormatting>
  <conditionalFormatting sqref="E793:I793">
    <cfRule type="cellIs" dxfId="339" priority="391" stopIfTrue="1" operator="equal">
      <formula>0</formula>
    </cfRule>
  </conditionalFormatting>
  <conditionalFormatting sqref="J793">
    <cfRule type="cellIs" dxfId="338" priority="390" operator="equal">
      <formula>0</formula>
    </cfRule>
  </conditionalFormatting>
  <conditionalFormatting sqref="K793">
    <cfRule type="cellIs" dxfId="337" priority="389" operator="equal">
      <formula>0</formula>
    </cfRule>
  </conditionalFormatting>
  <conditionalFormatting sqref="J257">
    <cfRule type="cellIs" dxfId="336" priority="388" operator="equal">
      <formula>0</formula>
    </cfRule>
  </conditionalFormatting>
  <conditionalFormatting sqref="K257">
    <cfRule type="cellIs" dxfId="335" priority="387" operator="equal">
      <formula>0</formula>
    </cfRule>
  </conditionalFormatting>
  <conditionalFormatting sqref="J361">
    <cfRule type="cellIs" dxfId="334" priority="382" operator="equal">
      <formula>0</formula>
    </cfRule>
  </conditionalFormatting>
  <conditionalFormatting sqref="K361">
    <cfRule type="cellIs" dxfId="333" priority="381" operator="equal">
      <formula>0</formula>
    </cfRule>
  </conditionalFormatting>
  <conditionalFormatting sqref="J614:J616">
    <cfRule type="cellIs" dxfId="332" priority="380" operator="equal">
      <formula>0</formula>
    </cfRule>
  </conditionalFormatting>
  <conditionalFormatting sqref="K614:K616">
    <cfRule type="cellIs" dxfId="331" priority="379" operator="equal">
      <formula>0</formula>
    </cfRule>
  </conditionalFormatting>
  <conditionalFormatting sqref="J511">
    <cfRule type="cellIs" dxfId="330" priority="378" operator="equal">
      <formula>0</formula>
    </cfRule>
  </conditionalFormatting>
  <conditionalFormatting sqref="K511">
    <cfRule type="cellIs" dxfId="329" priority="377" operator="equal">
      <formula>0</formula>
    </cfRule>
  </conditionalFormatting>
  <conditionalFormatting sqref="J31">
    <cfRule type="cellIs" dxfId="328" priority="372" operator="equal">
      <formula>0</formula>
    </cfRule>
  </conditionalFormatting>
  <conditionalFormatting sqref="K31">
    <cfRule type="cellIs" dxfId="327" priority="371" operator="equal">
      <formula>0</formula>
    </cfRule>
  </conditionalFormatting>
  <conditionalFormatting sqref="J747:J748">
    <cfRule type="cellIs" dxfId="326" priority="368" operator="equal">
      <formula>0</formula>
    </cfRule>
  </conditionalFormatting>
  <conditionalFormatting sqref="E748:I748">
    <cfRule type="cellIs" dxfId="325" priority="369" stopIfTrue="1" operator="equal">
      <formula>0</formula>
    </cfRule>
  </conditionalFormatting>
  <conditionalFormatting sqref="K747:K748">
    <cfRule type="cellIs" dxfId="324" priority="367" operator="equal">
      <formula>0</formula>
    </cfRule>
  </conditionalFormatting>
  <conditionalFormatting sqref="E467:I467">
    <cfRule type="cellIs" dxfId="323" priority="364" stopIfTrue="1" operator="equal">
      <formula>0</formula>
    </cfRule>
  </conditionalFormatting>
  <conditionalFormatting sqref="J465:J467">
    <cfRule type="cellIs" dxfId="322" priority="363" operator="equal">
      <formula>0</formula>
    </cfRule>
  </conditionalFormatting>
  <conditionalFormatting sqref="K465:K467">
    <cfRule type="cellIs" dxfId="321" priority="362" operator="equal">
      <formula>0</formula>
    </cfRule>
  </conditionalFormatting>
  <conditionalFormatting sqref="J603:K603">
    <cfRule type="cellIs" dxfId="320" priority="361" operator="equal">
      <formula>0</formula>
    </cfRule>
  </conditionalFormatting>
  <conditionalFormatting sqref="J28">
    <cfRule type="cellIs" dxfId="319" priority="360" operator="equal">
      <formula>0</formula>
    </cfRule>
  </conditionalFormatting>
  <conditionalFormatting sqref="K28">
    <cfRule type="cellIs" dxfId="318" priority="359" operator="equal">
      <formula>0</formula>
    </cfRule>
  </conditionalFormatting>
  <conditionalFormatting sqref="J75:K75">
    <cfRule type="cellIs" dxfId="317" priority="358" operator="equal">
      <formula>0</formula>
    </cfRule>
  </conditionalFormatting>
  <conditionalFormatting sqref="J182:K182">
    <cfRule type="cellIs" dxfId="316" priority="357" operator="equal">
      <formula>0</formula>
    </cfRule>
  </conditionalFormatting>
  <conditionalFormatting sqref="J354:K354">
    <cfRule type="cellIs" dxfId="315" priority="356" operator="equal">
      <formula>0</formula>
    </cfRule>
  </conditionalFormatting>
  <conditionalFormatting sqref="J219:K219">
    <cfRule type="cellIs" dxfId="314" priority="355" operator="equal">
      <formula>0</formula>
    </cfRule>
  </conditionalFormatting>
  <conditionalFormatting sqref="J241">
    <cfRule type="cellIs" dxfId="313" priority="354" operator="equal">
      <formula>0</formula>
    </cfRule>
  </conditionalFormatting>
  <conditionalFormatting sqref="K241">
    <cfRule type="cellIs" dxfId="312" priority="353" operator="equal">
      <formula>0</formula>
    </cfRule>
  </conditionalFormatting>
  <conditionalFormatting sqref="J573:K573">
    <cfRule type="cellIs" dxfId="311" priority="352" operator="equal">
      <formula>0</formula>
    </cfRule>
  </conditionalFormatting>
  <conditionalFormatting sqref="L91:N91">
    <cfRule type="cellIs" dxfId="310" priority="348" operator="equal">
      <formula>0</formula>
    </cfRule>
  </conditionalFormatting>
  <conditionalFormatting sqref="J90:J91">
    <cfRule type="cellIs" dxfId="309" priority="347" operator="equal">
      <formula>0</formula>
    </cfRule>
  </conditionalFormatting>
  <conditionalFormatting sqref="K90:K91">
    <cfRule type="cellIs" dxfId="308" priority="346" operator="equal">
      <formula>0</formula>
    </cfRule>
  </conditionalFormatting>
  <conditionalFormatting sqref="J185 L185:M185">
    <cfRule type="cellIs" dxfId="307" priority="345" operator="equal">
      <formula>0</formula>
    </cfRule>
  </conditionalFormatting>
  <conditionalFormatting sqref="K185">
    <cfRule type="cellIs" dxfId="306" priority="344" operator="equal">
      <formula>0</formula>
    </cfRule>
  </conditionalFormatting>
  <conditionalFormatting sqref="J38:N38">
    <cfRule type="cellIs" dxfId="305" priority="343" operator="equal">
      <formula>0</formula>
    </cfRule>
  </conditionalFormatting>
  <conditionalFormatting sqref="J84:N84">
    <cfRule type="cellIs" dxfId="304" priority="342" operator="equal">
      <formula>0</formula>
    </cfRule>
  </conditionalFormatting>
  <conditionalFormatting sqref="J383:N383">
    <cfRule type="cellIs" dxfId="303" priority="341" operator="equal">
      <formula>0</formula>
    </cfRule>
  </conditionalFormatting>
  <conditionalFormatting sqref="L54:N54">
    <cfRule type="cellIs" dxfId="302" priority="340" operator="equal">
      <formula>0</formula>
    </cfRule>
  </conditionalFormatting>
  <conditionalFormatting sqref="J53:J54">
    <cfRule type="cellIs" dxfId="301" priority="339" operator="equal">
      <formula>0</formula>
    </cfRule>
  </conditionalFormatting>
  <conditionalFormatting sqref="K53:K54">
    <cfRule type="cellIs" dxfId="300" priority="338" operator="equal">
      <formula>0</formula>
    </cfRule>
  </conditionalFormatting>
  <conditionalFormatting sqref="L261:N261">
    <cfRule type="cellIs" dxfId="299" priority="337" operator="equal">
      <formula>0</formula>
    </cfRule>
  </conditionalFormatting>
  <conditionalFormatting sqref="J260:J261">
    <cfRule type="cellIs" dxfId="298" priority="336" operator="equal">
      <formula>0</formula>
    </cfRule>
  </conditionalFormatting>
  <conditionalFormatting sqref="K260:K261">
    <cfRule type="cellIs" dxfId="297" priority="335" operator="equal">
      <formula>0</formula>
    </cfRule>
  </conditionalFormatting>
  <conditionalFormatting sqref="L476:N476">
    <cfRule type="cellIs" dxfId="296" priority="334" operator="equal">
      <formula>0</formula>
    </cfRule>
  </conditionalFormatting>
  <conditionalFormatting sqref="J476">
    <cfRule type="cellIs" dxfId="295" priority="332" operator="equal">
      <formula>0</formula>
    </cfRule>
  </conditionalFormatting>
  <conditionalFormatting sqref="K476">
    <cfRule type="cellIs" dxfId="294" priority="331" operator="equal">
      <formula>0</formula>
    </cfRule>
  </conditionalFormatting>
  <conditionalFormatting sqref="E476:I476">
    <cfRule type="cellIs" dxfId="293" priority="333" stopIfTrue="1" operator="equal">
      <formula>0</formula>
    </cfRule>
  </conditionalFormatting>
  <conditionalFormatting sqref="J61 L61:N61">
    <cfRule type="cellIs" dxfId="292" priority="330" operator="equal">
      <formula>0</formula>
    </cfRule>
  </conditionalFormatting>
  <conditionalFormatting sqref="K61">
    <cfRule type="cellIs" dxfId="291" priority="329" operator="equal">
      <formula>0</formula>
    </cfRule>
  </conditionalFormatting>
  <conditionalFormatting sqref="L62:N62">
    <cfRule type="cellIs" dxfId="290" priority="328" operator="equal">
      <formula>0</formula>
    </cfRule>
  </conditionalFormatting>
  <conditionalFormatting sqref="J62">
    <cfRule type="cellIs" dxfId="289" priority="327" operator="equal">
      <formula>0</formula>
    </cfRule>
  </conditionalFormatting>
  <conditionalFormatting sqref="K62">
    <cfRule type="cellIs" dxfId="288" priority="326" operator="equal">
      <formula>0</formula>
    </cfRule>
  </conditionalFormatting>
  <conditionalFormatting sqref="N93">
    <cfRule type="cellIs" dxfId="287" priority="325" operator="equal">
      <formula>0</formula>
    </cfRule>
  </conditionalFormatting>
  <conditionalFormatting sqref="L673:N673">
    <cfRule type="cellIs" dxfId="286" priority="324" operator="equal">
      <formula>0</formula>
    </cfRule>
  </conditionalFormatting>
  <conditionalFormatting sqref="J673">
    <cfRule type="cellIs" dxfId="285" priority="323" operator="equal">
      <formula>0</formula>
    </cfRule>
  </conditionalFormatting>
  <conditionalFormatting sqref="K673">
    <cfRule type="cellIs" dxfId="284" priority="322" operator="equal">
      <formula>0</formula>
    </cfRule>
  </conditionalFormatting>
  <conditionalFormatting sqref="N80">
    <cfRule type="cellIs" dxfId="283" priority="321" operator="equal">
      <formula>0</formula>
    </cfRule>
  </conditionalFormatting>
  <conditionalFormatting sqref="J265:N265">
    <cfRule type="cellIs" dxfId="282" priority="320" operator="equal">
      <formula>0</formula>
    </cfRule>
  </conditionalFormatting>
  <conditionalFormatting sqref="L563:N563">
    <cfRule type="cellIs" dxfId="281" priority="319" operator="equal">
      <formula>0</formula>
    </cfRule>
  </conditionalFormatting>
  <conditionalFormatting sqref="J563">
    <cfRule type="cellIs" dxfId="280" priority="318" operator="equal">
      <formula>0</formula>
    </cfRule>
  </conditionalFormatting>
  <conditionalFormatting sqref="K563">
    <cfRule type="cellIs" dxfId="279" priority="317" operator="equal">
      <formula>0</formula>
    </cfRule>
  </conditionalFormatting>
  <conditionalFormatting sqref="E799:I799">
    <cfRule type="cellIs" dxfId="278" priority="316" stopIfTrue="1" operator="equal">
      <formula>0</formula>
    </cfRule>
  </conditionalFormatting>
  <conditionalFormatting sqref="J799:N799">
    <cfRule type="cellIs" dxfId="277" priority="315" operator="equal">
      <formula>0</formula>
    </cfRule>
  </conditionalFormatting>
  <conditionalFormatting sqref="J715:N716">
    <cfRule type="cellIs" dxfId="276" priority="314" operator="equal">
      <formula>0</formula>
    </cfRule>
  </conditionalFormatting>
  <conditionalFormatting sqref="L196:M196">
    <cfRule type="cellIs" dxfId="275" priority="313" operator="equal">
      <formula>0</formula>
    </cfRule>
  </conditionalFormatting>
  <conditionalFormatting sqref="J196:K196">
    <cfRule type="cellIs" dxfId="274" priority="312" operator="equal">
      <formula>0</formula>
    </cfRule>
  </conditionalFormatting>
  <conditionalFormatting sqref="L489:N489">
    <cfRule type="cellIs" dxfId="273" priority="311" operator="equal">
      <formula>0</formula>
    </cfRule>
  </conditionalFormatting>
  <conditionalFormatting sqref="J541 N541 J538:N538 L540:N540">
    <cfRule type="cellIs" dxfId="272" priority="310" operator="equal">
      <formula>0</formula>
    </cfRule>
  </conditionalFormatting>
  <conditionalFormatting sqref="K541:M541">
    <cfRule type="cellIs" dxfId="271" priority="309" operator="equal">
      <formula>0</formula>
    </cfRule>
  </conditionalFormatting>
  <conditionalFormatting sqref="K540">
    <cfRule type="cellIs" dxfId="270" priority="307" operator="equal">
      <formula>0</formula>
    </cfRule>
  </conditionalFormatting>
  <conditionalFormatting sqref="J540">
    <cfRule type="cellIs" dxfId="269" priority="308" operator="equal">
      <formula>0</formula>
    </cfRule>
  </conditionalFormatting>
  <conditionalFormatting sqref="L713:N713">
    <cfRule type="cellIs" dxfId="268" priority="306" operator="equal">
      <formula>0</formula>
    </cfRule>
  </conditionalFormatting>
  <conditionalFormatting sqref="J713">
    <cfRule type="cellIs" dxfId="267" priority="305" operator="equal">
      <formula>0</formula>
    </cfRule>
  </conditionalFormatting>
  <conditionalFormatting sqref="K713">
    <cfRule type="cellIs" dxfId="266" priority="304" operator="equal">
      <formula>0</formula>
    </cfRule>
  </conditionalFormatting>
  <conditionalFormatting sqref="L560:N560">
    <cfRule type="cellIs" dxfId="265" priority="303" operator="equal">
      <formula>0</formula>
    </cfRule>
  </conditionalFormatting>
  <conditionalFormatting sqref="J560">
    <cfRule type="cellIs" dxfId="264" priority="302" operator="equal">
      <formula>0</formula>
    </cfRule>
  </conditionalFormatting>
  <conditionalFormatting sqref="K560">
    <cfRule type="cellIs" dxfId="263" priority="301" operator="equal">
      <formula>0</formula>
    </cfRule>
  </conditionalFormatting>
  <conditionalFormatting sqref="J100:M100">
    <cfRule type="cellIs" dxfId="262" priority="300" operator="equal">
      <formula>0</formula>
    </cfRule>
  </conditionalFormatting>
  <conditionalFormatting sqref="L240:N240">
    <cfRule type="cellIs" dxfId="261" priority="299" operator="equal">
      <formula>0</formula>
    </cfRule>
  </conditionalFormatting>
  <conditionalFormatting sqref="J240">
    <cfRule type="cellIs" dxfId="260" priority="298" operator="equal">
      <formula>0</formula>
    </cfRule>
  </conditionalFormatting>
  <conditionalFormatting sqref="K240">
    <cfRule type="cellIs" dxfId="259" priority="297" operator="equal">
      <formula>0</formula>
    </cfRule>
  </conditionalFormatting>
  <conditionalFormatting sqref="L672:N672">
    <cfRule type="cellIs" dxfId="258" priority="296" operator="equal">
      <formula>0</formula>
    </cfRule>
  </conditionalFormatting>
  <conditionalFormatting sqref="J672">
    <cfRule type="cellIs" dxfId="257" priority="295" operator="equal">
      <formula>0</formula>
    </cfRule>
  </conditionalFormatting>
  <conditionalFormatting sqref="K672">
    <cfRule type="cellIs" dxfId="256" priority="294" operator="equal">
      <formula>0</formula>
    </cfRule>
  </conditionalFormatting>
  <conditionalFormatting sqref="J413:N413">
    <cfRule type="cellIs" dxfId="255" priority="293" operator="equal">
      <formula>0</formula>
    </cfRule>
  </conditionalFormatting>
  <conditionalFormatting sqref="L850:N850">
    <cfRule type="cellIs" dxfId="254" priority="292" operator="equal">
      <formula>0</formula>
    </cfRule>
  </conditionalFormatting>
  <conditionalFormatting sqref="E850:I850">
    <cfRule type="cellIs" dxfId="253" priority="291" stopIfTrue="1" operator="equal">
      <formula>0</formula>
    </cfRule>
  </conditionalFormatting>
  <conditionalFormatting sqref="J849:J850">
    <cfRule type="cellIs" dxfId="252" priority="290" operator="equal">
      <formula>0</formula>
    </cfRule>
  </conditionalFormatting>
  <conditionalFormatting sqref="K849:K850">
    <cfRule type="cellIs" dxfId="251" priority="289" operator="equal">
      <formula>0</formula>
    </cfRule>
  </conditionalFormatting>
  <conditionalFormatting sqref="L22:N22">
    <cfRule type="cellIs" dxfId="250" priority="288" operator="equal">
      <formula>0</formula>
    </cfRule>
  </conditionalFormatting>
  <conditionalFormatting sqref="J22">
    <cfRule type="cellIs" dxfId="249" priority="287" operator="equal">
      <formula>0</formula>
    </cfRule>
  </conditionalFormatting>
  <conditionalFormatting sqref="K22">
    <cfRule type="cellIs" dxfId="248" priority="286" operator="equal">
      <formula>0</formula>
    </cfRule>
  </conditionalFormatting>
  <conditionalFormatting sqref="J228:N228">
    <cfRule type="cellIs" dxfId="247" priority="285" operator="equal">
      <formula>0</formula>
    </cfRule>
  </conditionalFormatting>
  <conditionalFormatting sqref="L87:N87">
    <cfRule type="cellIs" dxfId="246" priority="284" operator="equal">
      <formula>0</formula>
    </cfRule>
  </conditionalFormatting>
  <conditionalFormatting sqref="J87">
    <cfRule type="cellIs" dxfId="245" priority="283" operator="equal">
      <formula>0</formula>
    </cfRule>
  </conditionalFormatting>
  <conditionalFormatting sqref="K87">
    <cfRule type="cellIs" dxfId="244" priority="282" operator="equal">
      <formula>0</formula>
    </cfRule>
  </conditionalFormatting>
  <conditionalFormatting sqref="L510:N510">
    <cfRule type="cellIs" dxfId="243" priority="281" operator="equal">
      <formula>0</formula>
    </cfRule>
  </conditionalFormatting>
  <conditionalFormatting sqref="J510">
    <cfRule type="cellIs" dxfId="242" priority="280" operator="equal">
      <formula>0</formula>
    </cfRule>
  </conditionalFormatting>
  <conditionalFormatting sqref="K510">
    <cfRule type="cellIs" dxfId="241" priority="279" operator="equal">
      <formula>0</formula>
    </cfRule>
  </conditionalFormatting>
  <conditionalFormatting sqref="E843:H843">
    <cfRule type="cellIs" dxfId="240" priority="278" stopIfTrue="1" operator="equal">
      <formula>0</formula>
    </cfRule>
  </conditionalFormatting>
  <conditionalFormatting sqref="L843:N843">
    <cfRule type="cellIs" dxfId="239" priority="277" operator="equal">
      <formula>0</formula>
    </cfRule>
  </conditionalFormatting>
  <conditionalFormatting sqref="I842:I843">
    <cfRule type="cellIs" dxfId="238" priority="276" stopIfTrue="1" operator="equal">
      <formula>0</formula>
    </cfRule>
  </conditionalFormatting>
  <conditionalFormatting sqref="J842:J843">
    <cfRule type="cellIs" dxfId="237" priority="275" operator="equal">
      <formula>0</formula>
    </cfRule>
  </conditionalFormatting>
  <conditionalFormatting sqref="K842:K843">
    <cfRule type="cellIs" dxfId="236" priority="274" operator="equal">
      <formula>0</formula>
    </cfRule>
  </conditionalFormatting>
  <conditionalFormatting sqref="L19:N19">
    <cfRule type="cellIs" dxfId="235" priority="273" operator="equal">
      <formula>0</formula>
    </cfRule>
  </conditionalFormatting>
  <conditionalFormatting sqref="J19:K19">
    <cfRule type="cellIs" dxfId="234" priority="272" operator="equal">
      <formula>0</formula>
    </cfRule>
  </conditionalFormatting>
  <conditionalFormatting sqref="J125:M125">
    <cfRule type="cellIs" dxfId="233" priority="271" operator="equal">
      <formula>0</formula>
    </cfRule>
  </conditionalFormatting>
  <conditionalFormatting sqref="L712:N712">
    <cfRule type="cellIs" dxfId="232" priority="270" operator="equal">
      <formula>0</formula>
    </cfRule>
  </conditionalFormatting>
  <conditionalFormatting sqref="J711:J712">
    <cfRule type="cellIs" dxfId="231" priority="269" operator="equal">
      <formula>0</formula>
    </cfRule>
  </conditionalFormatting>
  <conditionalFormatting sqref="K711:K712">
    <cfRule type="cellIs" dxfId="230" priority="268" operator="equal">
      <formula>0</formula>
    </cfRule>
  </conditionalFormatting>
  <conditionalFormatting sqref="L462:N462">
    <cfRule type="cellIs" dxfId="229" priority="267" operator="equal">
      <formula>0</formula>
    </cfRule>
  </conditionalFormatting>
  <conditionalFormatting sqref="E462:I462">
    <cfRule type="cellIs" dxfId="228" priority="266" stopIfTrue="1" operator="equal">
      <formula>0</formula>
    </cfRule>
  </conditionalFormatting>
  <conditionalFormatting sqref="J462">
    <cfRule type="cellIs" dxfId="227" priority="265" operator="equal">
      <formula>0</formula>
    </cfRule>
  </conditionalFormatting>
  <conditionalFormatting sqref="K462">
    <cfRule type="cellIs" dxfId="226" priority="264" operator="equal">
      <formula>0</formula>
    </cfRule>
  </conditionalFormatting>
  <conditionalFormatting sqref="J443:N443">
    <cfRule type="cellIs" dxfId="225" priority="260" operator="equal">
      <formula>0</formula>
    </cfRule>
  </conditionalFormatting>
  <conditionalFormatting sqref="J442:N442">
    <cfRule type="cellIs" dxfId="224" priority="259" operator="equal">
      <formula>0</formula>
    </cfRule>
  </conditionalFormatting>
  <conditionalFormatting sqref="J174:N181 J182:M185">
    <cfRule type="cellIs" dxfId="223" priority="258" operator="equal">
      <formula>0</formula>
    </cfRule>
  </conditionalFormatting>
  <conditionalFormatting sqref="N797">
    <cfRule type="cellIs" dxfId="222" priority="257" stopIfTrue="1" operator="equal">
      <formula>0</formula>
    </cfRule>
  </conditionalFormatting>
  <conditionalFormatting sqref="E796:I796 E797:J797">
    <cfRule type="cellIs" dxfId="221" priority="256" stopIfTrue="1" operator="equal">
      <formula>0</formula>
    </cfRule>
  </conditionalFormatting>
  <conditionalFormatting sqref="J796">
    <cfRule type="cellIs" dxfId="220" priority="255" operator="equal">
      <formula>0</formula>
    </cfRule>
  </conditionalFormatting>
  <conditionalFormatting sqref="K796">
    <cfRule type="cellIs" dxfId="219" priority="253" operator="equal">
      <formula>0</formula>
    </cfRule>
  </conditionalFormatting>
  <conditionalFormatting sqref="K797:M797">
    <cfRule type="cellIs" dxfId="218" priority="254" stopIfTrue="1" operator="equal">
      <formula>0</formula>
    </cfRule>
  </conditionalFormatting>
  <conditionalFormatting sqref="L14:N14">
    <cfRule type="cellIs" dxfId="217" priority="252" operator="equal">
      <formula>0</formula>
    </cfRule>
  </conditionalFormatting>
  <conditionalFormatting sqref="J14:K14">
    <cfRule type="cellIs" dxfId="216" priority="251" operator="equal">
      <formula>0</formula>
    </cfRule>
  </conditionalFormatting>
  <conditionalFormatting sqref="J255:N255">
    <cfRule type="cellIs" dxfId="215" priority="248" operator="equal">
      <formula>0</formula>
    </cfRule>
  </conditionalFormatting>
  <conditionalFormatting sqref="L337:N337 J337">
    <cfRule type="cellIs" dxfId="214" priority="247" operator="equal">
      <formula>0</formula>
    </cfRule>
  </conditionalFormatting>
  <conditionalFormatting sqref="K337">
    <cfRule type="cellIs" dxfId="213" priority="246" operator="equal">
      <formula>0</formula>
    </cfRule>
  </conditionalFormatting>
  <conditionalFormatting sqref="L539:N539">
    <cfRule type="cellIs" dxfId="212" priority="245" operator="equal">
      <formula>0</formula>
    </cfRule>
  </conditionalFormatting>
  <conditionalFormatting sqref="K539">
    <cfRule type="cellIs" dxfId="211" priority="243" operator="equal">
      <formula>0</formula>
    </cfRule>
  </conditionalFormatting>
  <conditionalFormatting sqref="J539">
    <cfRule type="cellIs" dxfId="210" priority="244" operator="equal">
      <formula>0</formula>
    </cfRule>
  </conditionalFormatting>
  <conditionalFormatting sqref="E836:I836 E837:J837 N837">
    <cfRule type="cellIs" dxfId="209" priority="242" stopIfTrue="1" operator="equal">
      <formula>0</formula>
    </cfRule>
  </conditionalFormatting>
  <conditionalFormatting sqref="J836:N837">
    <cfRule type="cellIs" dxfId="208" priority="241" operator="equal">
      <formula>0</formula>
    </cfRule>
  </conditionalFormatting>
  <conditionalFormatting sqref="K837:M837">
    <cfRule type="cellIs" dxfId="207" priority="240" stopIfTrue="1" operator="equal">
      <formula>0</formula>
    </cfRule>
  </conditionalFormatting>
  <conditionalFormatting sqref="E833:I833">
    <cfRule type="cellIs" dxfId="206" priority="239" stopIfTrue="1" operator="equal">
      <formula>0</formula>
    </cfRule>
  </conditionalFormatting>
  <conditionalFormatting sqref="J833:N833">
    <cfRule type="cellIs" dxfId="205" priority="238" operator="equal">
      <formula>0</formula>
    </cfRule>
  </conditionalFormatting>
  <conditionalFormatting sqref="L502:N502">
    <cfRule type="cellIs" dxfId="204" priority="237" operator="equal">
      <formula>0</formula>
    </cfRule>
  </conditionalFormatting>
  <conditionalFormatting sqref="J502:K502">
    <cfRule type="cellIs" dxfId="203" priority="236" operator="equal">
      <formula>0</formula>
    </cfRule>
  </conditionalFormatting>
  <conditionalFormatting sqref="J390:N390">
    <cfRule type="cellIs" dxfId="202" priority="235" operator="equal">
      <formula>0</formula>
    </cfRule>
  </conditionalFormatting>
  <conditionalFormatting sqref="L492:N492">
    <cfRule type="cellIs" dxfId="201" priority="234" operator="equal">
      <formula>0</formula>
    </cfRule>
  </conditionalFormatting>
  <conditionalFormatting sqref="J492">
    <cfRule type="cellIs" dxfId="200" priority="233" operator="equal">
      <formula>0</formula>
    </cfRule>
  </conditionalFormatting>
  <conditionalFormatting sqref="K492">
    <cfRule type="cellIs" dxfId="199" priority="232" operator="equal">
      <formula>0</formula>
    </cfRule>
  </conditionalFormatting>
  <conditionalFormatting sqref="J704:K704 J706:K706">
    <cfRule type="cellIs" dxfId="198" priority="227" operator="equal">
      <formula>0</formula>
    </cfRule>
  </conditionalFormatting>
  <conditionalFormatting sqref="E758:J758 E757:I757 N758">
    <cfRule type="cellIs" dxfId="197" priority="226" stopIfTrue="1" operator="equal">
      <formula>0</formula>
    </cfRule>
  </conditionalFormatting>
  <conditionalFormatting sqref="J757:K757">
    <cfRule type="cellIs" dxfId="196" priority="225" operator="equal">
      <formula>0</formula>
    </cfRule>
  </conditionalFormatting>
  <conditionalFormatting sqref="K758:M758">
    <cfRule type="cellIs" dxfId="195" priority="224" stopIfTrue="1" operator="equal">
      <formula>0</formula>
    </cfRule>
  </conditionalFormatting>
  <conditionalFormatting sqref="J11:N11">
    <cfRule type="cellIs" dxfId="194" priority="223" operator="equal">
      <formula>0</formula>
    </cfRule>
  </conditionalFormatting>
  <conditionalFormatting sqref="L360:N360">
    <cfRule type="cellIs" dxfId="193" priority="222" operator="equal">
      <formula>0</formula>
    </cfRule>
  </conditionalFormatting>
  <conditionalFormatting sqref="J360">
    <cfRule type="cellIs" dxfId="192" priority="221" operator="equal">
      <formula>0</formula>
    </cfRule>
  </conditionalFormatting>
  <conditionalFormatting sqref="K360">
    <cfRule type="cellIs" dxfId="191" priority="220" operator="equal">
      <formula>0</formula>
    </cfRule>
  </conditionalFormatting>
  <conditionalFormatting sqref="L208:M208">
    <cfRule type="cellIs" dxfId="190" priority="219" operator="equal">
      <formula>0</formula>
    </cfRule>
  </conditionalFormatting>
  <conditionalFormatting sqref="J208:K208">
    <cfRule type="cellIs" dxfId="189" priority="218" operator="equal">
      <formula>0</formula>
    </cfRule>
  </conditionalFormatting>
  <conditionalFormatting sqref="J376:N376">
    <cfRule type="cellIs" dxfId="188" priority="217" operator="equal">
      <formula>0</formula>
    </cfRule>
  </conditionalFormatting>
  <conditionalFormatting sqref="L501:N501">
    <cfRule type="cellIs" dxfId="187" priority="211" operator="equal">
      <formula>0</formula>
    </cfRule>
  </conditionalFormatting>
  <conditionalFormatting sqref="J501:K501">
    <cfRule type="cellIs" dxfId="186" priority="210" operator="equal">
      <formula>0</formula>
    </cfRule>
  </conditionalFormatting>
  <conditionalFormatting sqref="L682:N682">
    <cfRule type="cellIs" dxfId="185" priority="209" operator="equal">
      <formula>0</formula>
    </cfRule>
  </conditionalFormatting>
  <conditionalFormatting sqref="J681:J682">
    <cfRule type="cellIs" dxfId="184" priority="208" operator="equal">
      <formula>0</formula>
    </cfRule>
  </conditionalFormatting>
  <conditionalFormatting sqref="K681:K682">
    <cfRule type="cellIs" dxfId="183" priority="207" operator="equal">
      <formula>0</formula>
    </cfRule>
  </conditionalFormatting>
  <conditionalFormatting sqref="J509:N509">
    <cfRule type="cellIs" dxfId="182" priority="206" operator="equal">
      <formula>0</formula>
    </cfRule>
  </conditionalFormatting>
  <conditionalFormatting sqref="J205:M205">
    <cfRule type="cellIs" dxfId="181" priority="205" operator="equal">
      <formula>0</formula>
    </cfRule>
  </conditionalFormatting>
  <conditionalFormatting sqref="L738:N738">
    <cfRule type="cellIs" dxfId="180" priority="204" operator="equal">
      <formula>0</formula>
    </cfRule>
  </conditionalFormatting>
  <conditionalFormatting sqref="E738:I738">
    <cfRule type="cellIs" dxfId="179" priority="203" stopIfTrue="1" operator="equal">
      <formula>0</formula>
    </cfRule>
  </conditionalFormatting>
  <conditionalFormatting sqref="J738:K738">
    <cfRule type="cellIs" dxfId="178" priority="202" operator="equal">
      <formula>0</formula>
    </cfRule>
  </conditionalFormatting>
  <conditionalFormatting sqref="J254:N254">
    <cfRule type="cellIs" dxfId="177" priority="201" operator="equal">
      <formula>0</formula>
    </cfRule>
  </conditionalFormatting>
  <conditionalFormatting sqref="J24:N24 J26:N26">
    <cfRule type="cellIs" dxfId="176" priority="200" operator="equal">
      <formula>0</formula>
    </cfRule>
  </conditionalFormatting>
  <conditionalFormatting sqref="L602:N602">
    <cfRule type="cellIs" dxfId="175" priority="196" operator="equal">
      <formula>0</formula>
    </cfRule>
  </conditionalFormatting>
  <conditionalFormatting sqref="J602:K602">
    <cfRule type="cellIs" dxfId="174" priority="195" operator="equal">
      <formula>0</formula>
    </cfRule>
  </conditionalFormatting>
  <conditionalFormatting sqref="L218:M218">
    <cfRule type="cellIs" dxfId="173" priority="194" operator="equal">
      <formula>0</formula>
    </cfRule>
  </conditionalFormatting>
  <conditionalFormatting sqref="J218:K218">
    <cfRule type="cellIs" dxfId="172" priority="193" operator="equal">
      <formula>0</formula>
    </cfRule>
  </conditionalFormatting>
  <conditionalFormatting sqref="J117:M117">
    <cfRule type="cellIs" dxfId="171" priority="192" operator="equal">
      <formula>0</formula>
    </cfRule>
  </conditionalFormatting>
  <conditionalFormatting sqref="L110:M110 J110">
    <cfRule type="cellIs" dxfId="170" priority="191" operator="equal">
      <formula>0</formula>
    </cfRule>
  </conditionalFormatting>
  <conditionalFormatting sqref="K110">
    <cfRule type="cellIs" dxfId="169" priority="190" operator="equal">
      <formula>0</formula>
    </cfRule>
  </conditionalFormatting>
  <conditionalFormatting sqref="J508:N508">
    <cfRule type="cellIs" dxfId="168" priority="189" operator="equal">
      <formula>0</formula>
    </cfRule>
  </conditionalFormatting>
  <conditionalFormatting sqref="J188:M188">
    <cfRule type="cellIs" dxfId="167" priority="188" operator="equal">
      <formula>0</formula>
    </cfRule>
  </conditionalFormatting>
  <conditionalFormatting sqref="L592:N592">
    <cfRule type="cellIs" dxfId="166" priority="187" operator="equal">
      <formula>0</formula>
    </cfRule>
  </conditionalFormatting>
  <conditionalFormatting sqref="J592">
    <cfRule type="cellIs" dxfId="165" priority="186" operator="equal">
      <formula>0</formula>
    </cfRule>
  </conditionalFormatting>
  <conditionalFormatting sqref="K592">
    <cfRule type="cellIs" dxfId="164" priority="185" operator="equal">
      <formula>0</formula>
    </cfRule>
  </conditionalFormatting>
  <conditionalFormatting sqref="J705:N705">
    <cfRule type="cellIs" dxfId="163" priority="184" operator="equal">
      <formula>0</formula>
    </cfRule>
  </conditionalFormatting>
  <conditionalFormatting sqref="E744:I744 J745 N745">
    <cfRule type="cellIs" dxfId="162" priority="183" stopIfTrue="1" operator="equal">
      <formula>0</formula>
    </cfRule>
  </conditionalFormatting>
  <conditionalFormatting sqref="J744:N744">
    <cfRule type="cellIs" dxfId="161" priority="182" operator="equal">
      <formula>0</formula>
    </cfRule>
  </conditionalFormatting>
  <conditionalFormatting sqref="K745:M745">
    <cfRule type="cellIs" dxfId="160" priority="181" stopIfTrue="1" operator="equal">
      <formula>0</formula>
    </cfRule>
  </conditionalFormatting>
  <conditionalFormatting sqref="J402:K402 J400:N400">
    <cfRule type="cellIs" dxfId="159" priority="180" operator="equal">
      <formula>0</formula>
    </cfRule>
  </conditionalFormatting>
  <conditionalFormatting sqref="L401:N401">
    <cfRule type="cellIs" dxfId="158" priority="179" operator="equal">
      <formula>0</formula>
    </cfRule>
  </conditionalFormatting>
  <conditionalFormatting sqref="J401:K401">
    <cfRule type="cellIs" dxfId="157" priority="178" operator="equal">
      <formula>0</formula>
    </cfRule>
  </conditionalFormatting>
  <conditionalFormatting sqref="J70:N70">
    <cfRule type="cellIs" dxfId="156" priority="173" operator="equal">
      <formula>0</formula>
    </cfRule>
  </conditionalFormatting>
  <conditionalFormatting sqref="L74:N74">
    <cfRule type="cellIs" dxfId="155" priority="171" operator="equal">
      <formula>0</formula>
    </cfRule>
  </conditionalFormatting>
  <conditionalFormatting sqref="J74:K74">
    <cfRule type="cellIs" dxfId="154" priority="170" operator="equal">
      <formula>0</formula>
    </cfRule>
  </conditionalFormatting>
  <conditionalFormatting sqref="J35:N35">
    <cfRule type="cellIs" dxfId="153" priority="169" operator="equal">
      <formula>0</formula>
    </cfRule>
  </conditionalFormatting>
  <conditionalFormatting sqref="E456:I456">
    <cfRule type="cellIs" dxfId="152" priority="168" stopIfTrue="1" operator="equal">
      <formula>0</formula>
    </cfRule>
  </conditionalFormatting>
  <conditionalFormatting sqref="J455:J456">
    <cfRule type="cellIs" dxfId="151" priority="167" operator="equal">
      <formula>0</formula>
    </cfRule>
  </conditionalFormatting>
  <conditionalFormatting sqref="K455:K456">
    <cfRule type="cellIs" dxfId="150" priority="166" operator="equal">
      <formula>0</formula>
    </cfRule>
  </conditionalFormatting>
  <conditionalFormatting sqref="L578:N578">
    <cfRule type="cellIs" dxfId="149" priority="165" operator="equal">
      <formula>0</formula>
    </cfRule>
  </conditionalFormatting>
  <conditionalFormatting sqref="J578">
    <cfRule type="cellIs" dxfId="148" priority="164" operator="equal">
      <formula>0</formula>
    </cfRule>
  </conditionalFormatting>
  <conditionalFormatting sqref="K578">
    <cfRule type="cellIs" dxfId="147" priority="163" operator="equal">
      <formula>0</formula>
    </cfRule>
  </conditionalFormatting>
  <conditionalFormatting sqref="J495">
    <cfRule type="cellIs" dxfId="146" priority="162" operator="equal">
      <formula>0</formula>
    </cfRule>
  </conditionalFormatting>
  <conditionalFormatting sqref="K495">
    <cfRule type="cellIs" dxfId="145" priority="161" operator="equal">
      <formula>0</formula>
    </cfRule>
  </conditionalFormatting>
  <conditionalFormatting sqref="E472:I472">
    <cfRule type="cellIs" dxfId="144" priority="160" stopIfTrue="1" operator="equal">
      <formula>0</formula>
    </cfRule>
  </conditionalFormatting>
  <conditionalFormatting sqref="K472">
    <cfRule type="cellIs" dxfId="143" priority="159" operator="equal">
      <formula>0</formula>
    </cfRule>
  </conditionalFormatting>
  <conditionalFormatting sqref="L473:N473">
    <cfRule type="cellIs" dxfId="142" priority="158" operator="equal">
      <formula>0</formula>
    </cfRule>
  </conditionalFormatting>
  <conditionalFormatting sqref="E473:I473">
    <cfRule type="cellIs" dxfId="141" priority="157" stopIfTrue="1" operator="equal">
      <formula>0</formula>
    </cfRule>
  </conditionalFormatting>
  <conditionalFormatting sqref="J473">
    <cfRule type="cellIs" dxfId="140" priority="156" operator="equal">
      <formula>0</formula>
    </cfRule>
  </conditionalFormatting>
  <conditionalFormatting sqref="K473">
    <cfRule type="cellIs" dxfId="139" priority="155" operator="equal">
      <formula>0</formula>
    </cfRule>
  </conditionalFormatting>
  <conditionalFormatting sqref="E831:I831">
    <cfRule type="cellIs" dxfId="138" priority="154" stopIfTrue="1" operator="equal">
      <formula>0</formula>
    </cfRule>
  </conditionalFormatting>
  <conditionalFormatting sqref="J831:K831">
    <cfRule type="cellIs" dxfId="137" priority="153" operator="equal">
      <formula>0</formula>
    </cfRule>
  </conditionalFormatting>
  <conditionalFormatting sqref="E832:I832">
    <cfRule type="cellIs" dxfId="136" priority="152" stopIfTrue="1" operator="equal">
      <formula>0</formula>
    </cfRule>
  </conditionalFormatting>
  <conditionalFormatting sqref="J832:N832">
    <cfRule type="cellIs" dxfId="135" priority="151" operator="equal">
      <formula>0</formula>
    </cfRule>
  </conditionalFormatting>
  <conditionalFormatting sqref="E747:I747">
    <cfRule type="cellIs" dxfId="134" priority="150" stopIfTrue="1" operator="equal">
      <formula>0</formula>
    </cfRule>
  </conditionalFormatting>
  <conditionalFormatting sqref="E842:H842">
    <cfRule type="cellIs" dxfId="133" priority="149" stopIfTrue="1" operator="equal">
      <formula>0</formula>
    </cfRule>
  </conditionalFormatting>
  <conditionalFormatting sqref="L842:N842">
    <cfRule type="cellIs" dxfId="132" priority="148" operator="equal">
      <formula>0</formula>
    </cfRule>
  </conditionalFormatting>
  <conditionalFormatting sqref="J498:K498">
    <cfRule type="cellIs" dxfId="131" priority="147" operator="equal">
      <formula>0</formula>
    </cfRule>
  </conditionalFormatting>
  <conditionalFormatting sqref="J391:N391">
    <cfRule type="cellIs" dxfId="130" priority="146" operator="equal">
      <formula>0</formula>
    </cfRule>
  </conditionalFormatting>
  <conditionalFormatting sqref="J537 N537 J533:N533">
    <cfRule type="cellIs" dxfId="129" priority="145" operator="equal">
      <formula>0</formula>
    </cfRule>
  </conditionalFormatting>
  <conditionalFormatting sqref="K537:M537">
    <cfRule type="cellIs" dxfId="128" priority="144" operator="equal">
      <formula>0</formula>
    </cfRule>
  </conditionalFormatting>
  <conditionalFormatting sqref="K535">
    <cfRule type="cellIs" dxfId="127" priority="142" operator="equal">
      <formula>0</formula>
    </cfRule>
  </conditionalFormatting>
  <conditionalFormatting sqref="J535">
    <cfRule type="cellIs" dxfId="126" priority="143" operator="equal">
      <formula>0</formula>
    </cfRule>
  </conditionalFormatting>
  <conditionalFormatting sqref="L534:N534">
    <cfRule type="cellIs" dxfId="125" priority="141" operator="equal">
      <formula>0</formula>
    </cfRule>
  </conditionalFormatting>
  <conditionalFormatting sqref="K534">
    <cfRule type="cellIs" dxfId="124" priority="139" operator="equal">
      <formula>0</formula>
    </cfRule>
  </conditionalFormatting>
  <conditionalFormatting sqref="J534">
    <cfRule type="cellIs" dxfId="123" priority="140" operator="equal">
      <formula>0</formula>
    </cfRule>
  </conditionalFormatting>
  <conditionalFormatting sqref="J557:N557">
    <cfRule type="cellIs" dxfId="122" priority="138" operator="equal">
      <formula>0</formula>
    </cfRule>
  </conditionalFormatting>
  <conditionalFormatting sqref="E459:I459">
    <cfRule type="cellIs" dxfId="121" priority="137" stopIfTrue="1" operator="equal">
      <formula>0</formula>
    </cfRule>
  </conditionalFormatting>
  <conditionalFormatting sqref="L18:N18">
    <cfRule type="cellIs" dxfId="120" priority="136" operator="equal">
      <formula>0</formula>
    </cfRule>
  </conditionalFormatting>
  <conditionalFormatting sqref="J18:K18">
    <cfRule type="cellIs" dxfId="119" priority="135" operator="equal">
      <formula>0</formula>
    </cfRule>
  </conditionalFormatting>
  <conditionalFormatting sqref="E455:I455">
    <cfRule type="cellIs" dxfId="118" priority="134" stopIfTrue="1" operator="equal">
      <formula>0</formula>
    </cfRule>
  </conditionalFormatting>
  <conditionalFormatting sqref="L25:N25">
    <cfRule type="cellIs" dxfId="117" priority="133" operator="equal">
      <formula>0</formula>
    </cfRule>
  </conditionalFormatting>
  <conditionalFormatting sqref="J25">
    <cfRule type="cellIs" dxfId="116" priority="132" operator="equal">
      <formula>0</formula>
    </cfRule>
  </conditionalFormatting>
  <conditionalFormatting sqref="K25">
    <cfRule type="cellIs" dxfId="115" priority="131" operator="equal">
      <formula>0</formula>
    </cfRule>
  </conditionalFormatting>
  <conditionalFormatting sqref="E450:I450">
    <cfRule type="cellIs" dxfId="114" priority="130" stopIfTrue="1" operator="equal">
      <formula>0</formula>
    </cfRule>
  </conditionalFormatting>
  <conditionalFormatting sqref="J450:K450">
    <cfRule type="cellIs" dxfId="113" priority="129" operator="equal">
      <formula>0</formula>
    </cfRule>
  </conditionalFormatting>
  <conditionalFormatting sqref="L711:N711">
    <cfRule type="cellIs" dxfId="112" priority="128" operator="equal">
      <formula>0</formula>
    </cfRule>
  </conditionalFormatting>
  <conditionalFormatting sqref="L73:N73">
    <cfRule type="cellIs" dxfId="111" priority="127" operator="equal">
      <formula>0</formula>
    </cfRule>
  </conditionalFormatting>
  <conditionalFormatting sqref="J73:K73">
    <cfRule type="cellIs" dxfId="110" priority="126" operator="equal">
      <formula>0</formula>
    </cfRule>
  </conditionalFormatting>
  <conditionalFormatting sqref="J289 J290:M290 J291 J292:M292">
    <cfRule type="cellIs" dxfId="109" priority="122" operator="equal">
      <formula>0</formula>
    </cfRule>
  </conditionalFormatting>
  <conditionalFormatting sqref="K289">
    <cfRule type="cellIs" dxfId="108" priority="121" operator="equal">
      <formula>0</formula>
    </cfRule>
  </conditionalFormatting>
  <conditionalFormatting sqref="J301 J302:M302">
    <cfRule type="cellIs" dxfId="107" priority="120" operator="equal">
      <formula>0</formula>
    </cfRule>
  </conditionalFormatting>
  <conditionalFormatting sqref="K301">
    <cfRule type="cellIs" dxfId="106" priority="119" operator="equal">
      <formula>0</formula>
    </cfRule>
  </conditionalFormatting>
  <conditionalFormatting sqref="L581:N581">
    <cfRule type="cellIs" dxfId="105" priority="118" operator="equal">
      <formula>0</formula>
    </cfRule>
  </conditionalFormatting>
  <conditionalFormatting sqref="J127:M127">
    <cfRule type="cellIs" dxfId="104" priority="117" operator="equal">
      <formula>0</formula>
    </cfRule>
  </conditionalFormatting>
  <conditionalFormatting sqref="E449:I449">
    <cfRule type="cellIs" dxfId="103" priority="116" stopIfTrue="1" operator="equal">
      <formula>0</formula>
    </cfRule>
  </conditionalFormatting>
  <conditionalFormatting sqref="J449:K449">
    <cfRule type="cellIs" dxfId="102" priority="115" operator="equal">
      <formula>0</formula>
    </cfRule>
  </conditionalFormatting>
  <conditionalFormatting sqref="J68:N68">
    <cfRule type="cellIs" dxfId="101" priority="114" operator="equal">
      <formula>0</formula>
    </cfRule>
  </conditionalFormatting>
  <conditionalFormatting sqref="J59">
    <cfRule type="cellIs" dxfId="100" priority="112" operator="equal">
      <formula>0</formula>
    </cfRule>
  </conditionalFormatting>
  <conditionalFormatting sqref="K59">
    <cfRule type="cellIs" dxfId="99" priority="111" operator="equal">
      <formula>0</formula>
    </cfRule>
  </conditionalFormatting>
  <conditionalFormatting sqref="L59:N59">
    <cfRule type="cellIs" dxfId="98" priority="110" operator="equal">
      <formula>0</formula>
    </cfRule>
  </conditionalFormatting>
  <conditionalFormatting sqref="L604:N604">
    <cfRule type="cellIs" dxfId="97" priority="109" operator="equal">
      <formula>0</formula>
    </cfRule>
  </conditionalFormatting>
  <conditionalFormatting sqref="J604:K604">
    <cfRule type="cellIs" dxfId="96" priority="108" operator="equal">
      <formula>0</formula>
    </cfRule>
  </conditionalFormatting>
  <conditionalFormatting sqref="J40:N40">
    <cfRule type="cellIs" dxfId="95" priority="107" operator="equal">
      <formula>0</formula>
    </cfRule>
  </conditionalFormatting>
  <conditionalFormatting sqref="J41:N41">
    <cfRule type="cellIs" dxfId="94" priority="106" operator="equal">
      <formula>0</formula>
    </cfRule>
  </conditionalFormatting>
  <conditionalFormatting sqref="L488:N488">
    <cfRule type="cellIs" dxfId="93" priority="105" operator="equal">
      <formula>0</formula>
    </cfRule>
  </conditionalFormatting>
  <conditionalFormatting sqref="L121:M121">
    <cfRule type="cellIs" dxfId="92" priority="104" operator="equal">
      <formula>0</formula>
    </cfRule>
  </conditionalFormatting>
  <conditionalFormatting sqref="J121:K121">
    <cfRule type="cellIs" dxfId="91" priority="103" operator="equal">
      <formula>0</formula>
    </cfRule>
  </conditionalFormatting>
  <conditionalFormatting sqref="J437:N437">
    <cfRule type="cellIs" dxfId="90" priority="102" operator="equal">
      <formula>0</formula>
    </cfRule>
  </conditionalFormatting>
  <conditionalFormatting sqref="L53:N53">
    <cfRule type="cellIs" dxfId="89" priority="101" operator="equal">
      <formula>0</formula>
    </cfRule>
  </conditionalFormatting>
  <conditionalFormatting sqref="J649">
    <cfRule type="cellIs" dxfId="88" priority="99" operator="equal">
      <formula>0</formula>
    </cfRule>
  </conditionalFormatting>
  <conditionalFormatting sqref="K639:K640 L639:N639">
    <cfRule type="cellIs" dxfId="87" priority="98" operator="equal">
      <formula>0</formula>
    </cfRule>
  </conditionalFormatting>
  <conditionalFormatting sqref="K649">
    <cfRule type="cellIs" dxfId="86" priority="97" operator="equal">
      <formula>0</formula>
    </cfRule>
  </conditionalFormatting>
  <conditionalFormatting sqref="J632:K632">
    <cfRule type="cellIs" dxfId="85" priority="96" operator="equal">
      <formula>0</formula>
    </cfRule>
  </conditionalFormatting>
  <conditionalFormatting sqref="J634:K634">
    <cfRule type="cellIs" dxfId="84" priority="95" operator="equal">
      <formula>0</formula>
    </cfRule>
  </conditionalFormatting>
  <conditionalFormatting sqref="J652:N652">
    <cfRule type="cellIs" dxfId="83" priority="94" operator="equal">
      <formula>0</formula>
    </cfRule>
  </conditionalFormatting>
  <conditionalFormatting sqref="J641:N641">
    <cfRule type="cellIs" dxfId="82" priority="93" operator="equal">
      <formula>0</formula>
    </cfRule>
  </conditionalFormatting>
  <conditionalFormatting sqref="L624:N624 N625 J624:J625">
    <cfRule type="cellIs" dxfId="81" priority="92" operator="equal">
      <formula>0</formula>
    </cfRule>
  </conditionalFormatting>
  <conditionalFormatting sqref="L625:M625 K624:K625">
    <cfRule type="cellIs" dxfId="80" priority="91" operator="equal">
      <formula>0</formula>
    </cfRule>
  </conditionalFormatting>
  <conditionalFormatting sqref="E466:I466">
    <cfRule type="cellIs" dxfId="79" priority="88" stopIfTrue="1" operator="equal">
      <formula>0</formula>
    </cfRule>
  </conditionalFormatting>
  <conditionalFormatting sqref="J397:K397">
    <cfRule type="cellIs" dxfId="78" priority="85" operator="equal">
      <formula>0</formula>
    </cfRule>
  </conditionalFormatting>
  <conditionalFormatting sqref="L269:N270">
    <cfRule type="cellIs" dxfId="77" priority="84" operator="equal">
      <formula>0</formula>
    </cfRule>
  </conditionalFormatting>
  <conditionalFormatting sqref="J269:J270">
    <cfRule type="cellIs" dxfId="76" priority="83" operator="equal">
      <formula>0</formula>
    </cfRule>
  </conditionalFormatting>
  <conditionalFormatting sqref="K269:K270">
    <cfRule type="cellIs" dxfId="75" priority="82" operator="equal">
      <formula>0</formula>
    </cfRule>
  </conditionalFormatting>
  <conditionalFormatting sqref="E729:I729">
    <cfRule type="cellIs" dxfId="74" priority="79" stopIfTrue="1" operator="equal">
      <formula>0</formula>
    </cfRule>
  </conditionalFormatting>
  <conditionalFormatting sqref="E465:I465">
    <cfRule type="cellIs" dxfId="73" priority="78" stopIfTrue="1" operator="equal">
      <formula>0</formula>
    </cfRule>
  </conditionalFormatting>
  <conditionalFormatting sqref="L849:N849">
    <cfRule type="cellIs" dxfId="72" priority="77" operator="equal">
      <formula>0</formula>
    </cfRule>
  </conditionalFormatting>
  <conditionalFormatting sqref="E849:I849">
    <cfRule type="cellIs" dxfId="71" priority="76" stopIfTrue="1" operator="equal">
      <formula>0</formula>
    </cfRule>
  </conditionalFormatting>
  <conditionalFormatting sqref="J37:N37">
    <cfRule type="cellIs" dxfId="70" priority="73" operator="equal">
      <formula>0</formula>
    </cfRule>
  </conditionalFormatting>
  <conditionalFormatting sqref="J36:N36">
    <cfRule type="cellIs" dxfId="69" priority="72" operator="equal">
      <formula>0</formula>
    </cfRule>
  </conditionalFormatting>
  <conditionalFormatting sqref="J80:M80">
    <cfRule type="cellIs" dxfId="68" priority="71" operator="equal">
      <formula>0</formula>
    </cfRule>
  </conditionalFormatting>
  <conditionalFormatting sqref="L81:N81">
    <cfRule type="cellIs" dxfId="67" priority="70" operator="equal">
      <formula>0</formula>
    </cfRule>
  </conditionalFormatting>
  <conditionalFormatting sqref="J81:K81">
    <cfRule type="cellIs" dxfId="66" priority="69" operator="equal">
      <formula>0</formula>
    </cfRule>
  </conditionalFormatting>
  <conditionalFormatting sqref="L660:N660">
    <cfRule type="cellIs" dxfId="65" priority="68" operator="equal">
      <formula>0</formula>
    </cfRule>
  </conditionalFormatting>
  <conditionalFormatting sqref="J659:J660">
    <cfRule type="cellIs" dxfId="64" priority="67" operator="equal">
      <formula>0</formula>
    </cfRule>
  </conditionalFormatting>
  <conditionalFormatting sqref="K659:K660">
    <cfRule type="cellIs" dxfId="63" priority="66" operator="equal">
      <formula>0</formula>
    </cfRule>
  </conditionalFormatting>
  <conditionalFormatting sqref="L535:N535">
    <cfRule type="cellIs" dxfId="62" priority="65" operator="equal">
      <formula>0</formula>
    </cfRule>
  </conditionalFormatting>
  <conditionalFormatting sqref="L536:N536">
    <cfRule type="cellIs" dxfId="61" priority="64" operator="equal">
      <formula>0</formula>
    </cfRule>
  </conditionalFormatting>
  <conditionalFormatting sqref="K536">
    <cfRule type="cellIs" dxfId="60" priority="62" operator="equal">
      <formula>0</formula>
    </cfRule>
  </conditionalFormatting>
  <conditionalFormatting sqref="J536">
    <cfRule type="cellIs" dxfId="59" priority="63" operator="equal">
      <formula>0</formula>
    </cfRule>
  </conditionalFormatting>
  <conditionalFormatting sqref="J436:N436">
    <cfRule type="cellIs" dxfId="58" priority="61" operator="equal">
      <formula>0</formula>
    </cfRule>
  </conditionalFormatting>
  <conditionalFormatting sqref="L260:N260">
    <cfRule type="cellIs" dxfId="57" priority="44" operator="equal">
      <formula>0</formula>
    </cfRule>
  </conditionalFormatting>
  <conditionalFormatting sqref="L659:N659">
    <cfRule type="cellIs" dxfId="56" priority="43" operator="equal">
      <formula>0</formula>
    </cfRule>
  </conditionalFormatting>
  <conditionalFormatting sqref="E470:I470">
    <cfRule type="cellIs" dxfId="55" priority="42" stopIfTrue="1" operator="equal">
      <formula>0</formula>
    </cfRule>
  </conditionalFormatting>
  <conditionalFormatting sqref="K470">
    <cfRule type="cellIs" dxfId="54" priority="40" operator="equal">
      <formula>0</formula>
    </cfRule>
  </conditionalFormatting>
  <conditionalFormatting sqref="J532 N532 J531:N531">
    <cfRule type="cellIs" dxfId="53" priority="34" operator="equal">
      <formula>0</formula>
    </cfRule>
  </conditionalFormatting>
  <conditionalFormatting sqref="K532:M532">
    <cfRule type="cellIs" dxfId="52" priority="33" operator="equal">
      <formula>0</formula>
    </cfRule>
  </conditionalFormatting>
  <conditionalFormatting sqref="L128:M128">
    <cfRule type="cellIs" dxfId="51" priority="23" operator="equal">
      <formula>0</formula>
    </cfRule>
  </conditionalFormatting>
  <conditionalFormatting sqref="J128:K128">
    <cfRule type="cellIs" dxfId="50" priority="22" operator="equal">
      <formula>0</formula>
    </cfRule>
  </conditionalFormatting>
  <conditionalFormatting sqref="L93:M93">
    <cfRule type="cellIs" dxfId="49" priority="21" operator="equal">
      <formula>0</formula>
    </cfRule>
  </conditionalFormatting>
  <conditionalFormatting sqref="J93">
    <cfRule type="cellIs" dxfId="48" priority="20" operator="equal">
      <formula>0</formula>
    </cfRule>
  </conditionalFormatting>
  <conditionalFormatting sqref="K93">
    <cfRule type="cellIs" dxfId="47" priority="19" operator="equal">
      <formula>0</formula>
    </cfRule>
  </conditionalFormatting>
  <conditionalFormatting sqref="L681:N681">
    <cfRule type="cellIs" dxfId="46" priority="17" operator="equal">
      <formula>0</formula>
    </cfRule>
  </conditionalFormatting>
  <conditionalFormatting sqref="L90:N90">
    <cfRule type="cellIs" dxfId="45" priority="16" operator="equal">
      <formula>0</formula>
    </cfRule>
  </conditionalFormatting>
  <conditionalFormatting sqref="E779:I780">
    <cfRule type="cellIs" dxfId="44" priority="12" stopIfTrue="1" operator="equal">
      <formula>0</formula>
    </cfRule>
  </conditionalFormatting>
  <conditionalFormatting sqref="K291">
    <cfRule type="cellIs" dxfId="43" priority="11" operator="equal">
      <formula>0</formula>
    </cfRule>
  </conditionalFormatting>
  <conditionalFormatting sqref="L589:N589">
    <cfRule type="cellIs" dxfId="42" priority="8" operator="equal">
      <formula>0</formula>
    </cfRule>
  </conditionalFormatting>
  <conditionalFormatting sqref="J589">
    <cfRule type="cellIs" dxfId="41" priority="7" operator="equal">
      <formula>0</formula>
    </cfRule>
  </conditionalFormatting>
  <conditionalFormatting sqref="K589">
    <cfRule type="cellIs" dxfId="40" priority="6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tabSelected="1" view="pageBreakPreview" zoomScale="46" zoomScaleNormal="100" zoomScaleSheetLayoutView="46" workbookViewId="0">
      <selection activeCell="D9" sqref="D9"/>
    </sheetView>
  </sheetViews>
  <sheetFormatPr baseColWidth="10" defaultColWidth="8.83203125" defaultRowHeight="18" outlineLevelCol="1"/>
  <cols>
    <col min="1" max="1" width="8.83203125" style="390" customWidth="1"/>
    <col min="2" max="2" width="16.83203125" style="390" customWidth="1"/>
    <col min="3" max="3" width="16.83203125" style="574" customWidth="1"/>
    <col min="4" max="4" width="25.1640625" style="387" customWidth="1"/>
    <col min="5" max="5" width="27.1640625" style="387" customWidth="1"/>
    <col min="6" max="6" width="14.83203125" style="389" customWidth="1"/>
    <col min="7" max="7" width="17" style="713" hidden="1" customWidth="1"/>
    <col min="8" max="8" width="3.83203125" style="392" customWidth="1"/>
    <col min="9" max="9" width="8.83203125" style="390" customWidth="1"/>
    <col min="10" max="10" width="16.83203125" style="390" customWidth="1"/>
    <col min="11" max="11" width="16.83203125" style="574" customWidth="1" outlineLevel="1"/>
    <col min="12" max="12" width="12.83203125" style="387" customWidth="1"/>
    <col min="13" max="13" width="13.83203125" style="390" customWidth="1"/>
    <col min="14" max="14" width="14.83203125" style="391" customWidth="1"/>
    <col min="15" max="15" width="13.5" style="715" hidden="1" customWidth="1"/>
    <col min="16" max="16" width="3.83203125" style="392" customWidth="1"/>
    <col min="17" max="17" width="8.83203125" style="387" customWidth="1"/>
    <col min="18" max="18" width="16.83203125" style="390" customWidth="1"/>
    <col min="19" max="19" width="16.83203125" style="574" customWidth="1" outlineLevel="1"/>
    <col min="20" max="20" width="12.83203125" style="387" customWidth="1"/>
    <col min="21" max="21" width="9.5" style="387" bestFit="1" customWidth="1"/>
    <col min="22" max="22" width="14.83203125" style="389" customWidth="1"/>
    <col min="23" max="23" width="12.5" style="715" hidden="1" customWidth="1"/>
    <col min="24" max="24" width="1.1640625" style="392" customWidth="1"/>
    <col min="25" max="25" width="8.83203125" style="387" customWidth="1"/>
    <col min="26" max="26" width="16.83203125" style="387" customWidth="1"/>
    <col min="27" max="27" width="16.83203125" style="388" customWidth="1" outlineLevel="1"/>
    <col min="28" max="28" width="12.83203125" style="387" customWidth="1"/>
    <col min="29" max="29" width="10.5" style="387" bestFit="1" customWidth="1"/>
    <col min="30" max="30" width="12.83203125" style="389" customWidth="1"/>
    <col min="31" max="31" width="11.83203125" style="390" hidden="1" customWidth="1"/>
    <col min="32" max="40" width="8.83203125" style="387"/>
    <col min="41" max="41" width="11.5" style="387" bestFit="1" customWidth="1"/>
    <col min="42" max="16384" width="8.83203125" style="387"/>
  </cols>
  <sheetData>
    <row r="1" spans="1:41" s="384" customFormat="1" ht="50">
      <c r="A1" s="972" t="s">
        <v>920</v>
      </c>
      <c r="B1" s="972"/>
      <c r="C1" s="972"/>
      <c r="D1" s="972"/>
      <c r="E1" s="972"/>
      <c r="F1" s="972"/>
      <c r="G1" s="972"/>
      <c r="H1" s="972"/>
      <c r="I1" s="972"/>
      <c r="J1" s="972"/>
      <c r="K1" s="972"/>
      <c r="L1" s="972"/>
      <c r="M1" s="972"/>
      <c r="N1" s="972"/>
      <c r="O1" s="972"/>
      <c r="P1" s="972"/>
      <c r="Q1" s="972"/>
      <c r="R1" s="972"/>
      <c r="S1" s="972"/>
      <c r="T1" s="972"/>
      <c r="U1" s="972"/>
      <c r="V1" s="972"/>
      <c r="W1" s="717"/>
      <c r="X1" s="707"/>
      <c r="Y1" s="707"/>
      <c r="Z1" s="707"/>
      <c r="AA1" s="707"/>
      <c r="AB1" s="707"/>
      <c r="AC1" s="707"/>
      <c r="AD1" s="707"/>
      <c r="AE1" s="527"/>
    </row>
    <row r="2" spans="1:41" s="384" customFormat="1" ht="9" customHeight="1">
      <c r="A2" s="975"/>
      <c r="B2" s="975"/>
      <c r="C2" s="975"/>
      <c r="D2" s="975"/>
      <c r="E2" s="975"/>
      <c r="F2" s="975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5"/>
      <c r="U2" s="975"/>
      <c r="V2" s="975"/>
      <c r="W2" s="718"/>
      <c r="X2" s="385"/>
      <c r="AA2" s="385"/>
      <c r="AD2" s="386"/>
      <c r="AE2" s="525"/>
    </row>
    <row r="3" spans="1:41" s="392" customFormat="1" ht="6" customHeight="1">
      <c r="A3" s="705"/>
      <c r="B3" s="572"/>
      <c r="C3" s="572"/>
      <c r="F3" s="706"/>
      <c r="G3" s="713"/>
      <c r="I3" s="572"/>
      <c r="J3" s="572"/>
      <c r="K3" s="572"/>
      <c r="M3" s="572"/>
      <c r="N3" s="573"/>
      <c r="O3" s="715"/>
      <c r="R3" s="572"/>
      <c r="S3" s="572"/>
      <c r="V3" s="706"/>
      <c r="W3" s="715"/>
      <c r="AD3" s="706"/>
      <c r="AE3" s="572"/>
    </row>
    <row r="4" spans="1:41" ht="24.5" customHeight="1" thickBot="1">
      <c r="A4" s="725" t="s">
        <v>933</v>
      </c>
      <c r="C4" s="572"/>
      <c r="E4" s="392"/>
      <c r="K4" s="572"/>
      <c r="L4" s="392"/>
      <c r="M4" s="572"/>
      <c r="N4" s="573"/>
      <c r="Q4" s="392"/>
      <c r="R4" s="572"/>
      <c r="S4" s="572"/>
      <c r="W4" s="719"/>
      <c r="AA4" s="392"/>
    </row>
    <row r="5" spans="1:41" s="397" customFormat="1" ht="33" customHeight="1">
      <c r="A5" s="976" t="s">
        <v>522</v>
      </c>
      <c r="B5" s="977"/>
      <c r="C5" s="977"/>
      <c r="D5" s="977"/>
      <c r="E5" s="977"/>
      <c r="F5" s="978"/>
      <c r="G5" s="979" t="s">
        <v>781</v>
      </c>
      <c r="H5" s="724"/>
      <c r="I5" s="976" t="s">
        <v>580</v>
      </c>
      <c r="J5" s="977"/>
      <c r="K5" s="977"/>
      <c r="L5" s="977"/>
      <c r="M5" s="977"/>
      <c r="N5" s="978"/>
      <c r="O5" s="979" t="s">
        <v>775</v>
      </c>
      <c r="P5" s="724"/>
      <c r="Q5" s="976" t="s">
        <v>583</v>
      </c>
      <c r="R5" s="977"/>
      <c r="S5" s="977"/>
      <c r="T5" s="977"/>
      <c r="U5" s="977"/>
      <c r="V5" s="978"/>
      <c r="W5" s="981" t="s">
        <v>776</v>
      </c>
      <c r="X5" s="398"/>
      <c r="Y5" s="983" t="s">
        <v>774</v>
      </c>
      <c r="Z5" s="984"/>
      <c r="AA5" s="984"/>
      <c r="AB5" s="984"/>
      <c r="AC5" s="984"/>
      <c r="AD5" s="985"/>
      <c r="AE5" s="973" t="s">
        <v>777</v>
      </c>
    </row>
    <row r="6" spans="1:41" s="395" customFormat="1" ht="77.5" customHeight="1">
      <c r="A6" s="708" t="s">
        <v>636</v>
      </c>
      <c r="B6" s="709" t="s">
        <v>516</v>
      </c>
      <c r="C6" s="710" t="s">
        <v>521</v>
      </c>
      <c r="D6" s="710" t="s">
        <v>519</v>
      </c>
      <c r="E6" s="711" t="s">
        <v>520</v>
      </c>
      <c r="F6" s="723" t="s">
        <v>517</v>
      </c>
      <c r="G6" s="980"/>
      <c r="H6" s="712"/>
      <c r="I6" s="708" t="s">
        <v>636</v>
      </c>
      <c r="J6" s="709" t="s">
        <v>299</v>
      </c>
      <c r="K6" s="710" t="s">
        <v>581</v>
      </c>
      <c r="L6" s="710">
        <v>11503</v>
      </c>
      <c r="M6" s="784" t="s">
        <v>884</v>
      </c>
      <c r="N6" s="723" t="s">
        <v>536</v>
      </c>
      <c r="O6" s="980"/>
      <c r="P6" s="724"/>
      <c r="Q6" s="708" t="s">
        <v>636</v>
      </c>
      <c r="R6" s="709" t="s">
        <v>516</v>
      </c>
      <c r="S6" s="710" t="s">
        <v>521</v>
      </c>
      <c r="T6" s="710">
        <v>11503</v>
      </c>
      <c r="U6" s="784" t="s">
        <v>545</v>
      </c>
      <c r="V6" s="723" t="s">
        <v>533</v>
      </c>
      <c r="W6" s="982"/>
      <c r="X6" s="396"/>
      <c r="Y6" s="708" t="s">
        <v>636</v>
      </c>
      <c r="Z6" s="709" t="s">
        <v>516</v>
      </c>
      <c r="AA6" s="710" t="s">
        <v>521</v>
      </c>
      <c r="AB6" s="710">
        <v>11503</v>
      </c>
      <c r="AC6" s="711" t="s">
        <v>773</v>
      </c>
      <c r="AD6" s="783" t="s">
        <v>772</v>
      </c>
      <c r="AE6" s="974"/>
      <c r="AH6" s="395" t="s">
        <v>516</v>
      </c>
      <c r="AI6" s="395" t="s">
        <v>584</v>
      </c>
      <c r="AJ6" s="395" t="s">
        <v>778</v>
      </c>
      <c r="AK6" s="395" t="s">
        <v>779</v>
      </c>
      <c r="AL6" s="395" t="s">
        <v>780</v>
      </c>
      <c r="AN6" s="395" t="s">
        <v>299</v>
      </c>
      <c r="AO6" s="395" t="s">
        <v>782</v>
      </c>
    </row>
    <row r="7" spans="1:41" s="392" customFormat="1" ht="50" customHeight="1">
      <c r="A7" s="726">
        <v>1</v>
      </c>
      <c r="B7" s="727" t="s">
        <v>906</v>
      </c>
      <c r="C7" s="727" t="s">
        <v>907</v>
      </c>
      <c r="D7" s="728">
        <v>9148</v>
      </c>
      <c r="E7" s="729">
        <v>687069</v>
      </c>
      <c r="F7" s="730">
        <v>1.108175806451613</v>
      </c>
      <c r="G7" s="731" t="e">
        <v>#N/A</v>
      </c>
      <c r="H7" s="724"/>
      <c r="I7" s="726">
        <v>1</v>
      </c>
      <c r="J7" s="727" t="s">
        <v>892</v>
      </c>
      <c r="K7" s="727" t="s">
        <v>894</v>
      </c>
      <c r="L7" s="727">
        <v>15</v>
      </c>
      <c r="M7" s="732">
        <v>13</v>
      </c>
      <c r="N7" s="733">
        <v>0.8666666666666667</v>
      </c>
      <c r="O7" s="734" t="e">
        <v>#N/A</v>
      </c>
      <c r="P7" s="724"/>
      <c r="Q7" s="726">
        <v>1</v>
      </c>
      <c r="R7" s="727" t="s">
        <v>892</v>
      </c>
      <c r="S7" s="727" t="s">
        <v>894</v>
      </c>
      <c r="T7" s="727">
        <v>15</v>
      </c>
      <c r="U7" s="732">
        <v>12</v>
      </c>
      <c r="V7" s="733">
        <v>0.8</v>
      </c>
      <c r="W7" s="720" t="e">
        <v>#N/A</v>
      </c>
      <c r="X7" s="398"/>
      <c r="Y7" s="726">
        <v>1</v>
      </c>
      <c r="Z7" s="774" t="s">
        <v>892</v>
      </c>
      <c r="AA7" s="775" t="s">
        <v>894</v>
      </c>
      <c r="AB7" s="727">
        <v>15</v>
      </c>
      <c r="AC7" s="732">
        <v>11</v>
      </c>
      <c r="AD7" s="776">
        <v>0.73333333333333328</v>
      </c>
      <c r="AE7" s="526" t="e">
        <v>#N/A</v>
      </c>
      <c r="AH7" s="536"/>
      <c r="AI7" s="537"/>
      <c r="AJ7" s="537"/>
      <c r="AK7" s="537"/>
      <c r="AL7" s="537"/>
      <c r="AM7" s="537"/>
      <c r="AN7" s="537"/>
      <c r="AO7" s="538"/>
    </row>
    <row r="8" spans="1:41" s="392" customFormat="1" ht="50" customHeight="1">
      <c r="A8" s="726">
        <v>2</v>
      </c>
      <c r="B8" s="727" t="s">
        <v>187</v>
      </c>
      <c r="C8" s="727" t="s">
        <v>546</v>
      </c>
      <c r="D8" s="728">
        <v>0</v>
      </c>
      <c r="E8" s="729">
        <v>1165291</v>
      </c>
      <c r="F8" s="730">
        <v>0.89637769230769226</v>
      </c>
      <c r="G8" s="731">
        <v>102</v>
      </c>
      <c r="H8" s="724"/>
      <c r="I8" s="726">
        <v>2</v>
      </c>
      <c r="J8" s="727" t="s">
        <v>2</v>
      </c>
      <c r="K8" s="727" t="s">
        <v>123</v>
      </c>
      <c r="L8" s="727">
        <v>39</v>
      </c>
      <c r="M8" s="732">
        <v>29</v>
      </c>
      <c r="N8" s="733">
        <v>0.74358974358974361</v>
      </c>
      <c r="O8" s="734">
        <v>22.083333333333332</v>
      </c>
      <c r="P8" s="724"/>
      <c r="Q8" s="726">
        <v>2</v>
      </c>
      <c r="R8" s="727" t="s">
        <v>2</v>
      </c>
      <c r="S8" s="727" t="s">
        <v>123</v>
      </c>
      <c r="T8" s="727">
        <v>39</v>
      </c>
      <c r="U8" s="732">
        <v>20</v>
      </c>
      <c r="V8" s="733">
        <v>0.51282051282051277</v>
      </c>
      <c r="W8" s="720">
        <v>21.75</v>
      </c>
      <c r="X8" s="398"/>
      <c r="Y8" s="726">
        <v>2</v>
      </c>
      <c r="Z8" s="774" t="s">
        <v>878</v>
      </c>
      <c r="AA8" s="775" t="s">
        <v>881</v>
      </c>
      <c r="AB8" s="727">
        <v>30</v>
      </c>
      <c r="AC8" s="732">
        <v>12</v>
      </c>
      <c r="AD8" s="776">
        <v>0.4</v>
      </c>
      <c r="AE8" s="526" t="e">
        <v>#N/A</v>
      </c>
      <c r="AH8" s="392" t="s">
        <v>1</v>
      </c>
      <c r="AI8" s="392">
        <v>689.83270000000005</v>
      </c>
      <c r="AJ8" s="392">
        <v>91</v>
      </c>
      <c r="AK8" s="392">
        <v>80</v>
      </c>
      <c r="AL8" s="392">
        <v>6</v>
      </c>
      <c r="AN8" s="392" t="s">
        <v>1</v>
      </c>
      <c r="AO8" s="528">
        <v>52</v>
      </c>
    </row>
    <row r="9" spans="1:41" s="392" customFormat="1" ht="50" customHeight="1">
      <c r="A9" s="726">
        <v>3</v>
      </c>
      <c r="B9" s="727" t="s">
        <v>835</v>
      </c>
      <c r="C9" s="727" t="s">
        <v>74</v>
      </c>
      <c r="D9" s="728">
        <v>117065</v>
      </c>
      <c r="E9" s="729">
        <v>1643327</v>
      </c>
      <c r="F9" s="730">
        <v>0.86038062827225126</v>
      </c>
      <c r="G9" s="731" t="e">
        <v>#N/A</v>
      </c>
      <c r="H9" s="724"/>
      <c r="I9" s="726">
        <v>3</v>
      </c>
      <c r="J9" s="727" t="s">
        <v>614</v>
      </c>
      <c r="K9" s="727" t="s">
        <v>615</v>
      </c>
      <c r="L9" s="727">
        <v>36</v>
      </c>
      <c r="M9" s="732">
        <v>26</v>
      </c>
      <c r="N9" s="733">
        <v>0.72222222222222221</v>
      </c>
      <c r="O9" s="734">
        <v>22</v>
      </c>
      <c r="P9" s="724"/>
      <c r="Q9" s="726">
        <v>3</v>
      </c>
      <c r="R9" s="727" t="s">
        <v>835</v>
      </c>
      <c r="S9" s="727" t="s">
        <v>74</v>
      </c>
      <c r="T9" s="727">
        <v>30</v>
      </c>
      <c r="U9" s="732">
        <v>15</v>
      </c>
      <c r="V9" s="733">
        <v>0.5</v>
      </c>
      <c r="W9" s="720" t="e">
        <v>#N/A</v>
      </c>
      <c r="X9" s="398"/>
      <c r="Y9" s="726">
        <v>3</v>
      </c>
      <c r="Z9" s="774" t="s">
        <v>880</v>
      </c>
      <c r="AA9" s="775" t="s">
        <v>883</v>
      </c>
      <c r="AB9" s="727">
        <v>31</v>
      </c>
      <c r="AC9" s="732">
        <v>12</v>
      </c>
      <c r="AD9" s="776">
        <v>0.38709677419354838</v>
      </c>
      <c r="AE9" s="526" t="e">
        <v>#N/A</v>
      </c>
      <c r="AH9" s="392" t="s">
        <v>303</v>
      </c>
      <c r="AI9" s="392">
        <v>1298.0356999999999</v>
      </c>
      <c r="AJ9" s="392">
        <v>285</v>
      </c>
      <c r="AK9" s="392">
        <v>265</v>
      </c>
      <c r="AL9" s="392">
        <v>16</v>
      </c>
      <c r="AN9" s="392" t="s">
        <v>303</v>
      </c>
      <c r="AO9" s="528">
        <v>97</v>
      </c>
    </row>
    <row r="10" spans="1:41" s="392" customFormat="1" ht="50" customHeight="1">
      <c r="A10" s="726">
        <v>4</v>
      </c>
      <c r="B10" s="727" t="s">
        <v>2</v>
      </c>
      <c r="C10" s="727" t="s">
        <v>123</v>
      </c>
      <c r="D10" s="728">
        <v>99411</v>
      </c>
      <c r="E10" s="729">
        <v>1372710</v>
      </c>
      <c r="F10" s="730">
        <v>0.83701829268292682</v>
      </c>
      <c r="G10" s="731">
        <v>125</v>
      </c>
      <c r="H10" s="724"/>
      <c r="I10" s="726">
        <v>4</v>
      </c>
      <c r="J10" s="727" t="s">
        <v>835</v>
      </c>
      <c r="K10" s="727" t="s">
        <v>74</v>
      </c>
      <c r="L10" s="727">
        <v>30</v>
      </c>
      <c r="M10" s="732">
        <v>21</v>
      </c>
      <c r="N10" s="733">
        <v>0.7</v>
      </c>
      <c r="O10" s="734" t="e">
        <v>#N/A</v>
      </c>
      <c r="P10" s="724"/>
      <c r="Q10" s="726">
        <v>4</v>
      </c>
      <c r="R10" s="727" t="s">
        <v>187</v>
      </c>
      <c r="S10" s="727" t="s">
        <v>456</v>
      </c>
      <c r="T10" s="727">
        <v>33</v>
      </c>
      <c r="U10" s="732">
        <v>16</v>
      </c>
      <c r="V10" s="733">
        <v>0.48484848484848486</v>
      </c>
      <c r="W10" s="720">
        <v>19.916666666666668</v>
      </c>
      <c r="X10" s="398"/>
      <c r="Y10" s="726">
        <v>4</v>
      </c>
      <c r="Z10" s="774" t="s">
        <v>759</v>
      </c>
      <c r="AA10" s="775" t="s">
        <v>74</v>
      </c>
      <c r="AB10" s="727">
        <v>87</v>
      </c>
      <c r="AC10" s="732">
        <v>32</v>
      </c>
      <c r="AD10" s="776">
        <v>0.36781609195402298</v>
      </c>
      <c r="AE10" s="526">
        <v>39</v>
      </c>
      <c r="AH10" s="392" t="s">
        <v>185</v>
      </c>
      <c r="AI10" s="392">
        <v>4878.6873999999998</v>
      </c>
      <c r="AJ10" s="392">
        <v>588</v>
      </c>
      <c r="AK10" s="392">
        <v>578</v>
      </c>
      <c r="AL10" s="392">
        <v>39</v>
      </c>
      <c r="AN10" s="392" t="s">
        <v>185</v>
      </c>
      <c r="AO10" s="528">
        <v>320</v>
      </c>
    </row>
    <row r="11" spans="1:41" s="392" customFormat="1" ht="50" customHeight="1">
      <c r="A11" s="726">
        <v>5</v>
      </c>
      <c r="B11" s="727" t="s">
        <v>840</v>
      </c>
      <c r="C11" s="727" t="s">
        <v>74</v>
      </c>
      <c r="D11" s="728">
        <v>182009</v>
      </c>
      <c r="E11" s="729">
        <v>3257563</v>
      </c>
      <c r="F11" s="730">
        <v>0.73368536036036036</v>
      </c>
      <c r="G11" s="731">
        <v>406</v>
      </c>
      <c r="H11" s="724"/>
      <c r="I11" s="726">
        <v>5</v>
      </c>
      <c r="J11" s="727" t="s">
        <v>185</v>
      </c>
      <c r="K11" s="727" t="s">
        <v>74</v>
      </c>
      <c r="L11" s="727">
        <v>87</v>
      </c>
      <c r="M11" s="732">
        <v>57</v>
      </c>
      <c r="N11" s="733">
        <v>0.65517241379310343</v>
      </c>
      <c r="O11" s="734">
        <v>49</v>
      </c>
      <c r="P11" s="724"/>
      <c r="Q11" s="726">
        <v>5</v>
      </c>
      <c r="R11" s="727" t="s">
        <v>206</v>
      </c>
      <c r="S11" s="727" t="s">
        <v>485</v>
      </c>
      <c r="T11" s="727">
        <v>43</v>
      </c>
      <c r="U11" s="732">
        <v>20</v>
      </c>
      <c r="V11" s="733">
        <v>0.46511627906976744</v>
      </c>
      <c r="W11" s="720">
        <v>21.416666666666668</v>
      </c>
      <c r="X11" s="398"/>
      <c r="Y11" s="726">
        <v>5</v>
      </c>
      <c r="Z11" s="774" t="s">
        <v>187</v>
      </c>
      <c r="AA11" s="775" t="s">
        <v>456</v>
      </c>
      <c r="AB11" s="727">
        <v>33</v>
      </c>
      <c r="AC11" s="732">
        <v>11</v>
      </c>
      <c r="AD11" s="776">
        <v>0.33333333333333331</v>
      </c>
      <c r="AE11" s="526">
        <v>14</v>
      </c>
      <c r="AH11" s="392" t="s">
        <v>2</v>
      </c>
      <c r="AI11" s="392">
        <v>1511.0567000000001</v>
      </c>
      <c r="AJ11" s="392">
        <v>265</v>
      </c>
      <c r="AK11" s="392">
        <v>261</v>
      </c>
      <c r="AL11" s="392">
        <v>17</v>
      </c>
      <c r="AN11" s="392" t="s">
        <v>2</v>
      </c>
      <c r="AO11" s="528">
        <v>107</v>
      </c>
    </row>
    <row r="12" spans="1:41" s="392" customFormat="1" ht="50" customHeight="1">
      <c r="A12" s="726">
        <v>6</v>
      </c>
      <c r="B12" s="727" t="s">
        <v>632</v>
      </c>
      <c r="C12" s="727" t="s">
        <v>227</v>
      </c>
      <c r="D12" s="728">
        <v>21674</v>
      </c>
      <c r="E12" s="729">
        <v>903869</v>
      </c>
      <c r="F12" s="730">
        <v>0.71170787401574798</v>
      </c>
      <c r="G12" s="731">
        <v>108</v>
      </c>
      <c r="H12" s="724"/>
      <c r="I12" s="726">
        <v>6</v>
      </c>
      <c r="J12" s="727" t="s">
        <v>864</v>
      </c>
      <c r="K12" s="727" t="s">
        <v>866</v>
      </c>
      <c r="L12" s="727">
        <v>26</v>
      </c>
      <c r="M12" s="732">
        <v>17</v>
      </c>
      <c r="N12" s="733">
        <v>0.65384615384615385</v>
      </c>
      <c r="O12" s="734" t="e">
        <v>#N/A</v>
      </c>
      <c r="P12" s="724"/>
      <c r="Q12" s="726">
        <v>6</v>
      </c>
      <c r="R12" s="727" t="s">
        <v>185</v>
      </c>
      <c r="S12" s="727" t="s">
        <v>74</v>
      </c>
      <c r="T12" s="727">
        <v>87</v>
      </c>
      <c r="U12" s="732">
        <v>40</v>
      </c>
      <c r="V12" s="733">
        <v>0.45977011494252873</v>
      </c>
      <c r="W12" s="720">
        <v>48.166666666666664</v>
      </c>
      <c r="X12" s="398"/>
      <c r="Y12" s="726">
        <v>6</v>
      </c>
      <c r="Z12" s="774" t="s">
        <v>2</v>
      </c>
      <c r="AA12" s="775" t="s">
        <v>123</v>
      </c>
      <c r="AB12" s="727">
        <v>39</v>
      </c>
      <c r="AC12" s="732">
        <v>12</v>
      </c>
      <c r="AD12" s="776">
        <v>0.30769230769230771</v>
      </c>
      <c r="AE12" s="526">
        <v>17</v>
      </c>
      <c r="AH12" s="392" t="s">
        <v>3</v>
      </c>
      <c r="AI12" s="392">
        <v>1883.2165</v>
      </c>
      <c r="AJ12" s="392">
        <v>316</v>
      </c>
      <c r="AK12" s="392">
        <v>312</v>
      </c>
      <c r="AL12" s="392">
        <v>20</v>
      </c>
      <c r="AN12" s="392" t="s">
        <v>3</v>
      </c>
      <c r="AO12" s="528">
        <v>131</v>
      </c>
    </row>
    <row r="13" spans="1:41" s="392" customFormat="1" ht="50" customHeight="1">
      <c r="A13" s="726">
        <v>7</v>
      </c>
      <c r="B13" s="727" t="s">
        <v>837</v>
      </c>
      <c r="C13" s="727" t="s">
        <v>839</v>
      </c>
      <c r="D13" s="728">
        <v>19365</v>
      </c>
      <c r="E13" s="729">
        <v>885442</v>
      </c>
      <c r="F13" s="730">
        <v>0.67078939393939396</v>
      </c>
      <c r="G13" s="731" t="e">
        <v>#N/A</v>
      </c>
      <c r="H13" s="724"/>
      <c r="I13" s="735">
        <v>7</v>
      </c>
      <c r="J13" s="727" t="s">
        <v>633</v>
      </c>
      <c r="K13" s="727" t="s">
        <v>227</v>
      </c>
      <c r="L13" s="727">
        <v>42</v>
      </c>
      <c r="M13" s="732">
        <v>27</v>
      </c>
      <c r="N13" s="733">
        <v>0.6428571428571429</v>
      </c>
      <c r="O13" s="734">
        <v>23.75</v>
      </c>
      <c r="P13" s="724"/>
      <c r="Q13" s="726">
        <v>7</v>
      </c>
      <c r="R13" s="727" t="s">
        <v>865</v>
      </c>
      <c r="S13" s="727" t="s">
        <v>868</v>
      </c>
      <c r="T13" s="727">
        <v>31</v>
      </c>
      <c r="U13" s="732">
        <v>14</v>
      </c>
      <c r="V13" s="733">
        <v>0.45161290322580644</v>
      </c>
      <c r="W13" s="720" t="e">
        <v>#N/A</v>
      </c>
      <c r="X13" s="398"/>
      <c r="Y13" s="726">
        <v>7</v>
      </c>
      <c r="Z13" s="774" t="s">
        <v>879</v>
      </c>
      <c r="AA13" s="775" t="s">
        <v>882</v>
      </c>
      <c r="AB13" s="727">
        <v>26</v>
      </c>
      <c r="AC13" s="732">
        <v>8</v>
      </c>
      <c r="AD13" s="776">
        <v>0.30769230769230771</v>
      </c>
      <c r="AE13" s="526" t="e">
        <v>#N/A</v>
      </c>
      <c r="AF13" s="392" t="s">
        <v>785</v>
      </c>
      <c r="AG13" s="392">
        <v>95.857500000000002</v>
      </c>
      <c r="AH13" s="392" t="s">
        <v>269</v>
      </c>
      <c r="AI13" s="392">
        <v>772.46990000000005</v>
      </c>
      <c r="AJ13" s="392">
        <v>159</v>
      </c>
      <c r="AK13" s="392">
        <v>146</v>
      </c>
      <c r="AL13" s="392">
        <v>9</v>
      </c>
      <c r="AN13" s="392" t="s">
        <v>269</v>
      </c>
      <c r="AO13" s="528">
        <v>63</v>
      </c>
    </row>
    <row r="14" spans="1:41" s="392" customFormat="1" ht="50" customHeight="1">
      <c r="A14" s="726">
        <v>8</v>
      </c>
      <c r="B14" s="727" t="s">
        <v>582</v>
      </c>
      <c r="C14" s="727"/>
      <c r="D14" s="728">
        <v>12499348</v>
      </c>
      <c r="E14" s="729">
        <v>430847552</v>
      </c>
      <c r="F14" s="730">
        <v>0.65629999999999999</v>
      </c>
      <c r="G14" s="731" t="e">
        <v>#N/A</v>
      </c>
      <c r="H14" s="724"/>
      <c r="I14" s="726">
        <v>8</v>
      </c>
      <c r="J14" s="727" t="s">
        <v>462</v>
      </c>
      <c r="K14" s="727" t="s">
        <v>425</v>
      </c>
      <c r="L14" s="727">
        <v>33</v>
      </c>
      <c r="M14" s="732">
        <v>21</v>
      </c>
      <c r="N14" s="733">
        <v>0.63636363636363635</v>
      </c>
      <c r="O14" s="734">
        <v>25.083333333333332</v>
      </c>
      <c r="P14" s="724"/>
      <c r="Q14" s="726">
        <v>8</v>
      </c>
      <c r="R14" s="727" t="s">
        <v>864</v>
      </c>
      <c r="S14" s="727" t="s">
        <v>867</v>
      </c>
      <c r="T14" s="727">
        <v>26</v>
      </c>
      <c r="U14" s="732">
        <v>11</v>
      </c>
      <c r="V14" s="733">
        <v>0.42307692307692307</v>
      </c>
      <c r="W14" s="720" t="e">
        <v>#N/A</v>
      </c>
      <c r="X14" s="398"/>
      <c r="Y14" s="726">
        <v>8</v>
      </c>
      <c r="Z14" s="774" t="s">
        <v>218</v>
      </c>
      <c r="AA14" s="775" t="s">
        <v>69</v>
      </c>
      <c r="AB14" s="727">
        <v>40</v>
      </c>
      <c r="AC14" s="732">
        <v>11</v>
      </c>
      <c r="AD14" s="776">
        <v>0.27500000000000002</v>
      </c>
      <c r="AE14" s="526">
        <v>18</v>
      </c>
      <c r="AH14" s="392" t="s">
        <v>206</v>
      </c>
      <c r="AI14" s="392">
        <v>1289.4124999999999</v>
      </c>
      <c r="AJ14" s="392">
        <v>292</v>
      </c>
      <c r="AK14" s="392">
        <v>257</v>
      </c>
      <c r="AL14" s="392">
        <v>15</v>
      </c>
      <c r="AN14" s="392" t="s">
        <v>206</v>
      </c>
      <c r="AO14" s="528">
        <v>91</v>
      </c>
    </row>
    <row r="15" spans="1:41" s="392" customFormat="1" ht="50" customHeight="1">
      <c r="A15" s="726">
        <v>9</v>
      </c>
      <c r="B15" s="727" t="s">
        <v>387</v>
      </c>
      <c r="C15" s="727" t="s">
        <v>388</v>
      </c>
      <c r="D15" s="728">
        <v>0</v>
      </c>
      <c r="E15" s="729">
        <v>780153</v>
      </c>
      <c r="F15" s="730">
        <v>0.64475454545454547</v>
      </c>
      <c r="G15" s="731">
        <v>113</v>
      </c>
      <c r="H15" s="724"/>
      <c r="I15" s="726">
        <v>9</v>
      </c>
      <c r="J15" s="727" t="s">
        <v>865</v>
      </c>
      <c r="K15" s="727" t="s">
        <v>859</v>
      </c>
      <c r="L15" s="727">
        <v>31</v>
      </c>
      <c r="M15" s="732">
        <v>19</v>
      </c>
      <c r="N15" s="733">
        <v>0.61290322580645162</v>
      </c>
      <c r="O15" s="734" t="e">
        <v>#N/A</v>
      </c>
      <c r="P15" s="724"/>
      <c r="Q15" s="726">
        <v>9</v>
      </c>
      <c r="R15" s="727" t="s">
        <v>614</v>
      </c>
      <c r="S15" s="727" t="s">
        <v>615</v>
      </c>
      <c r="T15" s="727">
        <v>36</v>
      </c>
      <c r="U15" s="732">
        <v>14</v>
      </c>
      <c r="V15" s="733">
        <v>0.3888888888888889</v>
      </c>
      <c r="W15" s="720">
        <v>19.666666666666668</v>
      </c>
      <c r="X15" s="398"/>
      <c r="Y15" s="726">
        <v>9</v>
      </c>
      <c r="Z15" s="774" t="s">
        <v>376</v>
      </c>
      <c r="AA15" s="775" t="s">
        <v>617</v>
      </c>
      <c r="AB15" s="727">
        <v>592</v>
      </c>
      <c r="AC15" s="732">
        <v>150</v>
      </c>
      <c r="AD15" s="776">
        <v>0.2533783783783784</v>
      </c>
      <c r="AE15" s="526">
        <v>228</v>
      </c>
      <c r="AH15" s="392" t="s">
        <v>218</v>
      </c>
      <c r="AI15" s="392">
        <v>1626.6898000000001</v>
      </c>
      <c r="AJ15" s="392">
        <v>270</v>
      </c>
      <c r="AK15" s="392">
        <v>254</v>
      </c>
      <c r="AL15" s="392">
        <v>18</v>
      </c>
      <c r="AN15" s="392" t="s">
        <v>218</v>
      </c>
      <c r="AO15" s="528">
        <v>108</v>
      </c>
    </row>
    <row r="16" spans="1:41" s="392" customFormat="1" ht="50" customHeight="1">
      <c r="A16" s="726">
        <v>10</v>
      </c>
      <c r="B16" s="727" t="s">
        <v>518</v>
      </c>
      <c r="C16" s="727" t="s">
        <v>617</v>
      </c>
      <c r="D16" s="728">
        <v>507381</v>
      </c>
      <c r="E16" s="729">
        <v>13648332</v>
      </c>
      <c r="F16" s="730">
        <v>0.61285729681185452</v>
      </c>
      <c r="G16" s="731">
        <v>1944</v>
      </c>
      <c r="H16" s="724"/>
      <c r="I16" s="726">
        <v>10</v>
      </c>
      <c r="J16" s="727" t="s">
        <v>187</v>
      </c>
      <c r="K16" s="727" t="s">
        <v>456</v>
      </c>
      <c r="L16" s="727">
        <v>33</v>
      </c>
      <c r="M16" s="732">
        <v>20</v>
      </c>
      <c r="N16" s="733">
        <v>0.60606060606060608</v>
      </c>
      <c r="O16" s="734">
        <v>20.666666666666668</v>
      </c>
      <c r="P16" s="724"/>
      <c r="Q16" s="726">
        <v>10</v>
      </c>
      <c r="R16" s="727" t="s">
        <v>218</v>
      </c>
      <c r="S16" s="727" t="s">
        <v>69</v>
      </c>
      <c r="T16" s="727">
        <v>40</v>
      </c>
      <c r="U16" s="732">
        <v>15</v>
      </c>
      <c r="V16" s="733">
        <v>0.375</v>
      </c>
      <c r="W16" s="720">
        <v>21.166666666666668</v>
      </c>
      <c r="X16" s="398"/>
      <c r="Y16" s="726">
        <v>10</v>
      </c>
      <c r="Z16" s="774" t="s">
        <v>822</v>
      </c>
      <c r="AA16" s="775" t="s">
        <v>81</v>
      </c>
      <c r="AB16" s="727">
        <v>20</v>
      </c>
      <c r="AC16" s="732">
        <v>5</v>
      </c>
      <c r="AD16" s="776">
        <v>0.25</v>
      </c>
      <c r="AE16" s="526">
        <v>9</v>
      </c>
      <c r="AH16" s="536" t="s">
        <v>4</v>
      </c>
      <c r="AI16" s="537">
        <v>3566</v>
      </c>
      <c r="AJ16" s="537">
        <v>570</v>
      </c>
      <c r="AK16" s="537">
        <v>570</v>
      </c>
      <c r="AL16" s="537">
        <v>32</v>
      </c>
      <c r="AM16" s="537"/>
      <c r="AN16" s="537" t="s">
        <v>4</v>
      </c>
      <c r="AO16" s="538">
        <v>297</v>
      </c>
    </row>
    <row r="17" spans="1:41" s="392" customFormat="1" ht="50" customHeight="1">
      <c r="A17" s="726">
        <v>11</v>
      </c>
      <c r="B17" s="727" t="s">
        <v>836</v>
      </c>
      <c r="C17" s="727" t="s">
        <v>838</v>
      </c>
      <c r="D17" s="728">
        <v>45579</v>
      </c>
      <c r="E17" s="729">
        <v>728794</v>
      </c>
      <c r="F17" s="730">
        <v>0.60230909090909091</v>
      </c>
      <c r="G17" s="731" t="e">
        <v>#N/A</v>
      </c>
      <c r="H17" s="724"/>
      <c r="I17" s="726">
        <v>11</v>
      </c>
      <c r="J17" s="727" t="s">
        <v>582</v>
      </c>
      <c r="K17" s="727"/>
      <c r="L17" s="727">
        <v>17275</v>
      </c>
      <c r="M17" s="732">
        <v>10446</v>
      </c>
      <c r="N17" s="733">
        <v>0.60470000000000002</v>
      </c>
      <c r="O17" s="734" t="e">
        <v>#N/A</v>
      </c>
      <c r="P17" s="724"/>
      <c r="Q17" s="759">
        <v>11</v>
      </c>
      <c r="R17" s="727" t="s">
        <v>376</v>
      </c>
      <c r="S17" s="727" t="s">
        <v>617</v>
      </c>
      <c r="T17" s="727">
        <v>592</v>
      </c>
      <c r="U17" s="732">
        <v>215</v>
      </c>
      <c r="V17" s="733">
        <v>0.36317567567567566</v>
      </c>
      <c r="W17" s="720">
        <v>316.66666666666669</v>
      </c>
      <c r="X17" s="398"/>
      <c r="Y17" s="759">
        <v>11</v>
      </c>
      <c r="Z17" s="774" t="s">
        <v>632</v>
      </c>
      <c r="AA17" s="775" t="s">
        <v>227</v>
      </c>
      <c r="AB17" s="727">
        <v>42</v>
      </c>
      <c r="AC17" s="732">
        <v>10</v>
      </c>
      <c r="AD17" s="776">
        <v>0.23809523809523808</v>
      </c>
      <c r="AE17" s="526">
        <v>16</v>
      </c>
      <c r="AH17" s="392" t="s">
        <v>387</v>
      </c>
      <c r="AI17" s="392">
        <v>1357.4138</v>
      </c>
      <c r="AJ17" s="392">
        <v>212</v>
      </c>
      <c r="AK17" s="392">
        <v>239</v>
      </c>
      <c r="AL17" s="392">
        <v>13</v>
      </c>
      <c r="AN17" s="392" t="s">
        <v>387</v>
      </c>
      <c r="AO17" s="528">
        <v>72</v>
      </c>
    </row>
    <row r="18" spans="1:41" s="392" customFormat="1" ht="50" customHeight="1">
      <c r="A18" s="759">
        <v>12</v>
      </c>
      <c r="B18" s="727" t="s">
        <v>1</v>
      </c>
      <c r="C18" s="727" t="s">
        <v>53</v>
      </c>
      <c r="D18" s="728">
        <v>11494</v>
      </c>
      <c r="E18" s="729">
        <v>359544</v>
      </c>
      <c r="F18" s="730">
        <v>0.57990967741935484</v>
      </c>
      <c r="G18" s="731">
        <v>57</v>
      </c>
      <c r="H18" s="724"/>
      <c r="I18" s="759">
        <v>12</v>
      </c>
      <c r="J18" s="727" t="s">
        <v>206</v>
      </c>
      <c r="K18" s="727" t="s">
        <v>485</v>
      </c>
      <c r="L18" s="727">
        <v>43</v>
      </c>
      <c r="M18" s="732">
        <v>26</v>
      </c>
      <c r="N18" s="733">
        <v>0.60465116279069764</v>
      </c>
      <c r="O18" s="734">
        <v>24.333333333333332</v>
      </c>
      <c r="P18" s="724"/>
      <c r="Q18" s="759">
        <v>12</v>
      </c>
      <c r="R18" s="727" t="s">
        <v>269</v>
      </c>
      <c r="S18" s="727" t="s">
        <v>81</v>
      </c>
      <c r="T18" s="727">
        <v>20</v>
      </c>
      <c r="U18" s="732">
        <v>7</v>
      </c>
      <c r="V18" s="733">
        <v>0.35</v>
      </c>
      <c r="W18" s="720">
        <v>12.166666666666666</v>
      </c>
      <c r="X18" s="398"/>
      <c r="Y18" s="759">
        <v>12</v>
      </c>
      <c r="Z18" s="774" t="s">
        <v>206</v>
      </c>
      <c r="AA18" s="775" t="s">
        <v>485</v>
      </c>
      <c r="AB18" s="727">
        <v>43</v>
      </c>
      <c r="AC18" s="732">
        <v>10</v>
      </c>
      <c r="AD18" s="776">
        <v>0.23255813953488372</v>
      </c>
      <c r="AE18" s="526">
        <v>15</v>
      </c>
      <c r="AH18" s="392" t="s">
        <v>186</v>
      </c>
      <c r="AI18" s="392">
        <v>676.08870000000002</v>
      </c>
      <c r="AJ18" s="392">
        <v>116</v>
      </c>
      <c r="AK18" s="392">
        <v>112</v>
      </c>
      <c r="AL18" s="392">
        <v>9</v>
      </c>
      <c r="AN18" s="392" t="s">
        <v>186</v>
      </c>
      <c r="AO18" s="528">
        <v>40</v>
      </c>
    </row>
    <row r="19" spans="1:41" s="393" customFormat="1" ht="50" customHeight="1">
      <c r="A19" s="759">
        <v>13</v>
      </c>
      <c r="B19" s="727" t="s">
        <v>206</v>
      </c>
      <c r="C19" s="727" t="s">
        <v>485</v>
      </c>
      <c r="D19" s="728">
        <v>20103</v>
      </c>
      <c r="E19" s="729">
        <v>824304</v>
      </c>
      <c r="F19" s="730">
        <v>0.55322416107382555</v>
      </c>
      <c r="G19" s="731">
        <v>107</v>
      </c>
      <c r="H19" s="724"/>
      <c r="I19" s="759">
        <v>13</v>
      </c>
      <c r="J19" s="727" t="s">
        <v>518</v>
      </c>
      <c r="K19" s="727" t="s">
        <v>617</v>
      </c>
      <c r="L19" s="727">
        <v>592</v>
      </c>
      <c r="M19" s="732">
        <v>330</v>
      </c>
      <c r="N19" s="733">
        <v>0.55743243243243246</v>
      </c>
      <c r="O19" s="734">
        <v>331.41666666666669</v>
      </c>
      <c r="P19" s="724"/>
      <c r="Q19" s="759">
        <v>13</v>
      </c>
      <c r="R19" s="727" t="s">
        <v>3</v>
      </c>
      <c r="S19" s="727" t="s">
        <v>130</v>
      </c>
      <c r="T19" s="727">
        <v>45</v>
      </c>
      <c r="U19" s="732">
        <v>14</v>
      </c>
      <c r="V19" s="733">
        <v>0.31111111111111112</v>
      </c>
      <c r="W19" s="720">
        <v>26</v>
      </c>
      <c r="X19" s="398"/>
      <c r="Y19" s="759">
        <v>13</v>
      </c>
      <c r="Z19" s="774" t="s">
        <v>3</v>
      </c>
      <c r="AA19" s="775" t="s">
        <v>130</v>
      </c>
      <c r="AB19" s="727">
        <v>45</v>
      </c>
      <c r="AC19" s="732">
        <v>10</v>
      </c>
      <c r="AD19" s="776">
        <v>0.22222222222222221</v>
      </c>
      <c r="AE19" s="526">
        <v>20</v>
      </c>
      <c r="AH19" s="393" t="s">
        <v>187</v>
      </c>
      <c r="AI19" s="393">
        <v>1232.4165</v>
      </c>
      <c r="AJ19" s="393">
        <v>248</v>
      </c>
      <c r="AK19" s="393">
        <v>239</v>
      </c>
      <c r="AL19" s="392">
        <v>14</v>
      </c>
      <c r="AN19" s="393" t="s">
        <v>187</v>
      </c>
      <c r="AO19" s="529">
        <v>71</v>
      </c>
    </row>
    <row r="20" spans="1:41" s="393" customFormat="1" ht="50" customHeight="1">
      <c r="A20" s="759">
        <v>14</v>
      </c>
      <c r="B20" s="727" t="s">
        <v>218</v>
      </c>
      <c r="C20" s="727" t="s">
        <v>69</v>
      </c>
      <c r="D20" s="728">
        <v>110336</v>
      </c>
      <c r="E20" s="729">
        <v>764328</v>
      </c>
      <c r="F20" s="730">
        <v>0.52712275862068969</v>
      </c>
      <c r="G20" s="731">
        <v>135</v>
      </c>
      <c r="H20" s="724"/>
      <c r="I20" s="759">
        <v>14</v>
      </c>
      <c r="J20" s="727" t="s">
        <v>218</v>
      </c>
      <c r="K20" s="727" t="s">
        <v>69</v>
      </c>
      <c r="L20" s="727">
        <v>40</v>
      </c>
      <c r="M20" s="732">
        <v>22</v>
      </c>
      <c r="N20" s="733">
        <v>0.55000000000000004</v>
      </c>
      <c r="O20" s="734">
        <v>22.5</v>
      </c>
      <c r="P20" s="724"/>
      <c r="Q20" s="736">
        <v>14</v>
      </c>
      <c r="R20" s="727" t="s">
        <v>462</v>
      </c>
      <c r="S20" s="727" t="s">
        <v>425</v>
      </c>
      <c r="T20" s="727">
        <v>33</v>
      </c>
      <c r="U20" s="732">
        <v>10</v>
      </c>
      <c r="V20" s="733">
        <v>0.30303030303030304</v>
      </c>
      <c r="W20" s="720">
        <v>20.916666666666668</v>
      </c>
      <c r="X20" s="398"/>
      <c r="Y20" s="736">
        <v>14</v>
      </c>
      <c r="Z20" s="774" t="s">
        <v>614</v>
      </c>
      <c r="AA20" s="775" t="s">
        <v>615</v>
      </c>
      <c r="AB20" s="727">
        <v>36</v>
      </c>
      <c r="AC20" s="732">
        <v>7</v>
      </c>
      <c r="AD20" s="776">
        <v>0.19444444444444445</v>
      </c>
      <c r="AE20" s="526">
        <v>15</v>
      </c>
      <c r="AH20" s="393" t="s">
        <v>462</v>
      </c>
      <c r="AI20" s="393">
        <v>1065.4064000000001</v>
      </c>
      <c r="AJ20" s="393">
        <v>301</v>
      </c>
      <c r="AK20" s="393">
        <v>251</v>
      </c>
      <c r="AL20" s="392">
        <v>12</v>
      </c>
      <c r="AN20" s="393" t="s">
        <v>462</v>
      </c>
      <c r="AO20" s="529">
        <v>52</v>
      </c>
    </row>
    <row r="21" spans="1:41" s="393" customFormat="1" ht="50" customHeight="1">
      <c r="A21" s="736">
        <v>15</v>
      </c>
      <c r="B21" s="727" t="s">
        <v>269</v>
      </c>
      <c r="C21" s="727" t="s">
        <v>81</v>
      </c>
      <c r="D21" s="728">
        <v>17476</v>
      </c>
      <c r="E21" s="729">
        <v>350536</v>
      </c>
      <c r="F21" s="730">
        <v>0.50802318840579708</v>
      </c>
      <c r="G21" s="731">
        <v>64</v>
      </c>
      <c r="H21" s="724"/>
      <c r="I21" s="736">
        <v>15</v>
      </c>
      <c r="J21" s="727" t="s">
        <v>3</v>
      </c>
      <c r="K21" s="727" t="s">
        <v>130</v>
      </c>
      <c r="L21" s="727">
        <v>45</v>
      </c>
      <c r="M21" s="732">
        <v>23</v>
      </c>
      <c r="N21" s="733">
        <v>0.51111111111111107</v>
      </c>
      <c r="O21" s="734">
        <v>26.333333333333332</v>
      </c>
      <c r="P21" s="724"/>
      <c r="Q21" s="737">
        <v>15</v>
      </c>
      <c r="R21" s="738" t="s">
        <v>632</v>
      </c>
      <c r="S21" s="738" t="s">
        <v>227</v>
      </c>
      <c r="T21" s="738">
        <v>42</v>
      </c>
      <c r="U21" s="739">
        <v>12</v>
      </c>
      <c r="V21" s="740">
        <v>0.2857142857142857</v>
      </c>
      <c r="W21" s="721">
        <v>22.083333333333332</v>
      </c>
      <c r="X21" s="398"/>
      <c r="Y21" s="737">
        <v>15</v>
      </c>
      <c r="Z21" s="777" t="s">
        <v>387</v>
      </c>
      <c r="AA21" s="778" t="s">
        <v>388</v>
      </c>
      <c r="AB21" s="738">
        <v>31</v>
      </c>
      <c r="AC21" s="739">
        <v>6</v>
      </c>
      <c r="AD21" s="779">
        <v>0.19354838709677419</v>
      </c>
      <c r="AE21" s="544">
        <v>13</v>
      </c>
      <c r="AH21" s="393" t="s">
        <v>585</v>
      </c>
      <c r="AI21" s="393">
        <v>1392.3</v>
      </c>
      <c r="AJ21" s="393">
        <v>264</v>
      </c>
      <c r="AK21" s="393">
        <v>236</v>
      </c>
      <c r="AL21" s="392">
        <v>15</v>
      </c>
      <c r="AN21" s="393" t="s">
        <v>585</v>
      </c>
      <c r="AO21" s="529">
        <v>88</v>
      </c>
    </row>
    <row r="22" spans="1:41" s="394" customFormat="1" ht="50" customHeight="1">
      <c r="A22" s="737">
        <v>16</v>
      </c>
      <c r="B22" s="738" t="s">
        <v>4</v>
      </c>
      <c r="C22" s="738" t="s">
        <v>149</v>
      </c>
      <c r="D22" s="741">
        <v>9944</v>
      </c>
      <c r="E22" s="742">
        <v>1511488</v>
      </c>
      <c r="F22" s="743">
        <v>0.45390030030030032</v>
      </c>
      <c r="G22" s="744">
        <v>297</v>
      </c>
      <c r="H22" s="745"/>
      <c r="I22" s="737">
        <v>16</v>
      </c>
      <c r="J22" s="738" t="s">
        <v>269</v>
      </c>
      <c r="K22" s="738" t="s">
        <v>81</v>
      </c>
      <c r="L22" s="738">
        <v>20</v>
      </c>
      <c r="M22" s="739">
        <v>9</v>
      </c>
      <c r="N22" s="740">
        <v>0.45</v>
      </c>
      <c r="O22" s="746">
        <v>13.25</v>
      </c>
      <c r="P22" s="745"/>
      <c r="Q22" s="736">
        <v>16</v>
      </c>
      <c r="R22" s="727" t="s">
        <v>387</v>
      </c>
      <c r="S22" s="727" t="s">
        <v>388</v>
      </c>
      <c r="T22" s="727">
        <v>31</v>
      </c>
      <c r="U22" s="732">
        <v>8</v>
      </c>
      <c r="V22" s="733">
        <v>0.25806451612903225</v>
      </c>
      <c r="W22" s="720">
        <v>19.916666666666668</v>
      </c>
      <c r="X22" s="398"/>
      <c r="Y22" s="736">
        <v>14</v>
      </c>
      <c r="Z22" s="774" t="s">
        <v>462</v>
      </c>
      <c r="AA22" s="775" t="s">
        <v>425</v>
      </c>
      <c r="AB22" s="727">
        <v>33</v>
      </c>
      <c r="AC22" s="732">
        <v>6</v>
      </c>
      <c r="AD22" s="776">
        <v>0.18181818181818182</v>
      </c>
      <c r="AE22" s="526">
        <v>12</v>
      </c>
      <c r="AH22" s="394" t="s">
        <v>376</v>
      </c>
      <c r="AI22" s="394">
        <v>23334.811799999996</v>
      </c>
      <c r="AJ22" s="394">
        <v>3977</v>
      </c>
      <c r="AK22" s="394">
        <v>3800</v>
      </c>
      <c r="AL22" s="392">
        <v>228</v>
      </c>
      <c r="AN22" s="394" t="s">
        <v>518</v>
      </c>
      <c r="AO22" s="530">
        <v>1519</v>
      </c>
    </row>
    <row r="23" spans="1:41" s="394" customFormat="1" ht="50" customHeight="1">
      <c r="A23" s="737">
        <v>17</v>
      </c>
      <c r="B23" s="738" t="s">
        <v>462</v>
      </c>
      <c r="C23" s="738" t="s">
        <v>425</v>
      </c>
      <c r="D23" s="741">
        <v>0</v>
      </c>
      <c r="E23" s="742">
        <v>443022</v>
      </c>
      <c r="F23" s="743">
        <v>0.40274727272727273</v>
      </c>
      <c r="G23" s="744">
        <v>88</v>
      </c>
      <c r="H23" s="745"/>
      <c r="I23" s="737">
        <v>17</v>
      </c>
      <c r="J23" s="738" t="s">
        <v>387</v>
      </c>
      <c r="K23" s="738" t="s">
        <v>388</v>
      </c>
      <c r="L23" s="738">
        <v>31</v>
      </c>
      <c r="M23" s="739">
        <v>13</v>
      </c>
      <c r="N23" s="740">
        <v>0.41935483870967744</v>
      </c>
      <c r="O23" s="746">
        <v>17.666666666666668</v>
      </c>
      <c r="P23" s="745"/>
      <c r="Q23" s="736">
        <v>17</v>
      </c>
      <c r="R23" s="727" t="s">
        <v>1</v>
      </c>
      <c r="S23" s="727" t="s">
        <v>53</v>
      </c>
      <c r="T23" s="727">
        <v>20</v>
      </c>
      <c r="U23" s="732">
        <v>5</v>
      </c>
      <c r="V23" s="733">
        <v>0.25</v>
      </c>
      <c r="W23" s="720">
        <v>6.666666666666667</v>
      </c>
      <c r="X23" s="398"/>
      <c r="Y23" s="736">
        <v>14</v>
      </c>
      <c r="Z23" s="774" t="s">
        <v>1</v>
      </c>
      <c r="AA23" s="775" t="s">
        <v>53</v>
      </c>
      <c r="AB23" s="727">
        <v>20</v>
      </c>
      <c r="AC23" s="732">
        <v>3</v>
      </c>
      <c r="AD23" s="776">
        <v>0.15</v>
      </c>
      <c r="AE23" s="526">
        <v>6</v>
      </c>
      <c r="AH23" s="394" t="s">
        <v>376</v>
      </c>
      <c r="AI23" s="394">
        <v>23334.811799999996</v>
      </c>
      <c r="AJ23" s="394">
        <v>3977</v>
      </c>
      <c r="AK23" s="394">
        <v>3800</v>
      </c>
      <c r="AL23" s="392">
        <v>228</v>
      </c>
      <c r="AN23" s="394" t="s">
        <v>518</v>
      </c>
      <c r="AO23" s="530">
        <v>1519</v>
      </c>
    </row>
    <row r="24" spans="1:41" s="394" customFormat="1" ht="50" customHeight="1" thickBot="1">
      <c r="A24" s="736">
        <v>18</v>
      </c>
      <c r="B24" s="727" t="s">
        <v>614</v>
      </c>
      <c r="C24" s="727" t="s">
        <v>615</v>
      </c>
      <c r="D24" s="728">
        <v>25786</v>
      </c>
      <c r="E24" s="729">
        <v>523485</v>
      </c>
      <c r="F24" s="730">
        <v>0.39359774436090228</v>
      </c>
      <c r="G24" s="731">
        <v>116</v>
      </c>
      <c r="H24" s="745"/>
      <c r="I24" s="736">
        <v>18</v>
      </c>
      <c r="J24" s="727" t="s">
        <v>4</v>
      </c>
      <c r="K24" s="727" t="s">
        <v>149</v>
      </c>
      <c r="L24" s="727">
        <v>108</v>
      </c>
      <c r="M24" s="732">
        <v>38</v>
      </c>
      <c r="N24" s="733">
        <v>0.35185185185185186</v>
      </c>
      <c r="O24" s="734">
        <v>47.5</v>
      </c>
      <c r="P24" s="745"/>
      <c r="Q24" s="747">
        <v>18</v>
      </c>
      <c r="R24" s="748" t="s">
        <v>4</v>
      </c>
      <c r="S24" s="748" t="s">
        <v>149</v>
      </c>
      <c r="T24" s="748">
        <v>108</v>
      </c>
      <c r="U24" s="749">
        <v>22</v>
      </c>
      <c r="V24" s="750">
        <v>0.20370370370370369</v>
      </c>
      <c r="W24" s="722">
        <v>47.5</v>
      </c>
      <c r="X24" s="398"/>
      <c r="Y24" s="747">
        <v>15</v>
      </c>
      <c r="Z24" s="780" t="s">
        <v>4</v>
      </c>
      <c r="AA24" s="781" t="s">
        <v>149</v>
      </c>
      <c r="AB24" s="748">
        <v>108</v>
      </c>
      <c r="AC24" s="749">
        <v>16</v>
      </c>
      <c r="AD24" s="782">
        <v>0.14814814814814814</v>
      </c>
      <c r="AE24" s="571">
        <v>32</v>
      </c>
      <c r="AL24" s="392"/>
      <c r="AO24" s="530"/>
    </row>
    <row r="25" spans="1:41" s="394" customFormat="1" ht="50" customHeight="1" thickBot="1">
      <c r="A25" s="747">
        <v>19</v>
      </c>
      <c r="B25" s="748" t="s">
        <v>3</v>
      </c>
      <c r="C25" s="748" t="s">
        <v>130</v>
      </c>
      <c r="D25" s="751">
        <v>0</v>
      </c>
      <c r="E25" s="752">
        <v>704970</v>
      </c>
      <c r="F25" s="753">
        <v>0.38313586956521739</v>
      </c>
      <c r="G25" s="754">
        <v>156</v>
      </c>
      <c r="H25" s="745"/>
      <c r="I25" s="747">
        <v>19</v>
      </c>
      <c r="J25" s="748" t="s">
        <v>1</v>
      </c>
      <c r="K25" s="748" t="s">
        <v>53</v>
      </c>
      <c r="L25" s="748">
        <v>20</v>
      </c>
      <c r="M25" s="749">
        <v>6</v>
      </c>
      <c r="N25" s="750">
        <v>0.3</v>
      </c>
      <c r="O25" s="755">
        <v>7.583333333333333</v>
      </c>
      <c r="P25" s="745"/>
      <c r="Q25" s="756"/>
      <c r="R25" s="712"/>
      <c r="S25" s="712"/>
      <c r="T25" s="712"/>
      <c r="U25" s="757"/>
      <c r="V25" s="758"/>
      <c r="W25" s="716"/>
      <c r="X25" s="399"/>
      <c r="Y25" s="539"/>
      <c r="Z25" s="540"/>
      <c r="AA25" s="398"/>
      <c r="AB25" s="541"/>
      <c r="AC25" s="542"/>
      <c r="AD25" s="543"/>
      <c r="AE25" s="542"/>
      <c r="AL25" s="392"/>
      <c r="AO25" s="530"/>
    </row>
    <row r="26" spans="1:41" s="394" customFormat="1" ht="50" customHeight="1">
      <c r="A26" s="539"/>
      <c r="B26" s="541"/>
      <c r="C26" s="541"/>
      <c r="D26" s="568"/>
      <c r="E26" s="569"/>
      <c r="F26" s="570"/>
      <c r="G26" s="714"/>
      <c r="H26" s="399"/>
      <c r="I26" s="539"/>
      <c r="J26" s="541"/>
      <c r="K26" s="541"/>
      <c r="L26" s="541"/>
      <c r="M26" s="542"/>
      <c r="N26" s="543"/>
      <c r="O26" s="716"/>
      <c r="P26" s="399"/>
      <c r="Q26" s="539"/>
      <c r="R26" s="541"/>
      <c r="S26" s="541"/>
      <c r="T26" s="541"/>
      <c r="U26" s="542"/>
      <c r="V26" s="543"/>
      <c r="W26" s="716"/>
      <c r="X26" s="399"/>
      <c r="Y26" s="539"/>
      <c r="Z26" s="540"/>
      <c r="AA26" s="398"/>
      <c r="AB26" s="541"/>
      <c r="AC26" s="542"/>
      <c r="AD26" s="543"/>
      <c r="AE26" s="542"/>
      <c r="AL26" s="392"/>
      <c r="AO26" s="530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5" t="s">
        <v>738</v>
      </c>
      <c r="B3" s="425" t="s">
        <v>673</v>
      </c>
    </row>
    <row r="4" spans="1:18" ht="16" thickTop="1">
      <c r="A4" s="425" t="s">
        <v>668</v>
      </c>
      <c r="B4">
        <v>0</v>
      </c>
      <c r="C4" t="s">
        <v>242</v>
      </c>
      <c r="D4" t="s">
        <v>167</v>
      </c>
      <c r="E4" t="s">
        <v>51</v>
      </c>
      <c r="F4" t="s">
        <v>171</v>
      </c>
      <c r="G4" t="s">
        <v>169</v>
      </c>
      <c r="H4" t="s">
        <v>669</v>
      </c>
      <c r="I4" t="s">
        <v>355</v>
      </c>
      <c r="J4" t="s">
        <v>670</v>
      </c>
      <c r="K4" t="s">
        <v>671</v>
      </c>
      <c r="L4" t="s">
        <v>672</v>
      </c>
      <c r="O4" s="467" t="s">
        <v>676</v>
      </c>
      <c r="P4" s="460" t="s">
        <v>675</v>
      </c>
      <c r="Q4" s="460" t="s">
        <v>674</v>
      </c>
      <c r="R4" s="461" t="s">
        <v>680</v>
      </c>
    </row>
    <row r="5" spans="1:18">
      <c r="A5" s="241" t="s">
        <v>182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182</v>
      </c>
      <c r="O5" s="456">
        <f>C5+D5+E5</f>
        <v>0</v>
      </c>
      <c r="P5" s="457">
        <f>F5</f>
        <v>0</v>
      </c>
      <c r="Q5" s="458">
        <f>G5</f>
        <v>0</v>
      </c>
      <c r="R5" s="462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6">
        <f t="shared" ref="O6:O18" si="0">C6+D6+E6</f>
        <v>0</v>
      </c>
      <c r="P6" s="457">
        <f t="shared" ref="P6:P18" si="1">F6</f>
        <v>0</v>
      </c>
      <c r="Q6" s="458">
        <f t="shared" ref="Q6:Q19" si="2">G6</f>
        <v>1</v>
      </c>
      <c r="R6" s="462">
        <f t="shared" ref="R6:R19" si="3">SUM(O6:Q6)</f>
        <v>1</v>
      </c>
    </row>
    <row r="7" spans="1:18">
      <c r="A7" s="241" t="s">
        <v>303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303</v>
      </c>
      <c r="O7" s="456">
        <f t="shared" si="0"/>
        <v>0</v>
      </c>
      <c r="P7" s="457">
        <f t="shared" si="1"/>
        <v>0</v>
      </c>
      <c r="Q7" s="458">
        <f t="shared" si="2"/>
        <v>1</v>
      </c>
      <c r="R7" s="462">
        <f t="shared" si="3"/>
        <v>1</v>
      </c>
    </row>
    <row r="8" spans="1:18">
      <c r="A8" s="241" t="s">
        <v>185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185</v>
      </c>
      <c r="O8" s="456">
        <f t="shared" si="0"/>
        <v>0</v>
      </c>
      <c r="P8" s="457">
        <f t="shared" si="1"/>
        <v>1</v>
      </c>
      <c r="Q8" s="458">
        <f t="shared" si="2"/>
        <v>5</v>
      </c>
      <c r="R8" s="462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6">
        <f t="shared" si="0"/>
        <v>0</v>
      </c>
      <c r="P9" s="457">
        <f t="shared" si="1"/>
        <v>0</v>
      </c>
      <c r="Q9" s="458">
        <f t="shared" si="2"/>
        <v>1</v>
      </c>
      <c r="R9" s="462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6">
        <f t="shared" si="0"/>
        <v>0</v>
      </c>
      <c r="P10" s="457">
        <f t="shared" si="1"/>
        <v>1</v>
      </c>
      <c r="Q10" s="458">
        <f t="shared" si="2"/>
        <v>4</v>
      </c>
      <c r="R10" s="462">
        <f t="shared" si="3"/>
        <v>5</v>
      </c>
    </row>
    <row r="11" spans="1:18">
      <c r="A11" s="241" t="s">
        <v>269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269</v>
      </c>
      <c r="O11" s="456">
        <f t="shared" si="0"/>
        <v>0</v>
      </c>
      <c r="P11" s="457">
        <f t="shared" si="1"/>
        <v>0</v>
      </c>
      <c r="Q11" s="458">
        <f t="shared" si="2"/>
        <v>2</v>
      </c>
      <c r="R11" s="462">
        <f t="shared" si="3"/>
        <v>2</v>
      </c>
    </row>
    <row r="12" spans="1:18">
      <c r="A12" s="241" t="s">
        <v>206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206</v>
      </c>
      <c r="O12" s="456">
        <f t="shared" si="0"/>
        <v>0</v>
      </c>
      <c r="P12" s="457">
        <f t="shared" si="1"/>
        <v>0</v>
      </c>
      <c r="Q12" s="458">
        <f t="shared" si="2"/>
        <v>1</v>
      </c>
      <c r="R12" s="462">
        <f t="shared" si="3"/>
        <v>1</v>
      </c>
    </row>
    <row r="13" spans="1:18">
      <c r="A13" s="241" t="s">
        <v>218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218</v>
      </c>
      <c r="O13" s="456">
        <f t="shared" si="0"/>
        <v>0</v>
      </c>
      <c r="P13" s="457">
        <f t="shared" si="1"/>
        <v>0</v>
      </c>
      <c r="Q13" s="458">
        <f t="shared" si="2"/>
        <v>1</v>
      </c>
      <c r="R13" s="462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6">
        <f t="shared" si="0"/>
        <v>0</v>
      </c>
      <c r="P14" s="457">
        <f t="shared" si="1"/>
        <v>0</v>
      </c>
      <c r="Q14" s="458">
        <f t="shared" si="2"/>
        <v>0</v>
      </c>
      <c r="R14" s="462">
        <f t="shared" si="3"/>
        <v>0</v>
      </c>
    </row>
    <row r="15" spans="1:18">
      <c r="A15" s="241" t="s">
        <v>387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387</v>
      </c>
      <c r="O15" s="456">
        <f t="shared" si="0"/>
        <v>0</v>
      </c>
      <c r="P15" s="457">
        <f t="shared" si="1"/>
        <v>0</v>
      </c>
      <c r="Q15" s="458">
        <f t="shared" si="2"/>
        <v>0</v>
      </c>
      <c r="R15" s="462">
        <f t="shared" si="3"/>
        <v>0</v>
      </c>
    </row>
    <row r="16" spans="1:18">
      <c r="A16" s="241" t="s">
        <v>186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186</v>
      </c>
      <c r="O16" s="456">
        <f t="shared" si="0"/>
        <v>0</v>
      </c>
      <c r="P16" s="457">
        <f t="shared" si="1"/>
        <v>1</v>
      </c>
      <c r="Q16" s="458">
        <f t="shared" si="2"/>
        <v>0</v>
      </c>
      <c r="R16" s="462">
        <f t="shared" si="3"/>
        <v>1</v>
      </c>
    </row>
    <row r="17" spans="1:18">
      <c r="A17" s="241" t="s">
        <v>187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187</v>
      </c>
      <c r="O17" s="456">
        <f t="shared" si="0"/>
        <v>0</v>
      </c>
      <c r="P17" s="457">
        <f t="shared" si="1"/>
        <v>0</v>
      </c>
      <c r="Q17" s="458">
        <f t="shared" si="2"/>
        <v>2</v>
      </c>
      <c r="R17" s="462">
        <f t="shared" si="3"/>
        <v>2</v>
      </c>
    </row>
    <row r="18" spans="1:18">
      <c r="A18" s="241" t="s">
        <v>462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462</v>
      </c>
      <c r="O18" s="456">
        <f t="shared" si="0"/>
        <v>0</v>
      </c>
      <c r="P18" s="457">
        <f t="shared" si="1"/>
        <v>0</v>
      </c>
      <c r="Q18" s="458">
        <f t="shared" si="2"/>
        <v>2</v>
      </c>
      <c r="R18" s="462">
        <f t="shared" si="3"/>
        <v>2</v>
      </c>
    </row>
    <row r="19" spans="1:18" ht="16" thickBot="1">
      <c r="A19" s="241" t="s">
        <v>585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585</v>
      </c>
      <c r="O19" s="463">
        <f>C19+D19+E19</f>
        <v>0</v>
      </c>
      <c r="P19" s="464">
        <f>F19</f>
        <v>0</v>
      </c>
      <c r="Q19" s="465">
        <f t="shared" si="2"/>
        <v>1</v>
      </c>
      <c r="R19" s="466">
        <f t="shared" si="3"/>
        <v>1</v>
      </c>
    </row>
    <row r="20" spans="1:18" ht="16" thickTop="1">
      <c r="A20" s="241" t="s">
        <v>671</v>
      </c>
      <c r="O20" s="459">
        <f t="shared" ref="O20" si="4">C20+D20+E20</f>
        <v>0</v>
      </c>
      <c r="P20" s="459">
        <f t="shared" ref="P20" si="5">F20</f>
        <v>0</v>
      </c>
      <c r="Q20" s="459">
        <f t="shared" ref="Q20" si="6">G20</f>
        <v>0</v>
      </c>
      <c r="R20" s="459">
        <f t="shared" ref="R20" si="7">SUM(O20:Q20)</f>
        <v>0</v>
      </c>
    </row>
    <row r="21" spans="1:18">
      <c r="A21" s="241" t="s">
        <v>672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96" t="e">
        <f>#REF!</f>
        <v>#REF!</v>
      </c>
      <c r="B1" s="996"/>
      <c r="C1" s="996"/>
      <c r="D1" s="996"/>
      <c r="E1" s="996"/>
      <c r="F1" s="996"/>
      <c r="G1" s="996"/>
      <c r="H1" s="996"/>
      <c r="I1" s="996"/>
      <c r="J1" s="996"/>
      <c r="K1" s="996"/>
      <c r="L1" s="996"/>
      <c r="M1" s="996"/>
      <c r="N1" s="996"/>
      <c r="O1" s="996"/>
      <c r="P1" s="996"/>
      <c r="Q1" s="996"/>
      <c r="R1" s="996"/>
      <c r="S1" s="996"/>
      <c r="T1" s="996"/>
      <c r="U1" s="996"/>
      <c r="V1" s="996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192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97" t="s">
        <v>555</v>
      </c>
      <c r="B5" s="257" t="s">
        <v>333</v>
      </c>
      <c r="C5" s="999" t="s">
        <v>5</v>
      </c>
      <c r="D5" s="989" t="s">
        <v>526</v>
      </c>
      <c r="E5" s="1001" t="s">
        <v>190</v>
      </c>
      <c r="F5" s="1003" t="e">
        <f>#REF!</f>
        <v>#REF!</v>
      </c>
      <c r="G5" s="1005" t="s">
        <v>512</v>
      </c>
      <c r="H5" s="1006"/>
      <c r="I5" s="1006"/>
      <c r="J5" s="1007" t="e">
        <f>#REF!</f>
        <v>#REF!</v>
      </c>
      <c r="K5" s="1008"/>
      <c r="L5" s="1009"/>
      <c r="M5" s="1010" t="s">
        <v>558</v>
      </c>
      <c r="N5" s="1011"/>
      <c r="O5" s="1010" t="s">
        <v>559</v>
      </c>
      <c r="P5" s="1011"/>
      <c r="Q5" s="1010" t="s">
        <v>618</v>
      </c>
      <c r="R5" s="1011"/>
      <c r="S5" s="986" t="s">
        <v>552</v>
      </c>
      <c r="T5" s="988" t="e">
        <f>#REF!</f>
        <v>#REF!</v>
      </c>
      <c r="U5" s="989"/>
      <c r="V5" s="990"/>
      <c r="W5" s="94"/>
      <c r="X5" s="83"/>
      <c r="Y5" s="84"/>
      <c r="Z5" s="240" t="s">
        <v>569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98"/>
      <c r="B6" s="258" t="s">
        <v>193</v>
      </c>
      <c r="C6" s="1000"/>
      <c r="D6" s="1000"/>
      <c r="E6" s="1002"/>
      <c r="F6" s="1004"/>
      <c r="G6" s="171" t="s">
        <v>0</v>
      </c>
      <c r="H6" s="172" t="s">
        <v>330</v>
      </c>
      <c r="I6" s="172" t="s">
        <v>191</v>
      </c>
      <c r="J6" s="173" t="s">
        <v>0</v>
      </c>
      <c r="K6" s="174" t="e">
        <f>#REF!</f>
        <v>#REF!</v>
      </c>
      <c r="L6" s="175" t="s">
        <v>191</v>
      </c>
      <c r="M6" s="162" t="s">
        <v>506</v>
      </c>
      <c r="N6" s="163" t="s">
        <v>507</v>
      </c>
      <c r="O6" s="345" t="s">
        <v>506</v>
      </c>
      <c r="P6" s="346" t="s">
        <v>549</v>
      </c>
      <c r="Q6" s="345" t="s">
        <v>619</v>
      </c>
      <c r="R6" s="346" t="s">
        <v>620</v>
      </c>
      <c r="S6" s="987"/>
      <c r="T6" s="166" t="s">
        <v>331</v>
      </c>
      <c r="U6" s="167" t="s">
        <v>332</v>
      </c>
      <c r="V6" s="168" t="s">
        <v>193</v>
      </c>
      <c r="Y6" s="83"/>
      <c r="Z6" s="235" t="s">
        <v>500</v>
      </c>
      <c r="AA6" s="235" t="s">
        <v>566</v>
      </c>
      <c r="AB6" s="235" t="s">
        <v>567</v>
      </c>
      <c r="AC6" s="235" t="s">
        <v>332</v>
      </c>
      <c r="AD6" s="235" t="s">
        <v>568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91" t="s">
        <v>556</v>
      </c>
      <c r="B7" s="259" t="e">
        <f>RANK($L7,$L$7:$L$22)</f>
        <v>#REF!</v>
      </c>
      <c r="C7" s="207" t="s">
        <v>182</v>
      </c>
      <c r="D7" s="208" t="s">
        <v>37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7" t="e">
        <f>VLOOKUP($C7,#REF!,13,FALSE)</f>
        <v>#REF!</v>
      </c>
      <c r="P7" s="348" t="e">
        <f>VLOOKUP($C7,#REF!,14,FALSE)</f>
        <v>#REF!</v>
      </c>
      <c r="Q7" s="347" t="e">
        <f>VLOOKUP($C7,#REF!,15,FALSE)</f>
        <v>#REF!</v>
      </c>
      <c r="R7" s="348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92"/>
      <c r="B8" s="260" t="e">
        <f t="shared" ref="B8:B21" si="0">RANK($L8,$L$7:$L$22)</f>
        <v>#REF!</v>
      </c>
      <c r="C8" s="211" t="s">
        <v>3</v>
      </c>
      <c r="D8" s="212" t="s">
        <v>130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92"/>
      <c r="B9" s="261" t="e">
        <f t="shared" si="0"/>
        <v>#REF!</v>
      </c>
      <c r="C9" s="214" t="s">
        <v>4</v>
      </c>
      <c r="D9" s="215" t="s">
        <v>149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92"/>
      <c r="B10" s="260" t="e">
        <f t="shared" si="0"/>
        <v>#REF!</v>
      </c>
      <c r="C10" s="211" t="s">
        <v>269</v>
      </c>
      <c r="D10" s="212" t="s">
        <v>81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92"/>
      <c r="B11" s="261" t="e">
        <f t="shared" si="0"/>
        <v>#REF!</v>
      </c>
      <c r="C11" s="211" t="s">
        <v>185</v>
      </c>
      <c r="D11" s="212" t="s">
        <v>74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92"/>
      <c r="B12" s="260" t="e">
        <f t="shared" si="0"/>
        <v>#REF!</v>
      </c>
      <c r="C12" s="211" t="s">
        <v>614</v>
      </c>
      <c r="D12" s="212" t="s">
        <v>615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93"/>
      <c r="B13" s="262" t="e">
        <f t="shared" si="0"/>
        <v>#REF!</v>
      </c>
      <c r="C13" s="216" t="s">
        <v>206</v>
      </c>
      <c r="D13" s="217" t="s">
        <v>485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94" t="s">
        <v>557</v>
      </c>
      <c r="B14" s="260" t="e">
        <f t="shared" si="0"/>
        <v>#REF!</v>
      </c>
      <c r="C14" s="211" t="s">
        <v>1</v>
      </c>
      <c r="D14" s="212" t="s">
        <v>53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92"/>
      <c r="B15" s="261" t="e">
        <f t="shared" si="0"/>
        <v>#REF!</v>
      </c>
      <c r="C15" s="214" t="s">
        <v>186</v>
      </c>
      <c r="D15" s="215" t="s">
        <v>486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92"/>
      <c r="B16" s="260" t="e">
        <f t="shared" si="0"/>
        <v>#REF!</v>
      </c>
      <c r="C16" s="214" t="s">
        <v>387</v>
      </c>
      <c r="D16" s="215" t="s">
        <v>388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92"/>
      <c r="B17" s="261" t="e">
        <f t="shared" si="0"/>
        <v>#REF!</v>
      </c>
      <c r="C17" s="214" t="s">
        <v>218</v>
      </c>
      <c r="D17" s="215" t="s">
        <v>69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92"/>
      <c r="B18" s="260" t="e">
        <f t="shared" si="0"/>
        <v>#REF!</v>
      </c>
      <c r="C18" s="214" t="s">
        <v>303</v>
      </c>
      <c r="D18" s="215" t="s">
        <v>227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92"/>
      <c r="B19" s="261" t="e">
        <f t="shared" si="0"/>
        <v>#REF!</v>
      </c>
      <c r="C19" s="214" t="s">
        <v>187</v>
      </c>
      <c r="D19" s="215" t="s">
        <v>456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92"/>
      <c r="B20" s="260" t="e">
        <f t="shared" si="0"/>
        <v>#REF!</v>
      </c>
      <c r="C20" s="214" t="s">
        <v>492</v>
      </c>
      <c r="D20" s="215" t="s">
        <v>64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93"/>
      <c r="B21" s="261" t="e">
        <f t="shared" si="0"/>
        <v>#REF!</v>
      </c>
      <c r="C21" s="301" t="s">
        <v>2</v>
      </c>
      <c r="D21" s="302" t="s">
        <v>123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95"/>
      <c r="B22" s="261" t="e">
        <f>RANK($L22,$L$7:$L$22)</f>
        <v>#REF!</v>
      </c>
      <c r="C22" s="304" t="s">
        <v>462</v>
      </c>
      <c r="D22" s="305" t="s">
        <v>425</v>
      </c>
      <c r="E22" s="336" t="e">
        <f>VLOOKUP($C22,#REF!,3,FALSE)</f>
        <v>#REF!</v>
      </c>
      <c r="F22" s="219" t="e">
        <f>VLOOKUP($C22,#REF!,4,FALSE)</f>
        <v>#REF!</v>
      </c>
      <c r="G22" s="337" t="e">
        <f>VLOOKUP($C22,#REF!,5,FALSE)</f>
        <v>#REF!</v>
      </c>
      <c r="H22" s="338" t="e">
        <f>VLOOKUP($C22,#REF!,6,FALSE)</f>
        <v>#REF!</v>
      </c>
      <c r="I22" s="339" t="e">
        <f>VLOOKUP($C22,#REF!,7,FALSE)</f>
        <v>#REF!</v>
      </c>
      <c r="J22" s="337" t="e">
        <f>VLOOKUP($C22,#REF!,8,FALSE)</f>
        <v>#REF!</v>
      </c>
      <c r="K22" s="340" t="e">
        <f>VLOOKUP($C22,#REF!,9,FALSE)</f>
        <v>#REF!</v>
      </c>
      <c r="L22" s="341" t="e">
        <f>VLOOKUP($C22,#REF!,10,FALSE)</f>
        <v>#REF!</v>
      </c>
      <c r="M22" s="342" t="e">
        <f>VLOOKUP($C22,#REF!,11,FALSE)</f>
        <v>#REF!</v>
      </c>
      <c r="N22" s="343" t="e">
        <f>VLOOKUP($C22,#REF!,12,FALSE)</f>
        <v>#REF!</v>
      </c>
      <c r="O22" s="342" t="e">
        <f>VLOOKUP($C22,#REF!,13,FALSE)</f>
        <v>#REF!</v>
      </c>
      <c r="P22" s="343" t="e">
        <f>VLOOKUP($C22,#REF!,14,FALSE)</f>
        <v>#REF!</v>
      </c>
      <c r="Q22" s="342" t="e">
        <f>VLOOKUP($C22,#REF!,15,FALSE)</f>
        <v>#REF!</v>
      </c>
      <c r="R22" s="343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4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376</v>
      </c>
      <c r="D23" s="220" t="s">
        <v>617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509</v>
      </c>
      <c r="D24" s="224" t="s">
        <v>227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537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2026-03-25T08:52:29Z</cp:lastPrinted>
  <dcterms:created xsi:type="dcterms:W3CDTF">2014-11-27T06:37:55Z</dcterms:created>
  <dcterms:modified xsi:type="dcterms:W3CDTF">2026-03-26T07:30:12Z</dcterms:modified>
</cp:coreProperties>
</file>