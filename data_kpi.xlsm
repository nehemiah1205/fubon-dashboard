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19180D42-3B00-2B4D-8C2B-9A1AAF6BE300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<sst xmlns="http://schemas.openxmlformats.org/spreadsheetml/2006/main" count="3185" uniqueCount="929">
  <si>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</si>
  <si>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</si>
  <si>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</si>
  <si>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</si>
  <si>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</si>
  <si>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</si>
  <si>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</si>
  <si>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</si>
  <si>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</si>
  <si>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</si>
  <si>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</si>
  <si>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</si>
  <si>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</si>
  <si>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</si>
  <si>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</si>
  <si>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</si>
  <si>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</si>
  <si>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</si>
  <si>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</si>
  <si>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</si>
  <si>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</si>
  <si>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</si>
  <si>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</si>
  <si>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</si>
  <si>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</si>
  <si>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</si>
  <si>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</si>
  <si>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</si>
  <si>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</si>
  <si>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</si>
  <si>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</si>
  <si>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</si>
  <si>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</si>
  <si>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</si>
  <si>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</si>
  <si>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</si>
  <si>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</si>
  <si>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</si>
  <si>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</si>
  <si>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</si>
  <si>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</si>
  <si>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</si>
  <si>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</si>
  <si>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</si>
  <si>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</si>
  <si>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</si>
  <si>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</si>
  <si>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</si>
  <si>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</si>
  <si>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</si>
  <si>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</si>
  <si>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</si>
  <si>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</si>
  <si>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</si>
  <si>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</si>
  <si>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</si>
  <si>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</si>
  <si>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</si>
  <si>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</si>
  <si>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</si>
  <si>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</si>
  <si>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</si>
  <si>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</si>
  <si>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</si>
  <si>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</si>
  <si>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</si>
  <si>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</si>
  <si>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</si>
  <si>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</si>
  <si>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</si>
  <si>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</si>
  <si>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</si>
  <si>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</si>
  <si>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</si>
  <si>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</si>
  <si>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</si>
  <si>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</si>
  <si>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</si>
  <si>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</si>
  <si>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</si>
  <si>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</si>
  <si>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</si>
  <si>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</si>
  <si>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</si>
  <si>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</si>
  <si>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</si>
  <si>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</si>
  <si>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</si>
  <si>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</si>
  <si>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</si>
  <si>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</si>
  <si>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</si>
  <si>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</si>
  <si>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</si>
  <si>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</si>
  <si>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</si>
  <si>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</si>
  <si>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</si>
  <si>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</si>
  <si>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</si>
  <si>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</si>
  <si>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</si>
  <si>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</si>
  <si>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</si>
  <si>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</si>
  <si>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</si>
  <si>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</si>
  <si>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</si>
  <si>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</si>
  <si>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</si>
  <si>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</si>
  <si>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</si>
  <si>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</si>
  <si>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</si>
  <si>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</si>
  <si>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</si>
  <si>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</si>
  <si>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</si>
  <si>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</si>
  <si>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</si>
  <si>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</si>
  <si>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</si>
  <si>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</si>
  <si>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</si>
  <si>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</si>
  <si>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</si>
  <si>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</si>
  <si>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</si>
  <si>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</si>
  <si>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</si>
  <si>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</si>
  <si>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</si>
  <si>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</si>
  <si>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</si>
  <si>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</si>
  <si>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</si>
  <si>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</si>
  <si>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</si>
  <si>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</si>
  <si>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</si>
  <si>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</si>
  <si>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</si>
  <si>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</si>
  <si>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</si>
  <si>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</si>
  <si>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</si>
  <si>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</si>
  <si>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</si>
  <si>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</si>
  <si>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</si>
  <si>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</si>
  <si>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</si>
  <si>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</si>
  <si>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</si>
  <si>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</si>
  <si>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</si>
  <si>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</si>
  <si>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</si>
  <si>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</si>
  <si>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</si>
  <si>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</si>
  <si>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</si>
  <si>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</si>
  <si>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</si>
  <si>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</si>
  <si>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</si>
  <si>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</si>
  <si>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</si>
  <si>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</si>
  <si>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</si>
  <si>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</si>
  <si>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</si>
  <si>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</si>
  <si>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</si>
  <si>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</si>
  <si>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</si>
  <si>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</si>
  <si>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</si>
  <si>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</si>
  <si>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</si>
  <si>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</si>
  <si>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</si>
  <si>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</si>
  <si>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</si>
  <si>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</si>
  <si>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</si>
  <si>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</si>
  <si>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</si>
  <si>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</si>
  <si>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</si>
  <si>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</si>
  <si>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</si>
  <si>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</si>
  <si>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</si>
  <si>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</si>
  <si>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</si>
  <si>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</si>
  <si>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</si>
  <si>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</si>
  <si>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</si>
  <si>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</si>
  <si>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</si>
  <si>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</si>
  <si>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</si>
  <si>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</si>
  <si>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</si>
  <si>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</si>
  <si>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</si>
  <si>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</si>
  <si>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</si>
  <si>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</si>
  <si>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</si>
  <si>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</si>
  <si>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</si>
  <si>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</si>
  <si>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</si>
  <si>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</si>
  <si>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</si>
  <si>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</si>
  <si>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</si>
  <si>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</si>
  <si>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</si>
  <si>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</si>
  <si>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</si>
  <si>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</si>
  <si>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</si>
  <si>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</si>
  <si>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</si>
  <si>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</si>
  <si>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</si>
  <si>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</si>
  <si>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</si>
  <si>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</si>
  <si>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</si>
  <si>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</si>
  <si>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</si>
  <si>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</si>
  <si>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</si>
  <si>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</si>
  <si>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</si>
  <si>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</si>
  <si>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</si>
  <si>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</si>
  <si>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</si>
  <si>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</si>
  <si>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</si>
  <si>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</si>
  <si>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</si>
  <si>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</si>
  <si>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</si>
  <si>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</si>
  <si>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</si>
  <si>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</si>
  <si>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</si>
  <si>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</si>
  <si>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</si>
  <si>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</si>
  <si>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</si>
  <si>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</si>
  <si>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</si>
  <si>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</si>
  <si>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</si>
  <si>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</si>
  <si>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</si>
  <si>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</si>
  <si>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</si>
  <si>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</si>
  <si>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</si>
  <si>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</si>
  <si>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</si>
  <si>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</si>
  <si>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</si>
  <si>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</si>
  <si>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</si>
  <si>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</si>
  <si>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</si>
  <si>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</si>
  <si>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</si>
  <si>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</si>
  <si>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</si>
  <si>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</si>
  <si>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</si>
  <si>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</si>
  <si>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</si>
  <si>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</si>
  <si>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</si>
  <si>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</si>
  <si>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</si>
  <si>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</si>
  <si>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</si>
  <si>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</si>
  <si>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</si>
  <si>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</si>
  <si>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</si>
  <si>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</si>
  <si>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</si>
  <si>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</si>
  <si>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</si>
  <si>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</si>
  <si>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</si>
  <si>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</si>
  <si>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</si>
  <si>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</si>
  <si>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</si>
  <si>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</si>
  <si>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</si>
  <si>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</si>
  <si>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</si>
  <si>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</si>
  <si>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</si>
  <si>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</si>
  <si>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</si>
  <si>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</si>
  <si>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</si>
  <si>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</si>
  <si>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</si>
  <si>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</si>
  <si>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</si>
  <si>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</si>
  <si>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</si>
  <si>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</si>
  <si>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</si>
  <si>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</si>
  <si>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</si>
  <si>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</si>
  <si>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</si>
  <si>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</si>
  <si>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</si>
  <si>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</si>
  <si>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</si>
  <si>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</si>
  <si>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</si>
  <si>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</si>
  <si>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</si>
  <si>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</si>
  <si>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</si>
  <si>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</si>
  <si>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</si>
  <si>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</si>
  <si>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</si>
  <si>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</si>
  <si>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</si>
  <si>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</si>
  <si>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</si>
  <si>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</si>
  <si>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</si>
  <si>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</si>
  <si>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</si>
  <si>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</si>
  <si>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</si>
  <si>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</si>
  <si>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</si>
  <si>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</si>
  <si>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</si>
  <si>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</si>
  <si>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</si>
  <si>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</si>
  <si>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</si>
  <si>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</si>
  <si>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</si>
  <si>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</si>
  <si>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</si>
  <si>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</si>
  <si>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</si>
  <si>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</si>
  <si>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</si>
  <si>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</si>
  <si>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</si>
  <si>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</si>
  <si>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</si>
  <si>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</si>
  <si>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</si>
  <si>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</si>
  <si>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</si>
  <si>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</si>
  <si>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</si>
  <si>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</si>
  <si>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</si>
  <si>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</si>
  <si>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</si>
  <si>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</si>
  <si>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</si>
  <si>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</si>
  <si>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</si>
  <si>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</si>
  <si>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</si>
  <si>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</si>
  <si>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</si>
  <si>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</si>
  <si>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</si>
  <si>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</si>
  <si>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</si>
  <si>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</si>
  <si>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</si>
  <si>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</si>
  <si>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</si>
  <si>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</si>
  <si>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</si>
  <si>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</si>
  <si>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</si>
  <si>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</si>
  <si>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</si>
  <si>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</si>
  <si>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</si>
  <si>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</si>
  <si>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</si>
  <si>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</si>
  <si>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</si>
  <si>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</si>
  <si>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</si>
  <si>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</si>
  <si>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</si>
  <si>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</si>
  <si>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</si>
  <si>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</si>
  <si>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</si>
  <si>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</si>
  <si>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</si>
  <si>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</si>
  <si>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</si>
  <si>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</si>
  <si>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</si>
  <si>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</si>
  <si>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</si>
  <si>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</si>
  <si>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</si>
  <si>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</si>
  <si>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</si>
  <si>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</si>
  <si>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</si>
  <si>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</si>
  <si>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</si>
  <si>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</si>
  <si>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</si>
  <si>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</si>
  <si>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</si>
  <si>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</si>
  <si>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</si>
  <si>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</si>
  <si>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</si>
  <si>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</si>
  <si>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</si>
  <si>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</si>
  <si>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</si>
  <si>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</si>
  <si>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</si>
  <si>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</si>
  <si>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</si>
  <si>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</si>
  <si>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</si>
  <si>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</si>
  <si>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</si>
  <si>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</si>
  <si>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</si>
  <si>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</si>
  <si>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</si>
  <si>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</si>
  <si>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</si>
  <si>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</si>
  <si>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</si>
  <si>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</si>
  <si>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</si>
  <si>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</si>
  <si>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</si>
  <si>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</si>
  <si>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</si>
  <si>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</si>
  <si>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</si>
  <si>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</si>
  <si>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</si>
  <si>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</si>
  <si>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</si>
  <si>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</si>
  <si>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</si>
  <si>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</si>
  <si>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</si>
  <si>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</si>
  <si>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</si>
  <si>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</si>
  <si>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</si>
  <si>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</si>
  <si>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</si>
  <si>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</si>
  <si>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</si>
  <si>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</si>
  <si>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</si>
  <si>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</si>
  <si>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</si>
  <si>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</si>
  <si>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</si>
  <si>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</si>
  <si>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</si>
  <si>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</si>
  <si>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</si>
  <si>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</si>
  <si>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</si>
  <si>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</si>
  <si>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</si>
  <si>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</si>
  <si>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</si>
  <si>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</si>
  <si>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</si>
  <si>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</si>
  <si>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</si>
  <si>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</si>
  <si>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</si>
  <si>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</si>
  <si>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</si>
  <si>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</si>
  <si>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</si>
  <si>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</si>
  <si>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</si>
  <si>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</si>
  <si>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</si>
  <si>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</si>
  <si>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</si>
  <si>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</si>
  <si>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</si>
  <si>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</si>
  <si>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</si>
  <si>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</si>
  <si>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</si>
  <si>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</si>
  <si>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</si>
  <si>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</si>
  <si>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</si>
  <si>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</si>
  <si>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</si>
  <si>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</si>
  <si>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</si>
  <si>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</si>
  <si>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</si>
  <si>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</si>
  <si>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</si>
  <si>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</si>
  <si>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</si>
  <si>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</si>
  <si>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</si>
  <si>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</si>
  <si>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</si>
  <si>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</si>
  <si>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</si>
  <si>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</si>
  <si>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</si>
  <si>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</si>
  <si>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</si>
  <si>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</si>
  <si>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</si>
  <si>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</si>
  <si>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</si>
  <si>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</si>
  <si>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</si>
  <si>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</si>
  <si>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</si>
  <si>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</si>
  <si>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</si>
  <si>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</si>
  <si>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</si>
  <si>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</si>
  <si>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</si>
  <si>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</si>
  <si>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</si>
  <si>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</si>
  <si>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</si>
  <si>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</si>
  <si>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</si>
  <si>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</si>
  <si>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</si>
  <si>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</si>
  <si>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</si>
  <si>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</si>
  <si>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</si>
  <si>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</si>
  <si>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</si>
  <si>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</si>
  <si>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</si>
  <si>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</si>
  <si>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</si>
  <si>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</si>
  <si>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</si>
  <si>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</si>
  <si>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</si>
  <si>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</si>
  <si>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</si>
  <si>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</si>
  <si>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</si>
  <si>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</si>
  <si>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</si>
  <si>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</si>
  <si>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</si>
  <si>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</si>
  <si>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</si>
  <si>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</si>
  <si>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</si>
  <si>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</si>
  <si>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</si>
  <si>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</si>
  <si>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</si>
  <si>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</si>
  <si>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</si>
  <si>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</si>
  <si>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</si>
  <si>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</si>
  <si>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</si>
  <si>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</si>
  <si>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</si>
  <si>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</si>
  <si>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</si>
  <si>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</si>
  <si>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</si>
  <si>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</si>
  <si>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</si>
  <si>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</si>
  <si>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</si>
  <si>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</si>
  <si>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</si>
  <si>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</si>
  <si>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</si>
  <si>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</si>
  <si>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</si>
  <si>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</si>
  <si>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</si>
  <si>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</si>
  <si>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</si>
  <si>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</si>
  <si>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</si>
  <si>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</si>
  <si>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</si>
  <si>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</si>
  <si>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</si>
  <si>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</si>
  <si>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</si>
  <si>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</si>
  <si>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</si>
  <si>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</si>
  <si>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</si>
  <si>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</si>
  <si>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</si>
  <si>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</si>
  <si>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</si>
  <si>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</si>
  <si>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</si>
  <si>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</si>
  <si>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</si>
  <si>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</si>
  <si>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</si>
  <si>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</si>
  <si>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</si>
  <si>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</si>
  <si>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</si>
  <si>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</si>
  <si>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</si>
  <si>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</si>
  <si>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</si>
  <si>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</si>
  <si>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</si>
  <si>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</si>
  <si>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</si>
  <si>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</si>
  <si>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</si>
  <si>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</si>
  <si>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</si>
  <si>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</si>
  <si>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</si>
  <si>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</si>
  <si>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</si>
  <si>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</si>
  <si>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</si>
  <si>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</si>
  <si>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</si>
  <si>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</si>
  <si>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</si>
  <si>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</si>
  <si>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</si>
  <si>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</si>
  <si>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</si>
  <si>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</si>
  <si>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</si>
  <si>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</si>
  <si>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</si>
  <si>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</si>
  <si>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</si>
  <si>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</si>
  <si>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</si>
  <si>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</si>
  <si>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</si>
  <si>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</si>
  <si>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</si>
  <si>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</si>
  <si>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</si>
  <si>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</si>
  <si>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</si>
  <si>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</si>
  <si>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</si>
  <si>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</si>
  <si>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</si>
  <si>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</si>
  <si>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</si>
  <si>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</si>
  <si>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</si>
  <si>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</si>
  <si>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</si>
  <si>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</si>
  <si>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</si>
  <si>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</si>
  <si>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</si>
  <si>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</si>
  <si>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</si>
  <si>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</si>
  <si>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</si>
  <si>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</si>
  <si>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</si>
  <si>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</si>
  <si>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</si>
  <si>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</si>
  <si>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</si>
  <si>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</si>
  <si>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</si>
  <si>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</si>
  <si>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</si>
  <si>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</si>
  <si>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</si>
  <si>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</si>
  <si>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</si>
  <si>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</si>
  <si>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</si>
  <si>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</si>
  <si>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</si>
  <si>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</si>
  <si>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</si>
  <si>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</si>
  <si>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</si>
  <si>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</si>
  <si>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</si>
  <si>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</si>
  <si>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</si>
  <si>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</si>
  <si>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</si>
  <si>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</si>
  <si>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</si>
  <si>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</si>
  <si>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</si>
  <si>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</si>
  <si>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</si>
  <si>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</si>
  <si>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</si>
  <si>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</si>
  <si>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</si>
  <si>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</si>
  <si>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</si>
  <si>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</si>
  <si>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</si>
  <si>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</si>
  <si>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</si>
  <si>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</si>
  <si>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</si>
  <si>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</si>
  <si>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</si>
  <si>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</si>
  <si>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</si>
  <si>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</si>
  <si>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</si>
  <si>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</si>
  <si>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</si>
  <si>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</si>
  <si>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</si>
  <si>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</si>
  <si>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</si>
  <si>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</si>
  <si>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</si>
  <si>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</si>
  <si>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</si>
  <si>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</si>
  <si>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</si>
  <si>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</si>
  <si>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</si>
  <si>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</si>
  <si>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</si>
  <si>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</si>
  <si>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</si>
  <si>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</si>
  <si>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</si>
  <si>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</si>
  <si>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</si>
  <si>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</si>
  <si>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</si>
  <si>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</si>
  <si>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</si>
  <si>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</si>
  <si>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</si>
  <si>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</si>
  <si>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</si>
  <si>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</si>
  <si>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</si>
  <si>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</si>
  <si>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</si>
  <si>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</si>
  <si>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</si>
  <si>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</si>
  <si>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</si>
  <si>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</si>
  <si>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</si>
  <si>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</si>
  <si>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</si>
  <si>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</si>
  <si>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</si>
  <si>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</si>
  <si>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</si>
  <si>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</si>
  <si>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</si>
  <si>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</si>
  <si>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</si>
  <si>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</si>
  <si>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</si>
  <si>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</si>
  <si>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</si>
  <si>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</si>
  <si>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</si>
  <si>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</si>
  <si>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</si>
  <si>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</si>
  <si>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</si>
  <si>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</si>
  <si>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</si>
  <si>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</si>
  <si>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</si>
  <si>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</si>
  <si>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</si>
  <si>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</si>
  <si>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</si>
  <si>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</si>
  <si>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</si>
  <si>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</si>
  <si>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</si>
  <si>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</si>
  <si>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</si>
  <si>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</si>
  <si>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</si>
  <si>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</si>
  <si>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</si>
  <si>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</si>
  <si>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</si>
  <si>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</si>
  <si>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</si>
  <si>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</si>
  <si>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</si>
  <si>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</si>
  <si>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</si>
  <si>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</si>
  <si>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</si>
  <si>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</si>
  <si>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</si>
  <si>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</si>
  <si>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</si>
  <si>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</si>
  <si>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</si>
  <si>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</si>
  <si>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</si>
  <si>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</si>
  <si>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</si>
  <si>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</si>
  <si>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</si>
  <si>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</si>
  <si>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</si>
  <si>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</si>
  <si>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</si>
  <si>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</si>
  <si>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</si>
  <si>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</si>
  <si>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</si>
  <si>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</si>
  <si>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</si>
  <si>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</si>
  <si>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</si>
  <si>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</si>
  <si>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</si>
  <si>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</si>
  <si>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</si>
  <si>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</si>
  <si>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</si>
  <si>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</si>
  <si>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</si>
  <si>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</si>
  <si>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</si>
  <si>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</si>
  <si>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</si>
  <si>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</si>
  <si>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</si>
  <si>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</si>
  <si>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</si>
  <si>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</si>
  <si>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</si>
  <si>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</si>
  <si>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</si>
  <si>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</si>
  <si>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</si>
  <si>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</si>
  <si>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</si>
  <si>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</si>
  <si>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</si>
  <si>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</si>
  <si>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</si>
  <si>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</si>
  <si>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</si>
  <si>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</si>
  <si>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</si>
  <si>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</si>
  <si>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</si>
  <si>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</si>
  <si>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</si>
  <si>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</si>
  <si>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</si>
  <si>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</si>
  <si>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</si>
  <si>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</si>
  <si>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</si>
  <si>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</si>
  <si>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</si>
  <si>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</si>
  <si>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年度(1-3月核實+4月受理業績)</t>
    <phoneticPr fontId="3" type="noConversion"/>
  </si>
  <si>
    <t>SP</t>
    <phoneticPr fontId="3" type="noConversion"/>
  </si>
  <si>
    <t>黃莉詠(育停)</t>
    <phoneticPr fontId="3" type="noConversion"/>
  </si>
  <si>
    <t>刪除邱柏揚</t>
    <phoneticPr fontId="3" type="noConversion"/>
  </si>
  <si>
    <t>AM</t>
    <phoneticPr fontId="3" type="noConversion"/>
  </si>
  <si>
    <t>MS</t>
    <phoneticPr fontId="3" type="noConversion"/>
  </si>
  <si>
    <t>受理日：115.4.20</t>
    <phoneticPr fontId="4" type="noConversion"/>
  </si>
  <si>
    <t>ok</t>
  </si>
  <si>
    <t>_</t>
  </si>
  <si>
    <t>受理日：115.4.20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</si>
</sst>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44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5" sqref="F5:F6"/>
    </sheetView>
  </sheetViews>
  <sheetFormatPr baseColWidth="10" defaultColWidth="9.83203125" defaultRowHeight="26" outlineLevelCol="1"/>
  <cols>
    <col min="1" max="1" width="8.5" style="362" customWidth="1"/>
    <col min="2" max="2" width="9" style="362" customWidth="1"/>
    <col min="3" max="4" width="27.83203125" style="366" customWidth="1"/>
    <col min="5" max="5" width="20.83203125" style="366" customWidth="1"/>
    <col min="6" max="6" width="28.1640625" style="366" bestFit="1" customWidth="1"/>
    <col min="7" max="7" width="17.83203125" style="362" customWidth="1"/>
    <col min="8" max="8" width="35.83203125" style="366" customWidth="1"/>
    <col min="9" max="9" width="24" style="366" customWidth="1"/>
    <col min="10" max="10" width="19.1640625" style="366" customWidth="1"/>
    <col min="11" max="11" width="35.83203125" style="366" customWidth="1"/>
    <col min="12" max="12" width="23.1640625" style="363" customWidth="1"/>
    <col min="13" max="13" width="35.83203125" style="465" hidden="1" customWidth="1"/>
    <col min="14" max="14" width="21.1640625" style="363" hidden="1" customWidth="1"/>
    <col min="15" max="15" width="28.83203125" style="465" hidden="1" customWidth="1" outlineLevel="1"/>
    <col min="16" max="16" width="22.83203125" style="363" hidden="1" customWidth="1" outlineLevel="1"/>
    <col min="17" max="17" width="15.83203125" style="363" customWidth="1" collapsed="1"/>
    <col min="18" max="18" width="20.83203125" style="363" customWidth="1"/>
    <col min="19" max="19" width="15.83203125" style="363" customWidth="1"/>
    <col min="20" max="20" width="20.83203125" style="363" customWidth="1"/>
    <col min="21" max="21" width="15.83203125" style="363" customWidth="1"/>
    <col min="22" max="22" width="20.83203125" style="363" customWidth="1"/>
    <col min="23" max="23" width="23.83203125" style="363" hidden="1" customWidth="1" outlineLevel="1"/>
    <col min="24" max="24" width="17.83203125" style="363" hidden="1" customWidth="1" outlineLevel="1"/>
    <col min="25" max="25" width="27.5" style="363" hidden="1" customWidth="1" outlineLevel="1"/>
    <col min="26" max="26" width="17.83203125" style="363" hidden="1" customWidth="1" outlineLevel="1"/>
    <col min="27" max="27" width="19.83203125" style="360" hidden="1" customWidth="1" collapsed="1"/>
    <col min="28" max="28" width="31.5" style="383" hidden="1" customWidth="1"/>
    <col min="29" max="29" width="21" style="360" hidden="1" customWidth="1"/>
    <col min="30" max="30" width="8.83203125" style="360" hidden="1" customWidth="1"/>
    <col min="31" max="31" width="19.83203125" style="360" customWidth="1" outlineLevel="1"/>
    <col min="32" max="32" width="30.83203125" style="383" customWidth="1" outlineLevel="1"/>
    <col min="33" max="33" width="18" style="360" customWidth="1" outlineLevel="1"/>
    <col min="34" max="34" width="8.83203125" style="360" customWidth="1" outlineLevel="1"/>
    <col min="35" max="36" width="12.83203125" style="360" customWidth="1" outlineLevel="1"/>
    <col min="37" max="37" width="16.5" style="357" customWidth="1"/>
    <col min="38" max="38" width="19.83203125" style="376" customWidth="1"/>
    <col min="39" max="39" width="11.33203125" style="362" bestFit="1" customWidth="1"/>
    <col min="40" max="41" width="9.83203125" style="362"/>
    <col min="42" max="42" width="16.83203125" style="362" bestFit="1" customWidth="1"/>
    <col min="43" max="45" width="9.83203125" style="362"/>
    <col min="46" max="46" width="16.83203125" style="362" bestFit="1" customWidth="1"/>
    <col min="47" max="47" width="21" style="362" customWidth="1"/>
    <col min="48" max="16384" width="9.83203125" style="362"/>
  </cols>
  <sheetData>
    <row r="1" spans="1:47" s="361" customFormat="1" ht="54.5" customHeight="1">
      <c r="A1" s="916" t="s">
        <v>900</v>
      </c>
      <c r="B1" s="916"/>
      <c r="C1" s="916"/>
      <c r="D1" s="916"/>
      <c r="E1" s="916"/>
      <c r="F1" s="916"/>
      <c r="G1" s="916"/>
      <c r="H1" s="916"/>
      <c r="I1" s="916"/>
      <c r="J1" s="916"/>
      <c r="K1" s="916"/>
      <c r="L1" s="916"/>
      <c r="M1" s="916"/>
      <c r="N1" s="916"/>
      <c r="O1" s="916"/>
      <c r="P1" s="916"/>
      <c r="Q1" s="916"/>
      <c r="R1" s="916"/>
      <c r="S1" s="916"/>
      <c r="T1" s="916"/>
      <c r="U1" s="612"/>
      <c r="V1" s="612"/>
      <c r="W1" s="612"/>
      <c r="X1" s="612"/>
      <c r="Y1" s="612"/>
      <c r="Z1" s="612"/>
      <c r="AA1" s="612"/>
      <c r="AB1" s="612"/>
      <c r="AC1" s="612"/>
      <c r="AD1" s="612"/>
      <c r="AE1" s="612"/>
      <c r="AF1" s="612"/>
      <c r="AG1" s="612"/>
      <c r="AH1" s="612"/>
      <c r="AI1" s="612"/>
      <c r="AJ1" s="612"/>
      <c r="AK1" s="357"/>
      <c r="AL1" s="358" t="s">
        <v>926</v>
      </c>
      <c r="AM1" s="358" t="s">
        <v>926</v>
      </c>
      <c r="AN1" s="613" t="s">
        <v>926</v>
      </c>
      <c r="AO1" s="613" t="s">
        <v>926</v>
      </c>
      <c r="AP1" s="613" t="s">
        <v>926</v>
      </c>
      <c r="AQ1" s="360"/>
      <c r="AR1" s="360"/>
      <c r="AS1" s="360"/>
      <c r="AT1" s="835" t="s">
        <v>851</v>
      </c>
      <c r="AU1" s="835"/>
    </row>
    <row r="2" spans="1:47" s="372" customFormat="1" ht="6.5" customHeight="1">
      <c r="B2" s="507"/>
      <c r="C2" s="508"/>
      <c r="D2" s="508"/>
      <c r="E2" s="508"/>
      <c r="F2" s="508"/>
      <c r="G2" s="509"/>
      <c r="H2" s="508"/>
      <c r="I2" s="508"/>
      <c r="J2" s="508"/>
      <c r="K2" s="508"/>
      <c r="L2" s="510"/>
      <c r="M2" s="511"/>
      <c r="N2" s="510"/>
      <c r="O2" s="511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2"/>
      <c r="AB2" s="364"/>
      <c r="AC2" s="512"/>
      <c r="AD2" s="512"/>
      <c r="AE2" s="512"/>
      <c r="AF2" s="364"/>
      <c r="AG2" s="512"/>
      <c r="AH2" s="512"/>
      <c r="AI2" s="512"/>
      <c r="AJ2" s="512"/>
      <c r="AK2" s="513"/>
      <c r="AL2" s="514"/>
      <c r="AM2" s="364"/>
      <c r="AN2" s="364"/>
      <c r="AO2" s="364"/>
      <c r="AP2" s="364"/>
      <c r="AQ2" s="364"/>
      <c r="AR2" s="364"/>
      <c r="AS2" s="364"/>
    </row>
    <row r="3" spans="1:47" s="372" customFormat="1" ht="5.5" customHeight="1">
      <c r="B3" s="515"/>
      <c r="C3" s="364"/>
      <c r="D3" s="364"/>
      <c r="E3" s="364"/>
      <c r="F3" s="364"/>
      <c r="H3" s="364"/>
      <c r="I3" s="364"/>
      <c r="J3" s="364"/>
      <c r="K3" s="364"/>
      <c r="L3" s="510"/>
      <c r="M3" s="511"/>
      <c r="N3" s="510"/>
      <c r="O3" s="511"/>
      <c r="P3" s="510"/>
      <c r="Q3" s="510"/>
      <c r="R3" s="510"/>
      <c r="S3" s="510"/>
      <c r="T3" s="510"/>
      <c r="U3" s="510"/>
      <c r="V3" s="510"/>
      <c r="W3" s="510"/>
      <c r="X3" s="510"/>
      <c r="Y3" s="510"/>
      <c r="Z3" s="510"/>
      <c r="AA3" s="512"/>
      <c r="AB3" s="364"/>
      <c r="AC3" s="512"/>
      <c r="AD3" s="512"/>
      <c r="AE3" s="512"/>
      <c r="AF3" s="364"/>
      <c r="AG3" s="512"/>
      <c r="AH3" s="512"/>
      <c r="AI3" s="512"/>
      <c r="AJ3" s="512"/>
      <c r="AK3" s="513"/>
      <c r="AL3" s="514"/>
      <c r="AM3" s="364"/>
      <c r="AN3" s="364"/>
      <c r="AO3" s="364"/>
      <c r="AP3" s="364"/>
      <c r="AQ3" s="364"/>
      <c r="AR3" s="364"/>
      <c r="AS3" s="364"/>
    </row>
    <row r="4" spans="1:47" s="477" customFormat="1" ht="34.25" customHeight="1" thickBot="1">
      <c r="B4" s="611" t="s">
        <v>925</v>
      </c>
      <c r="C4" s="478"/>
      <c r="D4" s="479"/>
      <c r="E4" s="478"/>
      <c r="F4" s="480"/>
      <c r="G4" s="481" t="s">
        <v>191</v>
      </c>
      <c r="H4" s="482"/>
      <c r="I4" s="483"/>
      <c r="J4" s="484" t="s">
        <v>901</v>
      </c>
      <c r="K4" s="484"/>
      <c r="L4" s="485"/>
      <c r="M4" s="486"/>
      <c r="N4" s="485"/>
      <c r="O4" s="486"/>
      <c r="P4" s="485"/>
      <c r="Q4" s="487"/>
      <c r="R4" s="485"/>
      <c r="S4" s="485"/>
      <c r="T4" s="485"/>
      <c r="U4" s="485"/>
      <c r="V4" s="485"/>
      <c r="W4" s="924"/>
      <c r="X4" s="924"/>
      <c r="Y4" s="924"/>
      <c r="Z4" s="924"/>
      <c r="AA4" s="487"/>
      <c r="AB4" s="488"/>
      <c r="AC4" s="480"/>
      <c r="AD4" s="489"/>
      <c r="AE4" s="487"/>
      <c r="AF4" s="488"/>
      <c r="AG4" s="480"/>
      <c r="AH4" s="489"/>
      <c r="AI4" s="489"/>
      <c r="AJ4" s="489"/>
      <c r="AK4" s="490"/>
      <c r="AL4" s="491"/>
      <c r="AM4" s="492"/>
      <c r="AN4" s="492"/>
      <c r="AO4" s="492"/>
      <c r="AP4" s="492"/>
      <c r="AQ4" s="492"/>
      <c r="AR4" s="492"/>
      <c r="AS4" s="492"/>
    </row>
    <row r="5" spans="1:47" s="369" customFormat="1" ht="60" customHeight="1" thickTop="1">
      <c r="A5" s="917" t="s">
        <v>548</v>
      </c>
      <c r="B5" s="598" t="s">
        <v>329</v>
      </c>
      <c r="C5" s="926" t="s">
        <v>5</v>
      </c>
      <c r="D5" s="919" t="s">
        <v>520</v>
      </c>
      <c r="E5" s="920" t="s">
        <v>189</v>
      </c>
      <c r="F5" s="920" t="s">
        <v>907</v>
      </c>
      <c r="G5" s="929" t="s">
        <v>506</v>
      </c>
      <c r="H5" s="930"/>
      <c r="I5" s="931"/>
      <c r="J5" s="932" t="s">
        <v>902</v>
      </c>
      <c r="K5" s="932"/>
      <c r="L5" s="933"/>
      <c r="M5" s="934" t="s">
        <v>885</v>
      </c>
      <c r="N5" s="935"/>
      <c r="O5" s="935"/>
      <c r="P5" s="935"/>
      <c r="Q5" s="944" t="s">
        <v>642</v>
      </c>
      <c r="R5" s="944"/>
      <c r="S5" s="945" t="s">
        <v>696</v>
      </c>
      <c r="T5" s="946"/>
      <c r="U5" s="947" t="s">
        <v>866</v>
      </c>
      <c r="V5" s="947"/>
      <c r="W5" s="921" t="s">
        <v>682</v>
      </c>
      <c r="X5" s="921"/>
      <c r="Y5" s="921"/>
      <c r="Z5" s="921"/>
      <c r="AA5" s="922" t="s">
        <v>804</v>
      </c>
      <c r="AB5" s="922" t="s">
        <v>815</v>
      </c>
      <c r="AC5" s="922"/>
      <c r="AD5" s="922"/>
      <c r="AE5" s="917" t="s">
        <v>889</v>
      </c>
      <c r="AF5" s="919" t="s">
        <v>919</v>
      </c>
      <c r="AG5" s="919"/>
      <c r="AH5" s="920"/>
      <c r="AI5" s="936" t="s">
        <v>893</v>
      </c>
      <c r="AJ5" s="938" t="s">
        <v>894</v>
      </c>
      <c r="AK5" s="368"/>
      <c r="AL5" s="359"/>
      <c r="AM5" s="360"/>
      <c r="AN5" s="360"/>
      <c r="AO5" s="360"/>
      <c r="AP5" s="360"/>
      <c r="AQ5" s="360"/>
      <c r="AR5" s="360"/>
      <c r="AS5" s="360"/>
    </row>
    <row r="6" spans="1:47" s="369" customFormat="1" ht="60" customHeight="1" thickBot="1">
      <c r="A6" s="925"/>
      <c r="B6" s="599" t="s">
        <v>192</v>
      </c>
      <c r="C6" s="927"/>
      <c r="D6" s="927"/>
      <c r="E6" s="928"/>
      <c r="F6" s="928"/>
      <c r="G6" s="600" t="s">
        <v>0</v>
      </c>
      <c r="H6" s="601" t="s">
        <v>326</v>
      </c>
      <c r="I6" s="602" t="s">
        <v>190</v>
      </c>
      <c r="J6" s="603" t="s">
        <v>0</v>
      </c>
      <c r="K6" s="604" t="s">
        <v>285</v>
      </c>
      <c r="L6" s="604" t="s">
        <v>190</v>
      </c>
      <c r="M6" s="605" t="s">
        <v>879</v>
      </c>
      <c r="N6" s="606" t="s">
        <v>674</v>
      </c>
      <c r="O6" s="607" t="s">
        <v>814</v>
      </c>
      <c r="P6" s="608" t="s">
        <v>704</v>
      </c>
      <c r="Q6" s="609" t="s">
        <v>500</v>
      </c>
      <c r="R6" s="610" t="s">
        <v>501</v>
      </c>
      <c r="S6" s="609" t="s">
        <v>500</v>
      </c>
      <c r="T6" s="610" t="s">
        <v>543</v>
      </c>
      <c r="U6" s="824" t="s">
        <v>500</v>
      </c>
      <c r="V6" s="610" t="s">
        <v>543</v>
      </c>
      <c r="W6" s="822" t="s">
        <v>736</v>
      </c>
      <c r="X6" s="822" t="s">
        <v>674</v>
      </c>
      <c r="Y6" s="822" t="s">
        <v>737</v>
      </c>
      <c r="Z6" s="822" t="s">
        <v>675</v>
      </c>
      <c r="AA6" s="923"/>
      <c r="AB6" s="823" t="s">
        <v>327</v>
      </c>
      <c r="AC6" s="823" t="s">
        <v>328</v>
      </c>
      <c r="AD6" s="823" t="s">
        <v>192</v>
      </c>
      <c r="AE6" s="918"/>
      <c r="AF6" s="841" t="s">
        <v>327</v>
      </c>
      <c r="AG6" s="842" t="s">
        <v>328</v>
      </c>
      <c r="AH6" s="855" t="s">
        <v>192</v>
      </c>
      <c r="AI6" s="937"/>
      <c r="AJ6" s="939"/>
      <c r="AM6" s="359"/>
      <c r="AN6" s="359"/>
      <c r="AO6" s="359"/>
      <c r="AP6" s="359"/>
      <c r="AQ6" s="359"/>
      <c r="AR6" s="359"/>
      <c r="AS6" s="359"/>
    </row>
    <row r="7" spans="1:47" ht="70" customHeight="1">
      <c r="A7" s="940" t="s">
        <v>627</v>
      </c>
      <c r="B7" s="615">
        <v>1</v>
      </c>
      <c r="C7" s="616" t="s">
        <v>215</v>
      </c>
      <c r="D7" s="616" t="s">
        <v>68</v>
      </c>
      <c r="E7" s="617">
        <v>40</v>
      </c>
      <c r="F7" s="618">
        <v>154</v>
      </c>
      <c r="G7" s="619">
        <v>1</v>
      </c>
      <c r="H7" s="620">
        <v>10428</v>
      </c>
      <c r="I7" s="621">
        <v>6.7714285714285715E-3</v>
      </c>
      <c r="J7" s="886">
        <v>71</v>
      </c>
      <c r="K7" s="622">
        <v>2037668</v>
      </c>
      <c r="L7" s="887">
        <v>1.3231610389610389</v>
      </c>
      <c r="M7" s="889">
        <v>1129236</v>
      </c>
      <c r="N7" s="891">
        <v>1.8044660283589966</v>
      </c>
      <c r="O7" s="893">
        <v>0</v>
      </c>
      <c r="P7" s="895" t="e">
        <v>#DIV/0!</v>
      </c>
      <c r="Q7" s="623">
        <v>25</v>
      </c>
      <c r="R7" s="624">
        <v>0.625</v>
      </c>
      <c r="S7" s="623">
        <v>17</v>
      </c>
      <c r="T7" s="624">
        <v>0.42499999999999999</v>
      </c>
      <c r="U7" s="623">
        <v>12</v>
      </c>
      <c r="V7" s="624">
        <v>0.3</v>
      </c>
      <c r="W7" s="784"/>
      <c r="X7" s="785"/>
      <c r="Y7" s="784"/>
      <c r="Z7" s="785"/>
      <c r="AA7" s="786"/>
      <c r="AB7" s="787"/>
      <c r="AC7" s="788"/>
      <c r="AD7" s="789"/>
      <c r="AE7" s="847">
        <v>1817</v>
      </c>
      <c r="AF7" s="843">
        <v>8897834</v>
      </c>
      <c r="AG7" s="852">
        <v>0.48969917446340122</v>
      </c>
      <c r="AH7" s="857">
        <v>1</v>
      </c>
      <c r="AI7" s="864">
        <v>0</v>
      </c>
      <c r="AJ7" s="869">
        <v>0</v>
      </c>
      <c r="AK7" s="862"/>
      <c r="AL7" s="370"/>
    </row>
    <row r="8" spans="1:47" ht="70" customHeight="1">
      <c r="A8" s="941"/>
      <c r="B8" s="625">
        <v>2</v>
      </c>
      <c r="C8" s="626" t="s">
        <v>839</v>
      </c>
      <c r="D8" s="626" t="s">
        <v>840</v>
      </c>
      <c r="E8" s="627">
        <v>32</v>
      </c>
      <c r="F8" s="628">
        <v>146</v>
      </c>
      <c r="G8" s="629">
        <v>0</v>
      </c>
      <c r="H8" s="630">
        <v>0</v>
      </c>
      <c r="I8" s="631">
        <v>0</v>
      </c>
      <c r="J8" s="632">
        <v>68</v>
      </c>
      <c r="K8" s="633">
        <v>1669349</v>
      </c>
      <c r="L8" s="888">
        <v>1.1433897260273973</v>
      </c>
      <c r="M8" s="890"/>
      <c r="N8" s="892"/>
      <c r="O8" s="894"/>
      <c r="P8" s="896"/>
      <c r="Q8" s="639">
        <v>20</v>
      </c>
      <c r="R8" s="681">
        <v>0.625</v>
      </c>
      <c r="S8" s="639">
        <v>18</v>
      </c>
      <c r="T8" s="681">
        <v>0.5625</v>
      </c>
      <c r="U8" s="639">
        <v>17</v>
      </c>
      <c r="V8" s="640">
        <v>0.53125</v>
      </c>
      <c r="W8" s="790" t="e">
        <v>#N/A</v>
      </c>
      <c r="X8" s="791" t="s">
        <v>927</v>
      </c>
      <c r="Y8" s="790" t="e">
        <v>#N/A</v>
      </c>
      <c r="Z8" s="791" t="s">
        <v>927</v>
      </c>
      <c r="AA8" s="792">
        <v>454</v>
      </c>
      <c r="AB8" s="793">
        <v>1669349</v>
      </c>
      <c r="AC8" s="794">
        <v>0.3676980176211454</v>
      </c>
      <c r="AD8" s="789">
        <v>1</v>
      </c>
      <c r="AE8" s="848">
        <v>1704</v>
      </c>
      <c r="AF8" s="475">
        <v>5964852</v>
      </c>
      <c r="AG8" s="476">
        <v>0.35004999999999997</v>
      </c>
      <c r="AH8" s="857">
        <v>4</v>
      </c>
      <c r="AI8" s="867"/>
      <c r="AJ8" s="870"/>
      <c r="AK8" s="371"/>
      <c r="AL8" s="401"/>
    </row>
    <row r="9" spans="1:47" ht="70" customHeight="1">
      <c r="A9" s="941"/>
      <c r="B9" s="641">
        <v>3</v>
      </c>
      <c r="C9" s="642" t="s">
        <v>6</v>
      </c>
      <c r="D9" s="642" t="s">
        <v>73</v>
      </c>
      <c r="E9" s="627">
        <v>88</v>
      </c>
      <c r="F9" s="628">
        <v>477</v>
      </c>
      <c r="G9" s="629">
        <v>1</v>
      </c>
      <c r="H9" s="630">
        <v>2063</v>
      </c>
      <c r="I9" s="631">
        <v>4.3249475890985326E-4</v>
      </c>
      <c r="J9" s="632">
        <v>187</v>
      </c>
      <c r="K9" s="633">
        <v>4531454</v>
      </c>
      <c r="L9" s="634">
        <v>0.94999035639412999</v>
      </c>
      <c r="M9" s="635">
        <v>3843122</v>
      </c>
      <c r="N9" s="636">
        <v>1.1791075068655119</v>
      </c>
      <c r="O9" s="637">
        <v>0</v>
      </c>
      <c r="P9" s="638" t="e">
        <v>#DIV/0!</v>
      </c>
      <c r="Q9" s="639">
        <v>55</v>
      </c>
      <c r="R9" s="640">
        <v>0.625</v>
      </c>
      <c r="S9" s="639">
        <v>47</v>
      </c>
      <c r="T9" s="640">
        <v>0.53409090909090906</v>
      </c>
      <c r="U9" s="639">
        <v>39</v>
      </c>
      <c r="V9" s="640">
        <v>0.44318181818181818</v>
      </c>
      <c r="W9" s="790">
        <v>0</v>
      </c>
      <c r="X9" s="791" t="s">
        <v>927</v>
      </c>
      <c r="Y9" s="790">
        <v>0</v>
      </c>
      <c r="Z9" s="791" t="s">
        <v>927</v>
      </c>
      <c r="AA9" s="792">
        <v>1489</v>
      </c>
      <c r="AB9" s="793">
        <v>4531454</v>
      </c>
      <c r="AC9" s="794">
        <v>0.30432867696440563</v>
      </c>
      <c r="AD9" s="789">
        <v>2</v>
      </c>
      <c r="AE9" s="848">
        <v>5607</v>
      </c>
      <c r="AF9" s="475">
        <v>23342783</v>
      </c>
      <c r="AG9" s="476">
        <v>0.41631501694310685</v>
      </c>
      <c r="AH9" s="857">
        <v>3</v>
      </c>
      <c r="AI9" s="864">
        <v>1</v>
      </c>
      <c r="AJ9" s="869">
        <v>4</v>
      </c>
      <c r="AK9" s="371"/>
      <c r="AL9" s="519"/>
    </row>
    <row r="10" spans="1:47" ht="70" customHeight="1">
      <c r="A10" s="941"/>
      <c r="B10" s="641">
        <v>4</v>
      </c>
      <c r="C10" s="626" t="s">
        <v>10</v>
      </c>
      <c r="D10" s="626" t="s">
        <v>148</v>
      </c>
      <c r="E10" s="627">
        <v>106</v>
      </c>
      <c r="F10" s="628">
        <v>353</v>
      </c>
      <c r="G10" s="667">
        <v>13</v>
      </c>
      <c r="H10" s="668">
        <v>100603</v>
      </c>
      <c r="I10" s="669">
        <v>2.8499433427762039E-2</v>
      </c>
      <c r="J10" s="670">
        <v>148</v>
      </c>
      <c r="K10" s="671">
        <v>3307059</v>
      </c>
      <c r="L10" s="672">
        <v>0.93684390934844197</v>
      </c>
      <c r="M10" s="673">
        <v>3181813</v>
      </c>
      <c r="N10" s="674">
        <v>1.0393630926770367</v>
      </c>
      <c r="O10" s="675">
        <v>0</v>
      </c>
      <c r="P10" s="676" t="e">
        <v>#DIV/0!</v>
      </c>
      <c r="Q10" s="677">
        <v>48</v>
      </c>
      <c r="R10" s="678">
        <v>0.45283018867924529</v>
      </c>
      <c r="S10" s="677">
        <v>34</v>
      </c>
      <c r="T10" s="640">
        <v>0.32075471698113206</v>
      </c>
      <c r="U10" s="639">
        <v>28</v>
      </c>
      <c r="V10" s="640">
        <v>0.26415094339622641</v>
      </c>
      <c r="W10" s="790">
        <v>0</v>
      </c>
      <c r="X10" s="791" t="s">
        <v>927</v>
      </c>
      <c r="Y10" s="790">
        <v>0</v>
      </c>
      <c r="Z10" s="791" t="s">
        <v>927</v>
      </c>
      <c r="AA10" s="792">
        <v>1100</v>
      </c>
      <c r="AB10" s="793">
        <v>3307059</v>
      </c>
      <c r="AC10" s="794">
        <v>0.30064172727272725</v>
      </c>
      <c r="AD10" s="789">
        <v>3</v>
      </c>
      <c r="AE10" s="848">
        <v>4147</v>
      </c>
      <c r="AF10" s="475">
        <v>13349494</v>
      </c>
      <c r="AG10" s="476">
        <v>0.32190725825898242</v>
      </c>
      <c r="AH10" s="857">
        <v>6</v>
      </c>
      <c r="AI10" s="864">
        <v>1</v>
      </c>
      <c r="AJ10" s="869">
        <v>3</v>
      </c>
      <c r="AK10" s="371"/>
      <c r="AL10" s="370"/>
    </row>
    <row r="11" spans="1:47" ht="70" customHeight="1">
      <c r="A11" s="941"/>
      <c r="B11" s="641">
        <v>5</v>
      </c>
      <c r="C11" s="626" t="s">
        <v>822</v>
      </c>
      <c r="D11" s="626" t="s">
        <v>823</v>
      </c>
      <c r="E11" s="627">
        <v>30</v>
      </c>
      <c r="F11" s="628">
        <v>202</v>
      </c>
      <c r="G11" s="629">
        <v>1</v>
      </c>
      <c r="H11" s="630">
        <v>2063</v>
      </c>
      <c r="I11" s="631">
        <v>1.0212871287128714E-3</v>
      </c>
      <c r="J11" s="632">
        <v>64</v>
      </c>
      <c r="K11" s="633">
        <v>1744599</v>
      </c>
      <c r="L11" s="634">
        <v>0.86366287128712871</v>
      </c>
      <c r="M11" s="897"/>
      <c r="N11" s="898"/>
      <c r="O11" s="899"/>
      <c r="P11" s="900"/>
      <c r="Q11" s="639">
        <v>18</v>
      </c>
      <c r="R11" s="640">
        <v>0.6</v>
      </c>
      <c r="S11" s="639">
        <v>18</v>
      </c>
      <c r="T11" s="640">
        <v>0.6</v>
      </c>
      <c r="U11" s="639">
        <v>14</v>
      </c>
      <c r="V11" s="640">
        <v>0.46666666666666667</v>
      </c>
      <c r="W11" s="790" t="e">
        <v>#N/A</v>
      </c>
      <c r="X11" s="791" t="s">
        <v>927</v>
      </c>
      <c r="Y11" s="790" t="e">
        <v>#N/A</v>
      </c>
      <c r="Z11" s="791" t="s">
        <v>927</v>
      </c>
      <c r="AA11" s="792">
        <v>633</v>
      </c>
      <c r="AB11" s="793">
        <v>1744599</v>
      </c>
      <c r="AC11" s="794">
        <v>0.27560805687203793</v>
      </c>
      <c r="AD11" s="789">
        <v>4</v>
      </c>
      <c r="AE11" s="848">
        <v>2390</v>
      </c>
      <c r="AF11" s="475">
        <v>11547895</v>
      </c>
      <c r="AG11" s="476">
        <v>0.48317552301255229</v>
      </c>
      <c r="AH11" s="857">
        <v>2</v>
      </c>
      <c r="AI11" s="867"/>
      <c r="AJ11" s="870"/>
      <c r="AK11" s="371"/>
      <c r="AL11" s="370"/>
    </row>
    <row r="12" spans="1:47" ht="70" customHeight="1">
      <c r="A12" s="941"/>
      <c r="B12" s="641">
        <v>6</v>
      </c>
      <c r="C12" s="626" t="s">
        <v>204</v>
      </c>
      <c r="D12" s="626" t="s">
        <v>481</v>
      </c>
      <c r="E12" s="627">
        <v>41</v>
      </c>
      <c r="F12" s="628">
        <v>158</v>
      </c>
      <c r="G12" s="629">
        <v>4</v>
      </c>
      <c r="H12" s="630">
        <v>12472</v>
      </c>
      <c r="I12" s="631">
        <v>7.8936708860759489E-3</v>
      </c>
      <c r="J12" s="632">
        <v>93</v>
      </c>
      <c r="K12" s="633">
        <v>1211694</v>
      </c>
      <c r="L12" s="634">
        <v>0.76689493670886077</v>
      </c>
      <c r="M12" s="635">
        <v>1007123</v>
      </c>
      <c r="N12" s="636">
        <v>1.2031241467030342</v>
      </c>
      <c r="O12" s="637">
        <v>0</v>
      </c>
      <c r="P12" s="638" t="e">
        <v>#DIV/0!</v>
      </c>
      <c r="Q12" s="639">
        <v>25</v>
      </c>
      <c r="R12" s="640">
        <v>0.6097560975609756</v>
      </c>
      <c r="S12" s="639">
        <v>18</v>
      </c>
      <c r="T12" s="640">
        <v>0.43902439024390244</v>
      </c>
      <c r="U12" s="639">
        <v>11</v>
      </c>
      <c r="V12" s="640">
        <v>0.26829268292682928</v>
      </c>
      <c r="W12" s="790">
        <v>0</v>
      </c>
      <c r="X12" s="791" t="s">
        <v>927</v>
      </c>
      <c r="Y12" s="790">
        <v>0</v>
      </c>
      <c r="Z12" s="791" t="s">
        <v>927</v>
      </c>
      <c r="AA12" s="792">
        <v>492</v>
      </c>
      <c r="AB12" s="793">
        <v>1211694</v>
      </c>
      <c r="AC12" s="794">
        <v>0.24627926829268293</v>
      </c>
      <c r="AD12" s="789">
        <v>5</v>
      </c>
      <c r="AE12" s="848">
        <v>1859</v>
      </c>
      <c r="AF12" s="475">
        <v>6476154</v>
      </c>
      <c r="AG12" s="476">
        <v>0.34836761699838625</v>
      </c>
      <c r="AH12" s="857">
        <v>5</v>
      </c>
      <c r="AI12" s="864">
        <v>0</v>
      </c>
      <c r="AJ12" s="869">
        <v>2</v>
      </c>
      <c r="AK12" s="371"/>
      <c r="AL12" s="370"/>
    </row>
    <row r="13" spans="1:47" ht="70" customHeight="1">
      <c r="A13" s="941"/>
      <c r="B13" s="641">
        <v>7</v>
      </c>
      <c r="C13" s="643" t="s">
        <v>8</v>
      </c>
      <c r="D13" s="643" t="s">
        <v>656</v>
      </c>
      <c r="E13" s="644">
        <v>39</v>
      </c>
      <c r="F13" s="628">
        <v>174</v>
      </c>
      <c r="G13" s="645">
        <v>0</v>
      </c>
      <c r="H13" s="646">
        <v>0</v>
      </c>
      <c r="I13" s="631">
        <v>0</v>
      </c>
      <c r="J13" s="647">
        <v>68</v>
      </c>
      <c r="K13" s="648">
        <v>1302726</v>
      </c>
      <c r="L13" s="634">
        <v>0.74869310344827589</v>
      </c>
      <c r="M13" s="826">
        <v>1381736</v>
      </c>
      <c r="N13" s="827">
        <v>0.94281830972052549</v>
      </c>
      <c r="O13" s="828">
        <v>0</v>
      </c>
      <c r="P13" s="829" t="e">
        <v>#DIV/0!</v>
      </c>
      <c r="Q13" s="649">
        <v>28</v>
      </c>
      <c r="R13" s="650">
        <v>0.71794871794871795</v>
      </c>
      <c r="S13" s="649">
        <v>20</v>
      </c>
      <c r="T13" s="650">
        <v>0.51282051282051277</v>
      </c>
      <c r="U13" s="649">
        <v>13</v>
      </c>
      <c r="V13" s="650">
        <v>0.33333333333333331</v>
      </c>
      <c r="W13" s="795">
        <v>0</v>
      </c>
      <c r="X13" s="796" t="s">
        <v>927</v>
      </c>
      <c r="Y13" s="795">
        <v>0</v>
      </c>
      <c r="Z13" s="796" t="s">
        <v>927</v>
      </c>
      <c r="AA13" s="797">
        <v>540</v>
      </c>
      <c r="AB13" s="798">
        <v>1302726</v>
      </c>
      <c r="AC13" s="799">
        <v>0.24124555555555555</v>
      </c>
      <c r="AD13" s="800">
        <v>6</v>
      </c>
      <c r="AE13" s="849">
        <v>2045</v>
      </c>
      <c r="AF13" s="844">
        <v>6579207</v>
      </c>
      <c r="AG13" s="853">
        <v>0.32172161369193153</v>
      </c>
      <c r="AH13" s="874">
        <v>7</v>
      </c>
      <c r="AI13" s="864">
        <v>0</v>
      </c>
      <c r="AJ13" s="869">
        <v>0</v>
      </c>
      <c r="AK13" s="371"/>
      <c r="AL13" s="370"/>
    </row>
    <row r="14" spans="1:47" ht="70" customHeight="1" thickBot="1">
      <c r="A14" s="941"/>
      <c r="B14" s="651">
        <v>8</v>
      </c>
      <c r="C14" s="643" t="s">
        <v>9</v>
      </c>
      <c r="D14" s="643" t="s">
        <v>129</v>
      </c>
      <c r="E14" s="644">
        <v>46</v>
      </c>
      <c r="F14" s="628">
        <v>195</v>
      </c>
      <c r="G14" s="645">
        <v>4</v>
      </c>
      <c r="H14" s="646">
        <v>111903</v>
      </c>
      <c r="I14" s="652">
        <v>5.7386153846153844E-2</v>
      </c>
      <c r="J14" s="647">
        <v>55</v>
      </c>
      <c r="K14" s="648">
        <v>764332</v>
      </c>
      <c r="L14" s="840">
        <v>0.39196512820512819</v>
      </c>
      <c r="M14" s="826">
        <v>1823112</v>
      </c>
      <c r="N14" s="827">
        <v>0.41924577316149531</v>
      </c>
      <c r="O14" s="828">
        <v>0</v>
      </c>
      <c r="P14" s="829" t="e">
        <v>#DIV/0!</v>
      </c>
      <c r="Q14" s="649">
        <v>22</v>
      </c>
      <c r="R14" s="650">
        <v>0.47826086956521741</v>
      </c>
      <c r="S14" s="649">
        <v>17</v>
      </c>
      <c r="T14" s="650">
        <v>0.36956521739130432</v>
      </c>
      <c r="U14" s="649">
        <v>13</v>
      </c>
      <c r="V14" s="650">
        <v>0.28260869565217389</v>
      </c>
      <c r="W14" s="795">
        <v>0</v>
      </c>
      <c r="X14" s="796" t="s">
        <v>927</v>
      </c>
      <c r="Y14" s="795">
        <v>0</v>
      </c>
      <c r="Z14" s="796" t="s">
        <v>927</v>
      </c>
      <c r="AA14" s="797">
        <v>610</v>
      </c>
      <c r="AB14" s="798">
        <v>764332</v>
      </c>
      <c r="AC14" s="799">
        <v>0.12530032786885245</v>
      </c>
      <c r="AD14" s="800">
        <v>7</v>
      </c>
      <c r="AE14" s="849">
        <v>2298</v>
      </c>
      <c r="AF14" s="844">
        <v>6093765</v>
      </c>
      <c r="AG14" s="853">
        <v>0.26517689295039165</v>
      </c>
      <c r="AH14" s="858">
        <v>8</v>
      </c>
      <c r="AI14" s="865">
        <v>1</v>
      </c>
      <c r="AJ14" s="871">
        <v>1</v>
      </c>
      <c r="AK14" s="371"/>
      <c r="AL14" s="370"/>
    </row>
    <row r="15" spans="1:47" ht="70" customHeight="1" thickTop="1">
      <c r="A15" s="942" t="s">
        <v>628</v>
      </c>
      <c r="B15" s="653">
        <v>1</v>
      </c>
      <c r="C15" s="654" t="s">
        <v>383</v>
      </c>
      <c r="D15" s="654" t="s">
        <v>384</v>
      </c>
      <c r="E15" s="655">
        <v>31</v>
      </c>
      <c r="F15" s="656">
        <v>129</v>
      </c>
      <c r="G15" s="657">
        <v>2</v>
      </c>
      <c r="H15" s="658">
        <v>5520</v>
      </c>
      <c r="I15" s="659">
        <v>4.2790697674418609E-3</v>
      </c>
      <c r="J15" s="660">
        <v>68</v>
      </c>
      <c r="K15" s="661">
        <v>1322471</v>
      </c>
      <c r="L15" s="902">
        <v>1.0251713178294575</v>
      </c>
      <c r="M15" s="903">
        <v>586060</v>
      </c>
      <c r="N15" s="905">
        <v>2.2565454049073472</v>
      </c>
      <c r="O15" s="907">
        <v>0</v>
      </c>
      <c r="P15" s="909" t="e">
        <v>#DIV/0!</v>
      </c>
      <c r="Q15" s="662">
        <v>21</v>
      </c>
      <c r="R15" s="663">
        <v>0.67741935483870963</v>
      </c>
      <c r="S15" s="662">
        <v>19</v>
      </c>
      <c r="T15" s="663">
        <v>0.61290322580645162</v>
      </c>
      <c r="U15" s="662">
        <v>13</v>
      </c>
      <c r="V15" s="881">
        <v>0.41935483870967744</v>
      </c>
      <c r="W15" s="801">
        <v>0</v>
      </c>
      <c r="X15" s="802" t="s">
        <v>927</v>
      </c>
      <c r="Y15" s="801">
        <v>0</v>
      </c>
      <c r="Z15" s="802" t="s">
        <v>927</v>
      </c>
      <c r="AA15" s="803">
        <v>398</v>
      </c>
      <c r="AB15" s="804">
        <v>1322471</v>
      </c>
      <c r="AC15" s="805">
        <v>0.3322791457286432</v>
      </c>
      <c r="AD15" s="806">
        <v>1</v>
      </c>
      <c r="AE15" s="850">
        <v>1512</v>
      </c>
      <c r="AF15" s="845">
        <v>5051538</v>
      </c>
      <c r="AG15" s="854">
        <v>0.33409642857142857</v>
      </c>
      <c r="AH15" s="859">
        <v>4</v>
      </c>
      <c r="AI15" s="866">
        <v>0</v>
      </c>
      <c r="AJ15" s="872">
        <v>0</v>
      </c>
      <c r="AK15" s="863"/>
      <c r="AL15" s="370"/>
    </row>
    <row r="16" spans="1:47" ht="70" customHeight="1">
      <c r="A16" s="943"/>
      <c r="B16" s="664">
        <v>2</v>
      </c>
      <c r="C16" s="626" t="s">
        <v>880</v>
      </c>
      <c r="D16" s="626" t="s">
        <v>881</v>
      </c>
      <c r="E16" s="627">
        <v>15</v>
      </c>
      <c r="F16" s="665">
        <v>66</v>
      </c>
      <c r="G16" s="629">
        <v>4</v>
      </c>
      <c r="H16" s="630">
        <v>63774</v>
      </c>
      <c r="I16" s="631">
        <v>9.6627272727272728E-2</v>
      </c>
      <c r="J16" s="632">
        <v>60</v>
      </c>
      <c r="K16" s="633">
        <v>666884</v>
      </c>
      <c r="L16" s="888">
        <v>1.010430303030303</v>
      </c>
      <c r="M16" s="911">
        <v>206911</v>
      </c>
      <c r="N16" s="912">
        <v>3.2230475905099292</v>
      </c>
      <c r="O16" s="913">
        <v>0</v>
      </c>
      <c r="P16" s="914" t="e">
        <v>#DIV/0!</v>
      </c>
      <c r="Q16" s="639">
        <v>12</v>
      </c>
      <c r="R16" s="681">
        <v>0.8</v>
      </c>
      <c r="S16" s="639">
        <v>6</v>
      </c>
      <c r="T16" s="681">
        <v>0.4</v>
      </c>
      <c r="U16" s="639">
        <v>6</v>
      </c>
      <c r="V16" s="640">
        <v>0.4</v>
      </c>
      <c r="W16" s="790">
        <v>0</v>
      </c>
      <c r="X16" s="791" t="s">
        <v>927</v>
      </c>
      <c r="Y16" s="790">
        <v>0</v>
      </c>
      <c r="Z16" s="791" t="s">
        <v>927</v>
      </c>
      <c r="AA16" s="792">
        <v>209</v>
      </c>
      <c r="AB16" s="793">
        <v>666884</v>
      </c>
      <c r="AC16" s="794">
        <v>0.31908325358851675</v>
      </c>
      <c r="AD16" s="807">
        <v>2</v>
      </c>
      <c r="AE16" s="848">
        <v>780</v>
      </c>
      <c r="AF16" s="475">
        <v>3225106</v>
      </c>
      <c r="AG16" s="476">
        <v>0.41347512820512822</v>
      </c>
      <c r="AH16" s="860">
        <v>1</v>
      </c>
      <c r="AI16" s="864">
        <v>0</v>
      </c>
      <c r="AJ16" s="869">
        <v>1</v>
      </c>
      <c r="AK16" s="371"/>
      <c r="AL16" s="370"/>
    </row>
    <row r="17" spans="1:38" ht="70" customHeight="1">
      <c r="A17" s="943"/>
      <c r="B17" s="625">
        <v>3</v>
      </c>
      <c r="C17" s="642" t="s">
        <v>777</v>
      </c>
      <c r="D17" s="642" t="s">
        <v>842</v>
      </c>
      <c r="E17" s="666">
        <v>40</v>
      </c>
      <c r="F17" s="628">
        <v>135</v>
      </c>
      <c r="G17" s="667">
        <v>6</v>
      </c>
      <c r="H17" s="668">
        <v>32287</v>
      </c>
      <c r="I17" s="669">
        <v>2.3916296296296297E-2</v>
      </c>
      <c r="J17" s="670">
        <v>50</v>
      </c>
      <c r="K17" s="671">
        <v>1270121</v>
      </c>
      <c r="L17" s="679">
        <v>0.94083037037037032</v>
      </c>
      <c r="M17" s="882">
        <v>878438</v>
      </c>
      <c r="N17" s="883">
        <v>1.4458857654154307</v>
      </c>
      <c r="O17" s="884">
        <v>0</v>
      </c>
      <c r="P17" s="885" t="e">
        <v>#DIV/0!</v>
      </c>
      <c r="Q17" s="677">
        <v>24</v>
      </c>
      <c r="R17" s="680">
        <v>0.6</v>
      </c>
      <c r="S17" s="677">
        <v>14</v>
      </c>
      <c r="T17" s="681">
        <v>0.35</v>
      </c>
      <c r="U17" s="677">
        <v>11</v>
      </c>
      <c r="V17" s="640">
        <v>0.27500000000000002</v>
      </c>
      <c r="W17" s="790">
        <v>0</v>
      </c>
      <c r="X17" s="791" t="s">
        <v>927</v>
      </c>
      <c r="Y17" s="790">
        <v>0</v>
      </c>
      <c r="Z17" s="791" t="s">
        <v>927</v>
      </c>
      <c r="AA17" s="792">
        <v>416</v>
      </c>
      <c r="AB17" s="793">
        <v>1270121</v>
      </c>
      <c r="AC17" s="794">
        <v>0.30531754807692307</v>
      </c>
      <c r="AD17" s="789">
        <v>3</v>
      </c>
      <c r="AE17" s="848">
        <v>1583</v>
      </c>
      <c r="AF17" s="475">
        <v>6474073</v>
      </c>
      <c r="AG17" s="476">
        <v>0.40897492103600758</v>
      </c>
      <c r="AH17" s="857">
        <v>2</v>
      </c>
      <c r="AI17" s="864">
        <v>1</v>
      </c>
      <c r="AJ17" s="869">
        <v>4</v>
      </c>
      <c r="AK17" s="371"/>
      <c r="AL17" s="370"/>
    </row>
    <row r="18" spans="1:38" ht="70" customHeight="1">
      <c r="A18" s="943"/>
      <c r="B18" s="625">
        <v>4</v>
      </c>
      <c r="C18" s="642" t="s">
        <v>7</v>
      </c>
      <c r="D18" s="642" t="s">
        <v>52</v>
      </c>
      <c r="E18" s="666">
        <v>20</v>
      </c>
      <c r="F18" s="628">
        <v>66</v>
      </c>
      <c r="G18" s="667">
        <v>2</v>
      </c>
      <c r="H18" s="668">
        <v>20354</v>
      </c>
      <c r="I18" s="669">
        <v>3.0839393939393941E-2</v>
      </c>
      <c r="J18" s="670">
        <v>33</v>
      </c>
      <c r="K18" s="671">
        <v>596220</v>
      </c>
      <c r="L18" s="672">
        <v>0.90336363636363637</v>
      </c>
      <c r="M18" s="673">
        <v>946027</v>
      </c>
      <c r="N18" s="674">
        <v>0.63023571208855567</v>
      </c>
      <c r="O18" s="675">
        <v>0</v>
      </c>
      <c r="P18" s="676" t="e">
        <v>#DIV/0!</v>
      </c>
      <c r="Q18" s="677">
        <v>12</v>
      </c>
      <c r="R18" s="678">
        <v>0.6</v>
      </c>
      <c r="S18" s="677">
        <v>9</v>
      </c>
      <c r="T18" s="640">
        <v>0.45</v>
      </c>
      <c r="U18" s="677">
        <v>6</v>
      </c>
      <c r="V18" s="640">
        <v>0.3</v>
      </c>
      <c r="W18" s="790">
        <v>0</v>
      </c>
      <c r="X18" s="791" t="s">
        <v>927</v>
      </c>
      <c r="Y18" s="790">
        <v>0</v>
      </c>
      <c r="Z18" s="791" t="s">
        <v>927</v>
      </c>
      <c r="AA18" s="792">
        <v>209</v>
      </c>
      <c r="AB18" s="793">
        <v>596220</v>
      </c>
      <c r="AC18" s="794">
        <v>0.28527272727272729</v>
      </c>
      <c r="AD18" s="789">
        <v>4</v>
      </c>
      <c r="AE18" s="848">
        <v>780</v>
      </c>
      <c r="AF18" s="475">
        <v>2576337</v>
      </c>
      <c r="AG18" s="476">
        <v>0.33029961538461539</v>
      </c>
      <c r="AH18" s="857">
        <v>5</v>
      </c>
      <c r="AI18" s="864">
        <v>1</v>
      </c>
      <c r="AJ18" s="869">
        <v>1</v>
      </c>
      <c r="AK18" s="371"/>
      <c r="AL18" s="370"/>
    </row>
    <row r="19" spans="1:38" ht="70" customHeight="1">
      <c r="A19" s="943"/>
      <c r="B19" s="625">
        <v>5</v>
      </c>
      <c r="C19" s="901" t="s">
        <v>817</v>
      </c>
      <c r="D19" s="642" t="s">
        <v>824</v>
      </c>
      <c r="E19" s="666">
        <v>26</v>
      </c>
      <c r="F19" s="628">
        <v>129</v>
      </c>
      <c r="G19" s="667">
        <v>0</v>
      </c>
      <c r="H19" s="668">
        <v>0</v>
      </c>
      <c r="I19" s="669">
        <v>0</v>
      </c>
      <c r="J19" s="670">
        <v>55</v>
      </c>
      <c r="K19" s="671">
        <v>1117506</v>
      </c>
      <c r="L19" s="679">
        <v>0.86628372093023254</v>
      </c>
      <c r="M19" s="904"/>
      <c r="N19" s="906"/>
      <c r="O19" s="908"/>
      <c r="P19" s="910"/>
      <c r="Q19" s="677">
        <v>17</v>
      </c>
      <c r="R19" s="680">
        <v>0.65384615384615385</v>
      </c>
      <c r="S19" s="677">
        <v>11</v>
      </c>
      <c r="T19" s="681">
        <v>0.42307692307692307</v>
      </c>
      <c r="U19" s="677">
        <v>8</v>
      </c>
      <c r="V19" s="640">
        <v>0.30769230769230771</v>
      </c>
      <c r="W19" s="790" t="e">
        <v>#N/A</v>
      </c>
      <c r="X19" s="791" t="s">
        <v>927</v>
      </c>
      <c r="Y19" s="790" t="e">
        <v>#N/A</v>
      </c>
      <c r="Z19" s="791" t="s">
        <v>927</v>
      </c>
      <c r="AA19" s="792">
        <v>402</v>
      </c>
      <c r="AB19" s="793">
        <v>1117506</v>
      </c>
      <c r="AC19" s="794">
        <v>0.27798656716417908</v>
      </c>
      <c r="AD19" s="789">
        <v>5</v>
      </c>
      <c r="AE19" s="848">
        <v>1513</v>
      </c>
      <c r="AF19" s="475">
        <v>5830036</v>
      </c>
      <c r="AG19" s="476">
        <v>0.38532954395241242</v>
      </c>
      <c r="AH19" s="857">
        <v>3</v>
      </c>
      <c r="AI19" s="867"/>
      <c r="AJ19" s="870"/>
      <c r="AK19" s="371"/>
      <c r="AL19" s="370"/>
    </row>
    <row r="20" spans="1:38" ht="70" customHeight="1">
      <c r="A20" s="943"/>
      <c r="B20" s="625">
        <v>6</v>
      </c>
      <c r="C20" s="642" t="s">
        <v>458</v>
      </c>
      <c r="D20" s="642" t="s">
        <v>421</v>
      </c>
      <c r="E20" s="666">
        <v>32</v>
      </c>
      <c r="F20" s="628">
        <v>116</v>
      </c>
      <c r="G20" s="667">
        <v>1</v>
      </c>
      <c r="H20" s="668">
        <v>8250</v>
      </c>
      <c r="I20" s="669">
        <v>7.1120689655172417E-3</v>
      </c>
      <c r="J20" s="670">
        <v>49</v>
      </c>
      <c r="K20" s="671">
        <v>878709</v>
      </c>
      <c r="L20" s="672">
        <v>0.75750775862068964</v>
      </c>
      <c r="M20" s="673">
        <v>932202</v>
      </c>
      <c r="N20" s="674">
        <v>0.94261651444643968</v>
      </c>
      <c r="O20" s="675">
        <v>0</v>
      </c>
      <c r="P20" s="676" t="e">
        <v>#DIV/0!</v>
      </c>
      <c r="Q20" s="677">
        <v>19</v>
      </c>
      <c r="R20" s="678">
        <v>0.59375</v>
      </c>
      <c r="S20" s="677">
        <v>13</v>
      </c>
      <c r="T20" s="640">
        <v>0.40625</v>
      </c>
      <c r="U20" s="677">
        <v>10</v>
      </c>
      <c r="V20" s="681">
        <v>0.3125</v>
      </c>
      <c r="W20" s="790"/>
      <c r="X20" s="791"/>
      <c r="Y20" s="790"/>
      <c r="Z20" s="791"/>
      <c r="AA20" s="792"/>
      <c r="AB20" s="793"/>
      <c r="AC20" s="794"/>
      <c r="AD20" s="789"/>
      <c r="AE20" s="848">
        <v>1370</v>
      </c>
      <c r="AF20" s="475">
        <v>3829719</v>
      </c>
      <c r="AG20" s="476">
        <v>0.27954153284671535</v>
      </c>
      <c r="AH20" s="857">
        <v>7</v>
      </c>
      <c r="AI20" s="864">
        <v>0</v>
      </c>
      <c r="AJ20" s="869">
        <v>1</v>
      </c>
      <c r="AK20" s="371"/>
      <c r="AL20" s="370"/>
    </row>
    <row r="21" spans="1:38" ht="70" customHeight="1">
      <c r="A21" s="943"/>
      <c r="B21" s="625">
        <v>7</v>
      </c>
      <c r="C21" s="642" t="s">
        <v>265</v>
      </c>
      <c r="D21" s="642" t="s">
        <v>80</v>
      </c>
      <c r="E21" s="666">
        <v>19</v>
      </c>
      <c r="F21" s="628">
        <v>73</v>
      </c>
      <c r="G21" s="667">
        <v>0</v>
      </c>
      <c r="H21" s="668">
        <v>0</v>
      </c>
      <c r="I21" s="669">
        <v>0</v>
      </c>
      <c r="J21" s="670">
        <v>39</v>
      </c>
      <c r="K21" s="671">
        <v>424519</v>
      </c>
      <c r="L21" s="672">
        <v>0.58153287671232878</v>
      </c>
      <c r="M21" s="673">
        <v>374446</v>
      </c>
      <c r="N21" s="674">
        <v>1.1337255572232043</v>
      </c>
      <c r="O21" s="675">
        <v>0</v>
      </c>
      <c r="P21" s="676" t="e">
        <v>#DIV/0!</v>
      </c>
      <c r="Q21" s="677">
        <v>11</v>
      </c>
      <c r="R21" s="678">
        <v>0.57894736842105265</v>
      </c>
      <c r="S21" s="677">
        <v>8</v>
      </c>
      <c r="T21" s="640">
        <v>0.42105263157894735</v>
      </c>
      <c r="U21" s="677">
        <v>7</v>
      </c>
      <c r="V21" s="681">
        <v>0.36842105263157893</v>
      </c>
      <c r="W21" s="790"/>
      <c r="X21" s="791"/>
      <c r="Y21" s="790"/>
      <c r="Z21" s="791"/>
      <c r="AA21" s="792"/>
      <c r="AB21" s="793"/>
      <c r="AC21" s="794"/>
      <c r="AD21" s="789"/>
      <c r="AE21" s="848">
        <v>860</v>
      </c>
      <c r="AF21" s="475">
        <v>2532689</v>
      </c>
      <c r="AG21" s="476">
        <v>0.29449872093023255</v>
      </c>
      <c r="AH21" s="857">
        <v>6</v>
      </c>
      <c r="AI21" s="864">
        <v>0</v>
      </c>
      <c r="AJ21" s="869">
        <v>0</v>
      </c>
      <c r="AK21" s="371"/>
      <c r="AL21" s="370"/>
    </row>
    <row r="22" spans="1:38" ht="70" customHeight="1">
      <c r="A22" s="943"/>
      <c r="B22" s="625">
        <v>8</v>
      </c>
      <c r="C22" s="642" t="s">
        <v>579</v>
      </c>
      <c r="D22" s="642" t="s">
        <v>841</v>
      </c>
      <c r="E22" s="666">
        <v>35</v>
      </c>
      <c r="F22" s="628">
        <v>141</v>
      </c>
      <c r="G22" s="667">
        <v>0</v>
      </c>
      <c r="H22" s="668">
        <v>0</v>
      </c>
      <c r="I22" s="669">
        <v>0</v>
      </c>
      <c r="J22" s="670">
        <v>63</v>
      </c>
      <c r="K22" s="671">
        <v>785944</v>
      </c>
      <c r="L22" s="672">
        <v>0.55740709219858153</v>
      </c>
      <c r="M22" s="673">
        <v>1064780</v>
      </c>
      <c r="N22" s="674">
        <v>0.7381280640132234</v>
      </c>
      <c r="O22" s="675">
        <v>0</v>
      </c>
      <c r="P22" s="676" t="e">
        <v>#DIV/0!</v>
      </c>
      <c r="Q22" s="677">
        <v>26</v>
      </c>
      <c r="R22" s="678">
        <v>0.74285714285714288</v>
      </c>
      <c r="S22" s="677">
        <v>16</v>
      </c>
      <c r="T22" s="640">
        <v>0.45714285714285713</v>
      </c>
      <c r="U22" s="677">
        <v>13</v>
      </c>
      <c r="V22" s="640">
        <v>0.37142857142857144</v>
      </c>
      <c r="W22" s="790">
        <v>0</v>
      </c>
      <c r="X22" s="791" t="s">
        <v>927</v>
      </c>
      <c r="Y22" s="790">
        <v>0</v>
      </c>
      <c r="Z22" s="791" t="s">
        <v>927</v>
      </c>
      <c r="AA22" s="792">
        <v>443</v>
      </c>
      <c r="AB22" s="793">
        <v>785944</v>
      </c>
      <c r="AC22" s="794">
        <v>0.17741399548532732</v>
      </c>
      <c r="AD22" s="789">
        <v>6</v>
      </c>
      <c r="AE22" s="848">
        <v>1663</v>
      </c>
      <c r="AF22" s="475">
        <v>4087191</v>
      </c>
      <c r="AG22" s="476">
        <v>0.24577215874924835</v>
      </c>
      <c r="AH22" s="857">
        <v>9</v>
      </c>
      <c r="AI22" s="864">
        <v>0</v>
      </c>
      <c r="AJ22" s="869">
        <v>2</v>
      </c>
      <c r="AK22" s="371"/>
      <c r="AL22" s="370"/>
    </row>
    <row r="23" spans="1:38" ht="70" customHeight="1">
      <c r="A23" s="943"/>
      <c r="B23" s="651">
        <v>9</v>
      </c>
      <c r="C23" s="626" t="s">
        <v>475</v>
      </c>
      <c r="D23" s="682" t="s">
        <v>657</v>
      </c>
      <c r="E23" s="666">
        <v>32</v>
      </c>
      <c r="F23" s="628">
        <v>139</v>
      </c>
      <c r="G23" s="667">
        <v>5</v>
      </c>
      <c r="H23" s="668">
        <v>66466</v>
      </c>
      <c r="I23" s="669">
        <v>4.7817266187050358E-2</v>
      </c>
      <c r="J23" s="670">
        <v>32</v>
      </c>
      <c r="K23" s="671">
        <v>457174</v>
      </c>
      <c r="L23" s="672">
        <v>0.32890215827338132</v>
      </c>
      <c r="M23" s="673">
        <v>835525</v>
      </c>
      <c r="N23" s="674">
        <v>0.54716974357439929</v>
      </c>
      <c r="O23" s="675">
        <v>0</v>
      </c>
      <c r="P23" s="676" t="e">
        <v>#DIV/0!</v>
      </c>
      <c r="Q23" s="677">
        <v>14</v>
      </c>
      <c r="R23" s="678">
        <v>0.4375</v>
      </c>
      <c r="S23" s="677">
        <v>10</v>
      </c>
      <c r="T23" s="640">
        <v>0.3125</v>
      </c>
      <c r="U23" s="677">
        <v>8</v>
      </c>
      <c r="V23" s="640">
        <v>0.25</v>
      </c>
      <c r="W23" s="790">
        <v>0</v>
      </c>
      <c r="X23" s="791" t="s">
        <v>927</v>
      </c>
      <c r="Y23" s="790">
        <v>0</v>
      </c>
      <c r="Z23" s="791" t="s">
        <v>927</v>
      </c>
      <c r="AA23" s="792">
        <v>432</v>
      </c>
      <c r="AB23" s="793">
        <v>457174</v>
      </c>
      <c r="AC23" s="794">
        <v>0.10582731481481482</v>
      </c>
      <c r="AD23" s="789">
        <v>7</v>
      </c>
      <c r="AE23" s="848">
        <v>1631</v>
      </c>
      <c r="AF23" s="475">
        <v>4471949</v>
      </c>
      <c r="AG23" s="476">
        <v>0.27418448804414469</v>
      </c>
      <c r="AH23" s="857">
        <v>8</v>
      </c>
      <c r="AI23" s="864">
        <v>0</v>
      </c>
      <c r="AJ23" s="869">
        <v>1</v>
      </c>
      <c r="AK23" s="371"/>
      <c r="AL23" s="370"/>
    </row>
    <row r="24" spans="1:38" ht="70" customHeight="1" thickBot="1">
      <c r="A24" s="403"/>
      <c r="B24" s="683" t="s">
        <v>621</v>
      </c>
      <c r="C24" s="683" t="s">
        <v>372</v>
      </c>
      <c r="D24" s="684" t="s">
        <v>609</v>
      </c>
      <c r="E24" s="685">
        <v>584</v>
      </c>
      <c r="F24" s="686">
        <v>2371</v>
      </c>
      <c r="G24" s="687">
        <v>43</v>
      </c>
      <c r="H24" s="688">
        <v>434120</v>
      </c>
      <c r="I24" s="689">
        <v>1.8309574019401097E-2</v>
      </c>
      <c r="J24" s="690">
        <v>1016</v>
      </c>
      <c r="K24" s="691">
        <v>19556975</v>
      </c>
      <c r="L24" s="692">
        <v>0.82484078447912268</v>
      </c>
      <c r="M24" s="693">
        <v>18190531</v>
      </c>
      <c r="N24" s="694">
        <v>1.0751184228761657</v>
      </c>
      <c r="O24" s="695">
        <v>0</v>
      </c>
      <c r="P24" s="696" t="e">
        <v>#DIV/0!</v>
      </c>
      <c r="Q24" s="697">
        <v>342</v>
      </c>
      <c r="R24" s="698">
        <v>0.58561643835616439</v>
      </c>
      <c r="S24" s="697">
        <v>248</v>
      </c>
      <c r="T24" s="698">
        <v>0.42465753424657532</v>
      </c>
      <c r="U24" s="697">
        <v>190</v>
      </c>
      <c r="V24" s="698">
        <v>0.32534246575342468</v>
      </c>
      <c r="W24" s="808">
        <v>0</v>
      </c>
      <c r="X24" s="809" t="s">
        <v>927</v>
      </c>
      <c r="Y24" s="808">
        <v>0</v>
      </c>
      <c r="Z24" s="809" t="s">
        <v>927</v>
      </c>
      <c r="AA24" s="810">
        <v>7392</v>
      </c>
      <c r="AB24" s="811">
        <v>19556975</v>
      </c>
      <c r="AC24" s="812">
        <v>0.26456946699134198</v>
      </c>
      <c r="AD24" s="813"/>
      <c r="AE24" s="851">
        <v>27882</v>
      </c>
      <c r="AF24" s="846">
        <v>96987839</v>
      </c>
      <c r="AG24" s="404">
        <v>0.34785108313607344</v>
      </c>
      <c r="AH24" s="861"/>
      <c r="AI24" s="868">
        <v>5</v>
      </c>
      <c r="AJ24" s="873">
        <v>20</v>
      </c>
      <c r="AK24" s="371"/>
      <c r="AL24" s="370"/>
    </row>
    <row r="25" spans="1:38" ht="9" customHeight="1" thickTop="1">
      <c r="A25" s="372"/>
      <c r="B25" s="575"/>
      <c r="C25" s="576"/>
      <c r="D25" s="576"/>
      <c r="E25" s="576"/>
      <c r="F25" s="576"/>
      <c r="G25" s="575"/>
      <c r="H25" s="576"/>
      <c r="I25" s="576"/>
      <c r="J25" s="576"/>
      <c r="K25" s="576"/>
      <c r="L25" s="577"/>
      <c r="M25" s="578"/>
      <c r="N25" s="577"/>
      <c r="O25" s="578"/>
      <c r="P25" s="577"/>
      <c r="Q25" s="579"/>
      <c r="R25" s="579"/>
      <c r="S25" s="579"/>
      <c r="T25" s="579"/>
      <c r="U25" s="374"/>
      <c r="V25" s="374"/>
      <c r="W25" s="448"/>
      <c r="X25" s="451"/>
      <c r="Y25" s="449"/>
      <c r="Z25" s="452"/>
      <c r="AA25" s="375"/>
      <c r="AB25" s="373"/>
      <c r="AC25" s="375"/>
      <c r="AD25" s="375"/>
      <c r="AE25" s="375"/>
      <c r="AF25" s="373"/>
      <c r="AG25" s="375"/>
      <c r="AH25" s="375"/>
      <c r="AI25" s="375"/>
      <c r="AJ25" s="375"/>
    </row>
    <row r="26" spans="1:38" s="381" customFormat="1" ht="79.75" customHeight="1" thickBot="1">
      <c r="A26" s="400"/>
      <c r="B26" s="597" t="s">
        <v>622</v>
      </c>
      <c r="C26" s="580" t="s">
        <v>531</v>
      </c>
      <c r="D26" s="581"/>
      <c r="E26" s="582">
        <v>17065</v>
      </c>
      <c r="F26" s="583">
        <v>69746</v>
      </c>
      <c r="G26" s="614">
        <v>1377</v>
      </c>
      <c r="H26" s="584">
        <v>17556130</v>
      </c>
      <c r="I26" s="585">
        <v>2.5171522381211824E-2</v>
      </c>
      <c r="J26" s="586">
        <v>32927</v>
      </c>
      <c r="K26" s="587">
        <v>571217848</v>
      </c>
      <c r="L26" s="588">
        <v>0.81899999999999995</v>
      </c>
      <c r="M26" s="589">
        <v>510301120</v>
      </c>
      <c r="N26" s="590">
        <v>1.1193740825025036</v>
      </c>
      <c r="O26" s="591">
        <v>0</v>
      </c>
      <c r="P26" s="592" t="e">
        <v>#DIV/0!</v>
      </c>
      <c r="Q26" s="593">
        <v>10982</v>
      </c>
      <c r="R26" s="594">
        <v>0.64349999999999996</v>
      </c>
      <c r="S26" s="595"/>
      <c r="T26" s="596"/>
      <c r="U26" s="377"/>
      <c r="V26" s="814"/>
      <c r="W26" s="815">
        <v>0</v>
      </c>
      <c r="X26" s="816" t="s">
        <v>927</v>
      </c>
      <c r="Y26" s="815">
        <v>0</v>
      </c>
      <c r="Z26" s="816" t="s">
        <v>927</v>
      </c>
      <c r="AA26" s="817">
        <v>217444</v>
      </c>
      <c r="AB26" s="818">
        <v>571217848</v>
      </c>
      <c r="AC26" s="819">
        <v>0.26269653244053642</v>
      </c>
      <c r="AD26" s="820"/>
      <c r="AE26" s="821">
        <v>820544</v>
      </c>
      <c r="AF26" s="378">
        <v>2819295531</v>
      </c>
      <c r="AG26" s="379">
        <v>0.34358858647433899</v>
      </c>
      <c r="AH26" s="380"/>
      <c r="AI26" s="856"/>
      <c r="AJ26" s="856"/>
      <c r="AL26" s="382"/>
    </row>
    <row r="27" spans="1:38" ht="49.25" customHeight="1" thickTop="1">
      <c r="C27" s="492" t="s">
        <v>838</v>
      </c>
      <c r="E27" s="467">
        <v>88</v>
      </c>
      <c r="F27" s="466">
        <v>477</v>
      </c>
      <c r="G27" s="495">
        <v>1</v>
      </c>
      <c r="H27" s="468">
        <v>2063</v>
      </c>
      <c r="I27" s="496">
        <v>4.3249475890985326E-4</v>
      </c>
      <c r="J27" s="494">
        <v>187</v>
      </c>
      <c r="K27" s="469">
        <v>4531454</v>
      </c>
      <c r="L27" s="493">
        <v>0.94999035639412999</v>
      </c>
      <c r="M27" s="497">
        <v>0</v>
      </c>
      <c r="N27" s="516" t="s">
        <v>927</v>
      </c>
      <c r="O27" s="517">
        <v>0</v>
      </c>
      <c r="P27" s="518" t="e">
        <v>#DIV/0!</v>
      </c>
      <c r="Q27" s="472">
        <v>55</v>
      </c>
      <c r="R27" s="473">
        <v>0.625</v>
      </c>
      <c r="S27" s="472">
        <v>47</v>
      </c>
      <c r="T27" s="470">
        <v>0.53409090909090906</v>
      </c>
      <c r="U27" s="472">
        <v>39</v>
      </c>
      <c r="V27" s="471">
        <v>0.44318181818181818</v>
      </c>
      <c r="W27" s="446">
        <v>0</v>
      </c>
      <c r="X27" s="450" t="s">
        <v>927</v>
      </c>
      <c r="Y27" s="447">
        <v>0</v>
      </c>
      <c r="Z27" s="450" t="s">
        <v>927</v>
      </c>
      <c r="AA27" s="498">
        <v>1489</v>
      </c>
      <c r="AB27" s="475">
        <v>4531454</v>
      </c>
      <c r="AC27" s="476">
        <v>0.30432867696440563</v>
      </c>
      <c r="AD27" s="474"/>
    </row>
    <row r="28" spans="1:38" ht="57" customHeight="1">
      <c r="G28" s="477" t="s">
        <v>843</v>
      </c>
      <c r="L28" s="366"/>
      <c r="M28" s="365"/>
      <c r="N28" s="366"/>
      <c r="O28" s="365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E28" s="366"/>
      <c r="AF28" s="366"/>
      <c r="AG28" s="366"/>
    </row>
    <row r="29" spans="1:38" s="361" customFormat="1" ht="30" customHeight="1">
      <c r="C29" s="360"/>
      <c r="D29" s="360"/>
      <c r="E29" s="825"/>
      <c r="F29" s="825"/>
      <c r="H29" s="360"/>
      <c r="I29" s="360"/>
      <c r="J29" s="360"/>
      <c r="K29" s="360"/>
      <c r="L29" s="360"/>
      <c r="M29" s="501"/>
      <c r="N29" s="502"/>
      <c r="O29" s="359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60"/>
      <c r="AB29" s="499"/>
      <c r="AC29" s="360"/>
      <c r="AD29" s="360"/>
      <c r="AE29" s="360"/>
      <c r="AF29" s="499"/>
      <c r="AG29" s="360"/>
      <c r="AH29" s="360"/>
      <c r="AI29" s="360"/>
      <c r="AJ29" s="360"/>
      <c r="AK29" s="357"/>
      <c r="AL29" s="500"/>
    </row>
    <row r="30" spans="1:38" ht="43">
      <c r="C30" s="830"/>
      <c r="D30" s="831"/>
      <c r="E30" s="754"/>
      <c r="F30" s="754"/>
      <c r="G30" s="758"/>
      <c r="I30" s="762"/>
      <c r="J30" s="758"/>
      <c r="K30" s="758"/>
      <c r="L30" s="763"/>
      <c r="M30" s="764"/>
      <c r="W30" s="367"/>
      <c r="X30" s="367"/>
    </row>
    <row r="31" spans="1:38" ht="43">
      <c r="C31" s="830"/>
      <c r="D31" s="831"/>
      <c r="E31" s="754"/>
      <c r="F31" s="754"/>
      <c r="G31" s="754"/>
      <c r="I31" s="760"/>
      <c r="J31" s="754"/>
      <c r="K31" s="755"/>
      <c r="L31" s="765"/>
      <c r="M31" s="766"/>
      <c r="W31" s="367"/>
      <c r="X31" s="367"/>
    </row>
    <row r="32" spans="1:38" ht="43">
      <c r="C32" s="754"/>
      <c r="D32" s="755"/>
      <c r="E32" s="754"/>
      <c r="F32" s="754"/>
      <c r="G32" s="754"/>
      <c r="I32" s="760"/>
      <c r="J32" s="754"/>
      <c r="K32" s="755"/>
      <c r="L32" s="765"/>
      <c r="M32" s="766"/>
      <c r="N32" s="761"/>
    </row>
    <row r="33" spans="3:14" ht="43">
      <c r="C33" s="754"/>
      <c r="D33" s="755"/>
      <c r="E33" s="754"/>
      <c r="F33" s="754"/>
      <c r="G33" s="754"/>
      <c r="I33" s="759"/>
      <c r="J33" s="759"/>
      <c r="K33" s="759"/>
      <c r="N33" s="761"/>
    </row>
    <row r="34" spans="3:14" ht="52">
      <c r="C34" s="756"/>
      <c r="D34" s="757"/>
      <c r="E34" s="754"/>
      <c r="F34" s="754"/>
      <c r="G34" s="758"/>
    </row>
    <row r="35" spans="3:14" ht="43">
      <c r="C35" s="830"/>
      <c r="D35" s="831"/>
      <c r="E35" s="754"/>
      <c r="F35" s="754"/>
      <c r="G35" s="754"/>
    </row>
    <row r="36" spans="3:14" ht="43">
      <c r="C36" s="830"/>
      <c r="D36" s="831"/>
      <c r="E36" s="754"/>
      <c r="F36" s="754"/>
      <c r="G36" s="754"/>
    </row>
    <row r="37" spans="3:14" ht="43">
      <c r="C37" s="833"/>
      <c r="D37" s="834"/>
      <c r="E37" s="754"/>
      <c r="F37" s="754"/>
      <c r="G37" s="754"/>
    </row>
    <row r="38" spans="3:14" ht="43">
      <c r="C38" s="833"/>
      <c r="D38" s="834"/>
      <c r="E38" s="754"/>
      <c r="F38" s="754"/>
      <c r="G38" s="754"/>
    </row>
    <row r="39" spans="3:14" ht="52">
      <c r="C39" s="756"/>
      <c r="D39" s="757"/>
      <c r="E39" s="754"/>
      <c r="F39" s="754"/>
      <c r="G39" s="758"/>
    </row>
    <row r="40" spans="3:14" ht="43">
      <c r="C40" s="830"/>
      <c r="D40" s="831"/>
      <c r="E40" s="754"/>
      <c r="F40" s="754"/>
      <c r="G40" s="754"/>
    </row>
    <row r="41" spans="3:14" ht="43">
      <c r="C41" s="833"/>
      <c r="D41" s="834"/>
      <c r="E41" s="754"/>
      <c r="F41" s="754"/>
      <c r="G41" s="754"/>
    </row>
    <row r="42" spans="3:14" ht="43">
      <c r="C42" s="754"/>
      <c r="D42" s="755"/>
      <c r="E42" s="754"/>
      <c r="F42" s="754"/>
      <c r="G42" s="754"/>
    </row>
    <row r="43" spans="3:14" ht="43">
      <c r="C43" s="754"/>
      <c r="D43" s="755"/>
      <c r="E43" s="754"/>
      <c r="F43" s="754"/>
      <c r="G43" s="754"/>
    </row>
    <row r="44" spans="3:14" ht="52">
      <c r="C44" s="756"/>
      <c r="D44" s="757"/>
      <c r="E44" s="754"/>
      <c r="F44" s="754"/>
      <c r="G44" s="758"/>
    </row>
    <row r="45" spans="3:14" ht="43">
      <c r="C45" s="830"/>
      <c r="D45" s="831"/>
      <c r="E45" s="754"/>
      <c r="F45" s="754"/>
      <c r="G45" s="754"/>
    </row>
    <row r="46" spans="3:14" ht="43">
      <c r="C46" s="830"/>
      <c r="D46" s="831"/>
      <c r="E46" s="754"/>
      <c r="F46" s="754"/>
      <c r="G46" s="754"/>
    </row>
    <row r="47" spans="3:14" ht="52">
      <c r="C47" s="756"/>
      <c r="D47" s="757"/>
      <c r="E47" s="754"/>
      <c r="F47" s="754"/>
      <c r="G47" s="754"/>
    </row>
    <row r="48" spans="3:14" ht="43">
      <c r="D48" s="754"/>
      <c r="E48" s="754"/>
      <c r="F48" s="754"/>
      <c r="G48" s="754"/>
    </row>
    <row r="49" spans="4:7" ht="43">
      <c r="D49" s="754"/>
      <c r="E49" s="754"/>
      <c r="F49" s="754"/>
      <c r="G49" s="754"/>
    </row>
    <row r="50" spans="4:7" ht="52">
      <c r="D50" s="757"/>
      <c r="E50" s="754"/>
      <c r="F50" s="832"/>
      <c r="G50" s="754"/>
    </row>
    <row r="51" spans="4:7" ht="43">
      <c r="D51" s="754"/>
      <c r="E51" s="754"/>
      <c r="F51" s="754"/>
      <c r="G51" s="754"/>
    </row>
    <row r="52" spans="4:7" ht="43">
      <c r="D52" s="754"/>
      <c r="E52" s="754"/>
      <c r="F52" s="754"/>
      <c r="G52" s="754"/>
    </row>
    <row r="53" spans="4:7" ht="43">
      <c r="D53" s="754"/>
      <c r="E53" s="754"/>
      <c r="F53" s="754"/>
      <c r="G53" s="754"/>
    </row>
    <row r="54" spans="4:7" ht="43">
      <c r="D54" s="754"/>
      <c r="E54" s="754"/>
      <c r="F54" s="754"/>
      <c r="G54" s="754"/>
    </row>
    <row r="55" spans="4:7" ht="43">
      <c r="D55" s="754"/>
      <c r="E55" s="754"/>
      <c r="F55" s="754"/>
      <c r="G55" s="754"/>
    </row>
    <row r="56" spans="4:7" ht="43">
      <c r="D56" s="754"/>
      <c r="E56" s="754"/>
      <c r="F56" s="754"/>
      <c r="G56" s="754"/>
    </row>
    <row r="57" spans="4:7" ht="43">
      <c r="D57" s="754"/>
      <c r="E57" s="754"/>
      <c r="F57" s="754"/>
      <c r="G57" s="754"/>
    </row>
    <row r="58" spans="4:7" ht="43">
      <c r="D58" s="754"/>
      <c r="E58" s="754"/>
      <c r="F58" s="754"/>
      <c r="G58" s="754"/>
    </row>
    <row r="59" spans="4:7" ht="43">
      <c r="D59" s="754"/>
      <c r="E59" s="754"/>
      <c r="F59" s="754"/>
      <c r="G59" s="754"/>
    </row>
    <row r="60" spans="4:7" ht="43">
      <c r="D60" s="754"/>
      <c r="E60" s="754"/>
      <c r="F60" s="754"/>
      <c r="G60" s="754"/>
    </row>
    <row r="61" spans="4:7" ht="43">
      <c r="D61" s="754"/>
      <c r="E61" s="754"/>
      <c r="F61" s="754"/>
      <c r="G61" s="754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C8" sqref="C8"/>
    </sheetView>
  </sheetViews>
  <sheetFormatPr baseColWidth="10" defaultColWidth="9.83203125" defaultRowHeight="20" outlineLevelRow="3"/>
  <cols>
    <col min="1" max="1" width="9.83203125" style="571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3" customWidth="1"/>
    <col min="10" max="11" width="12.83203125" style="308" customWidth="1"/>
    <col min="12" max="12" width="3" style="425" customWidth="1"/>
    <col min="13" max="13" width="9.83203125" style="1"/>
    <col min="14" max="14" width="10.33203125" style="1" bestFit="1" customWidth="1"/>
  </cols>
  <sheetData>
    <row r="1" spans="2:17" ht="25">
      <c r="B1" s="951" t="s">
        <v>903</v>
      </c>
      <c r="C1" s="951"/>
      <c r="D1" s="951"/>
      <c r="E1" s="951"/>
      <c r="F1" s="951"/>
      <c r="G1" s="951"/>
      <c r="H1" s="951"/>
      <c r="I1" s="951"/>
      <c r="M1" s="402" t="s">
        <v>922</v>
      </c>
      <c r="O1" s="76"/>
      <c r="P1" s="52"/>
      <c r="Q1" s="52"/>
    </row>
    <row r="2" spans="2:17" ht="18" customHeight="1" thickBot="1">
      <c r="B2" s="2"/>
      <c r="C2" s="3"/>
      <c r="D2" s="3"/>
      <c r="E2" s="3"/>
      <c r="F2" s="3"/>
      <c r="G2" s="3"/>
      <c r="H2" s="3"/>
      <c r="I2" s="309"/>
      <c r="J2" s="310"/>
      <c r="K2" s="876" t="s">
        <v>855</v>
      </c>
      <c r="L2" s="426"/>
      <c r="M2" s="402" t="s">
        <v>876</v>
      </c>
      <c r="N2" s="292"/>
      <c r="O2" s="52"/>
      <c r="P2" s="52"/>
      <c r="Q2" s="52"/>
    </row>
    <row r="3" spans="2:17" ht="19.5" customHeight="1" thickBot="1">
      <c r="B3" s="952"/>
      <c r="C3" s="952"/>
      <c r="D3" s="4"/>
      <c r="E3" s="953" t="s">
        <v>11</v>
      </c>
      <c r="F3" s="954"/>
      <c r="G3" s="955" t="s">
        <v>286</v>
      </c>
      <c r="H3" s="956"/>
      <c r="I3" s="349" t="s">
        <v>912</v>
      </c>
      <c r="J3" s="878" t="s">
        <v>913</v>
      </c>
      <c r="K3" s="880" t="s">
        <v>914</v>
      </c>
      <c r="L3" s="767"/>
      <c r="M3" s="402"/>
      <c r="N3" s="293"/>
    </row>
    <row r="4" spans="2:17" ht="17" customHeight="1">
      <c r="B4" s="184" t="s">
        <v>5</v>
      </c>
      <c r="C4" s="185" t="s">
        <v>12</v>
      </c>
      <c r="D4" s="186" t="s">
        <v>13</v>
      </c>
      <c r="E4" s="182" t="s">
        <v>14</v>
      </c>
      <c r="F4" s="183" t="s">
        <v>547</v>
      </c>
      <c r="G4" s="182" t="s">
        <v>14</v>
      </c>
      <c r="H4" s="235" t="s">
        <v>547</v>
      </c>
      <c r="I4" s="350" t="s">
        <v>546</v>
      </c>
      <c r="J4" s="405" t="s">
        <v>544</v>
      </c>
      <c r="K4" s="351" t="s">
        <v>659</v>
      </c>
      <c r="L4" s="877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4800</v>
      </c>
      <c r="I5" s="311">
        <v>0</v>
      </c>
      <c r="J5" s="406">
        <v>0</v>
      </c>
      <c r="K5" s="410">
        <v>0</v>
      </c>
      <c r="L5" s="427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1">
        <v>0</v>
      </c>
      <c r="J6" s="406">
        <v>0</v>
      </c>
      <c r="K6" s="410">
        <v>0</v>
      </c>
      <c r="L6" s="427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1">
        <v>0</v>
      </c>
      <c r="J7" s="406">
        <v>0</v>
      </c>
      <c r="K7" s="410">
        <v>0</v>
      </c>
      <c r="L7" s="427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2">
        <v>0</v>
      </c>
      <c r="J8" s="313">
        <v>0</v>
      </c>
      <c r="K8" s="411">
        <v>0</v>
      </c>
      <c r="L8" s="428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0</v>
      </c>
      <c r="F9" s="9">
        <v>0</v>
      </c>
      <c r="G9" s="8">
        <v>3</v>
      </c>
      <c r="H9" s="10">
        <v>22081</v>
      </c>
      <c r="I9" s="311">
        <v>1</v>
      </c>
      <c r="J9" s="406">
        <v>1</v>
      </c>
      <c r="K9" s="410">
        <v>0</v>
      </c>
      <c r="L9" s="427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1</v>
      </c>
      <c r="F10" s="9">
        <v>12000</v>
      </c>
      <c r="G10" s="8">
        <v>1</v>
      </c>
      <c r="H10" s="10">
        <v>12000</v>
      </c>
      <c r="I10" s="311">
        <v>1</v>
      </c>
      <c r="J10" s="406">
        <v>1</v>
      </c>
      <c r="K10" s="410">
        <v>0</v>
      </c>
      <c r="L10" s="427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1</v>
      </c>
      <c r="F11" s="16">
        <v>12000</v>
      </c>
      <c r="G11" s="15">
        <v>4</v>
      </c>
      <c r="H11" s="17">
        <v>34081</v>
      </c>
      <c r="I11" s="312">
        <v>2</v>
      </c>
      <c r="J11" s="313">
        <v>2</v>
      </c>
      <c r="K11" s="411">
        <v>0</v>
      </c>
      <c r="L11" s="428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6.5</v>
      </c>
      <c r="H12" s="10">
        <v>112287</v>
      </c>
      <c r="I12" s="311">
        <v>1</v>
      </c>
      <c r="J12" s="406">
        <v>1</v>
      </c>
      <c r="K12" s="410">
        <v>1</v>
      </c>
      <c r="L12" s="427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0.5</v>
      </c>
      <c r="H13" s="10">
        <v>8636</v>
      </c>
      <c r="I13" s="311">
        <v>1</v>
      </c>
      <c r="J13" s="406">
        <v>0</v>
      </c>
      <c r="K13" s="410">
        <v>0</v>
      </c>
      <c r="L13" s="427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4</v>
      </c>
      <c r="H14" s="10">
        <v>42789</v>
      </c>
      <c r="I14" s="311">
        <v>1</v>
      </c>
      <c r="J14" s="406">
        <v>1</v>
      </c>
      <c r="K14" s="410">
        <v>1</v>
      </c>
      <c r="L14" s="427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11</v>
      </c>
      <c r="H15" s="17">
        <v>163712</v>
      </c>
      <c r="I15" s="312">
        <v>3</v>
      </c>
      <c r="J15" s="313">
        <v>2</v>
      </c>
      <c r="K15" s="411">
        <v>2</v>
      </c>
      <c r="L15" s="428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7.5</v>
      </c>
      <c r="H16" s="10">
        <v>180432</v>
      </c>
      <c r="I16" s="311">
        <v>1</v>
      </c>
      <c r="J16" s="406">
        <v>1</v>
      </c>
      <c r="K16" s="410">
        <v>1</v>
      </c>
      <c r="L16" s="427"/>
    </row>
    <row r="17" spans="2:13" ht="18.25" customHeight="1" outlineLevel="2">
      <c r="B17" s="5" t="s">
        <v>7</v>
      </c>
      <c r="C17" s="6" t="s">
        <v>785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1">
        <v>0</v>
      </c>
      <c r="J17" s="406">
        <v>0</v>
      </c>
      <c r="K17" s="410">
        <v>0</v>
      </c>
      <c r="L17" s="427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2.5</v>
      </c>
      <c r="H18" s="10">
        <v>52224</v>
      </c>
      <c r="I18" s="311">
        <v>1</v>
      </c>
      <c r="J18" s="406">
        <v>1</v>
      </c>
      <c r="K18" s="410">
        <v>1</v>
      </c>
      <c r="L18" s="427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10</v>
      </c>
      <c r="H19" s="17">
        <v>232656</v>
      </c>
      <c r="I19" s="312">
        <v>2</v>
      </c>
      <c r="J19" s="313">
        <v>2</v>
      </c>
      <c r="K19" s="411">
        <v>2</v>
      </c>
      <c r="L19" s="428">
        <v>1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6731</v>
      </c>
      <c r="I20" s="311">
        <v>1</v>
      </c>
      <c r="J20" s="406">
        <v>0</v>
      </c>
      <c r="K20" s="410">
        <v>0</v>
      </c>
      <c r="L20" s="427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1">
        <v>0</v>
      </c>
      <c r="J21" s="406">
        <v>0</v>
      </c>
      <c r="K21" s="410">
        <v>0</v>
      </c>
      <c r="L21" s="427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2">
        <v>1</v>
      </c>
      <c r="J22" s="313">
        <v>0</v>
      </c>
      <c r="K22" s="411">
        <v>0</v>
      </c>
      <c r="L22" s="428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1</v>
      </c>
      <c r="F23" s="9">
        <v>8354</v>
      </c>
      <c r="G23" s="8">
        <v>4</v>
      </c>
      <c r="H23" s="10">
        <v>53157</v>
      </c>
      <c r="I23" s="311">
        <v>1</v>
      </c>
      <c r="J23" s="406">
        <v>1</v>
      </c>
      <c r="K23" s="410">
        <v>1</v>
      </c>
      <c r="L23" s="427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1</v>
      </c>
      <c r="H24" s="10">
        <v>18834</v>
      </c>
      <c r="I24" s="311">
        <v>1</v>
      </c>
      <c r="J24" s="406">
        <v>1</v>
      </c>
      <c r="K24" s="410">
        <v>0</v>
      </c>
      <c r="L24" s="427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1</v>
      </c>
      <c r="F25" s="16">
        <v>8354</v>
      </c>
      <c r="G25" s="21">
        <v>5</v>
      </c>
      <c r="H25" s="17">
        <v>71991</v>
      </c>
      <c r="I25" s="312">
        <v>2</v>
      </c>
      <c r="J25" s="313">
        <v>2</v>
      </c>
      <c r="K25" s="411">
        <v>1</v>
      </c>
      <c r="L25" s="428">
        <v>1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1">
        <v>0</v>
      </c>
      <c r="J26" s="406">
        <v>0</v>
      </c>
      <c r="K26" s="410">
        <v>0</v>
      </c>
      <c r="L26" s="427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1</v>
      </c>
      <c r="H27" s="10">
        <v>9702</v>
      </c>
      <c r="I27" s="311">
        <v>1</v>
      </c>
      <c r="J27" s="406">
        <v>0</v>
      </c>
      <c r="K27" s="410">
        <v>0</v>
      </c>
      <c r="L27" s="427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2">
        <v>1</v>
      </c>
      <c r="J28" s="313">
        <v>0</v>
      </c>
      <c r="K28" s="411">
        <v>0</v>
      </c>
      <c r="L28" s="428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1</v>
      </c>
      <c r="H29" s="10">
        <v>72547</v>
      </c>
      <c r="I29" s="311">
        <v>1</v>
      </c>
      <c r="J29" s="406">
        <v>1</v>
      </c>
      <c r="K29" s="410">
        <v>1</v>
      </c>
      <c r="L29" s="427"/>
    </row>
    <row r="30" spans="2:13" ht="18.25" customHeight="1" outlineLevel="2">
      <c r="B30" s="5" t="s">
        <v>7</v>
      </c>
      <c r="C30" s="6" t="s">
        <v>918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1">
        <v>0</v>
      </c>
      <c r="J30" s="406">
        <v>0</v>
      </c>
      <c r="K30" s="410">
        <v>0</v>
      </c>
      <c r="L30" s="427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1">
        <v>0</v>
      </c>
      <c r="J31" s="406">
        <v>0</v>
      </c>
      <c r="K31" s="410">
        <v>0</v>
      </c>
      <c r="L31" s="427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1</v>
      </c>
      <c r="H32" s="17">
        <v>72547</v>
      </c>
      <c r="I32" s="312">
        <v>1</v>
      </c>
      <c r="J32" s="313">
        <v>1</v>
      </c>
      <c r="K32" s="411">
        <v>1</v>
      </c>
      <c r="L32" s="428">
        <v>1</v>
      </c>
      <c r="M32" s="1" t="s">
        <v>168</v>
      </c>
    </row>
    <row r="33" spans="1:14" s="150" customFormat="1" ht="18.25" customHeight="1">
      <c r="A33" s="570" t="s">
        <v>825</v>
      </c>
      <c r="B33" s="949" t="s">
        <v>7</v>
      </c>
      <c r="C33" s="950"/>
      <c r="D33" s="146">
        <v>20</v>
      </c>
      <c r="E33" s="151">
        <v>2</v>
      </c>
      <c r="F33" s="152">
        <v>20354</v>
      </c>
      <c r="G33" s="147">
        <v>33</v>
      </c>
      <c r="H33" s="153">
        <v>596220</v>
      </c>
      <c r="I33" s="315">
        <v>12</v>
      </c>
      <c r="J33" s="316">
        <v>9</v>
      </c>
      <c r="K33" s="412">
        <v>6</v>
      </c>
      <c r="L33" s="429">
        <v>3</v>
      </c>
      <c r="M33" s="249"/>
      <c r="N33" s="249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2</v>
      </c>
      <c r="H34" s="10">
        <v>86095</v>
      </c>
      <c r="I34" s="311">
        <v>1</v>
      </c>
      <c r="J34" s="406">
        <v>1</v>
      </c>
      <c r="K34" s="410">
        <v>1</v>
      </c>
      <c r="L34" s="427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1">
        <v>0</v>
      </c>
      <c r="J35" s="406">
        <v>0</v>
      </c>
      <c r="K35" s="410">
        <v>0</v>
      </c>
      <c r="L35" s="427"/>
    </row>
    <row r="36" spans="1:14" ht="18.25" customHeight="1" outlineLevel="1">
      <c r="B36" s="12" t="s">
        <v>300</v>
      </c>
      <c r="C36" s="13" t="s">
        <v>61</v>
      </c>
      <c r="D36" s="14">
        <v>2</v>
      </c>
      <c r="E36" s="15">
        <v>0</v>
      </c>
      <c r="F36" s="16">
        <v>0</v>
      </c>
      <c r="G36" s="15">
        <v>2</v>
      </c>
      <c r="H36" s="17">
        <v>86095</v>
      </c>
      <c r="I36" s="312">
        <v>1</v>
      </c>
      <c r="J36" s="313">
        <v>1</v>
      </c>
      <c r="K36" s="411">
        <v>1</v>
      </c>
      <c r="L36" s="428">
        <v>0</v>
      </c>
      <c r="M36" s="1" t="s">
        <v>166</v>
      </c>
    </row>
    <row r="37" spans="1:14" ht="18.25" customHeight="1" outlineLevel="2">
      <c r="B37" s="5" t="s">
        <v>301</v>
      </c>
      <c r="C37" s="6" t="s">
        <v>678</v>
      </c>
      <c r="D37" s="7" t="s">
        <v>920</v>
      </c>
      <c r="E37" s="8">
        <v>0</v>
      </c>
      <c r="F37" s="9">
        <v>0</v>
      </c>
      <c r="G37" s="8">
        <v>0</v>
      </c>
      <c r="H37" s="10">
        <v>0</v>
      </c>
      <c r="I37" s="311">
        <v>0</v>
      </c>
      <c r="J37" s="406">
        <v>0</v>
      </c>
      <c r="K37" s="410">
        <v>0</v>
      </c>
      <c r="L37" s="427"/>
    </row>
    <row r="38" spans="1:14" ht="18.25" customHeight="1" outlineLevel="2">
      <c r="B38" s="5" t="s">
        <v>300</v>
      </c>
      <c r="C38" s="6" t="s">
        <v>852</v>
      </c>
      <c r="D38" s="7" t="s">
        <v>187</v>
      </c>
      <c r="E38" s="8">
        <v>0</v>
      </c>
      <c r="F38" s="9">
        <v>0</v>
      </c>
      <c r="G38" s="8">
        <v>1</v>
      </c>
      <c r="H38" s="10">
        <v>4017</v>
      </c>
      <c r="I38" s="311">
        <v>1</v>
      </c>
      <c r="J38" s="406">
        <v>0</v>
      </c>
      <c r="K38" s="410">
        <v>0</v>
      </c>
      <c r="L38" s="427"/>
    </row>
    <row r="39" spans="1:14" ht="18.25" customHeight="1" outlineLevel="1">
      <c r="B39" s="12" t="s">
        <v>300</v>
      </c>
      <c r="C39" s="13" t="s">
        <v>678</v>
      </c>
      <c r="D39" s="14">
        <v>2</v>
      </c>
      <c r="E39" s="15">
        <v>0</v>
      </c>
      <c r="F39" s="16">
        <v>0</v>
      </c>
      <c r="G39" s="15">
        <v>1</v>
      </c>
      <c r="H39" s="17">
        <v>4017</v>
      </c>
      <c r="I39" s="312">
        <v>1</v>
      </c>
      <c r="J39" s="313">
        <v>0</v>
      </c>
      <c r="K39" s="411">
        <v>0</v>
      </c>
      <c r="L39" s="428">
        <v>0</v>
      </c>
      <c r="M39" s="1" t="s">
        <v>168</v>
      </c>
    </row>
    <row r="40" spans="1:14" ht="18.25" customHeight="1" outlineLevel="2">
      <c r="B40" s="5" t="s">
        <v>300</v>
      </c>
      <c r="C40" s="879" t="s">
        <v>908</v>
      </c>
      <c r="D40" s="45"/>
      <c r="E40" s="8">
        <v>0</v>
      </c>
      <c r="F40" s="9">
        <v>0</v>
      </c>
      <c r="G40" s="8">
        <v>0</v>
      </c>
      <c r="H40" s="10">
        <v>0</v>
      </c>
      <c r="I40" s="319"/>
      <c r="J40" s="408"/>
      <c r="K40" s="415"/>
      <c r="L40" s="427"/>
    </row>
    <row r="41" spans="1:14" ht="18.25" customHeight="1" outlineLevel="2">
      <c r="B41" s="5" t="s">
        <v>300</v>
      </c>
      <c r="C41" s="879" t="s">
        <v>909</v>
      </c>
      <c r="D41" s="45"/>
      <c r="E41" s="8">
        <v>0</v>
      </c>
      <c r="F41" s="9">
        <v>0</v>
      </c>
      <c r="G41" s="8">
        <v>0</v>
      </c>
      <c r="H41" s="10">
        <v>0</v>
      </c>
      <c r="I41" s="319"/>
      <c r="J41" s="408"/>
      <c r="K41" s="415"/>
      <c r="L41" s="427"/>
    </row>
    <row r="42" spans="1:14" ht="18.25" customHeight="1" outlineLevel="1">
      <c r="B42" s="12" t="s">
        <v>300</v>
      </c>
      <c r="C42" s="13" t="s">
        <v>62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2">
        <v>0</v>
      </c>
      <c r="J42" s="313">
        <v>0</v>
      </c>
      <c r="K42" s="411">
        <v>0</v>
      </c>
      <c r="L42" s="428">
        <v>0</v>
      </c>
      <c r="M42" s="1" t="s">
        <v>168</v>
      </c>
    </row>
    <row r="43" spans="1:14" ht="18.25" customHeight="1" outlineLevel="2">
      <c r="B43" s="5" t="s">
        <v>300</v>
      </c>
      <c r="C43" s="6" t="s">
        <v>305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1">
        <v>0</v>
      </c>
      <c r="J43" s="406">
        <v>0</v>
      </c>
      <c r="K43" s="410">
        <v>0</v>
      </c>
      <c r="L43" s="427"/>
    </row>
    <row r="44" spans="1:14" ht="18.25" customHeight="1" outlineLevel="2">
      <c r="B44" s="5" t="s">
        <v>300</v>
      </c>
      <c r="C44" s="6" t="s">
        <v>623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11">
        <v>0</v>
      </c>
      <c r="J44" s="406">
        <v>0</v>
      </c>
      <c r="K44" s="410">
        <v>0</v>
      </c>
      <c r="L44" s="427"/>
    </row>
    <row r="45" spans="1:14" ht="18.25" customHeight="1" outlineLevel="1">
      <c r="B45" s="12" t="s">
        <v>300</v>
      </c>
      <c r="C45" s="13" t="s">
        <v>305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2">
        <v>0</v>
      </c>
      <c r="J45" s="313">
        <v>0</v>
      </c>
      <c r="K45" s="411">
        <v>0</v>
      </c>
      <c r="L45" s="428">
        <v>0</v>
      </c>
      <c r="M45" s="1" t="s">
        <v>168</v>
      </c>
    </row>
    <row r="46" spans="1:14" ht="18.25" customHeight="1" outlineLevel="2">
      <c r="B46" s="5" t="s">
        <v>300</v>
      </c>
      <c r="C46" s="39" t="s">
        <v>241</v>
      </c>
      <c r="D46" s="7" t="s">
        <v>188</v>
      </c>
      <c r="E46" s="8">
        <v>0</v>
      </c>
      <c r="F46" s="9">
        <v>0</v>
      </c>
      <c r="G46" s="8">
        <v>1</v>
      </c>
      <c r="H46" s="10">
        <v>0</v>
      </c>
      <c r="I46" s="311">
        <v>1</v>
      </c>
      <c r="J46" s="406">
        <v>0</v>
      </c>
      <c r="K46" s="410">
        <v>0</v>
      </c>
      <c r="L46" s="427"/>
    </row>
    <row r="47" spans="1:14" ht="18.25" customHeight="1" outlineLevel="2">
      <c r="B47" s="5" t="s">
        <v>300</v>
      </c>
      <c r="C47" s="39" t="s">
        <v>283</v>
      </c>
      <c r="D47" s="7" t="s">
        <v>26</v>
      </c>
      <c r="E47" s="8">
        <v>0</v>
      </c>
      <c r="F47" s="9">
        <v>0</v>
      </c>
      <c r="G47" s="8">
        <v>2</v>
      </c>
      <c r="H47" s="10">
        <v>19925</v>
      </c>
      <c r="I47" s="311">
        <v>1</v>
      </c>
      <c r="J47" s="406">
        <v>1</v>
      </c>
      <c r="K47" s="410">
        <v>0</v>
      </c>
      <c r="L47" s="427"/>
    </row>
    <row r="48" spans="1:14" ht="18.25" customHeight="1" outlineLevel="1">
      <c r="B48" s="12" t="s">
        <v>300</v>
      </c>
      <c r="C48" s="13" t="s">
        <v>241</v>
      </c>
      <c r="D48" s="14">
        <v>2</v>
      </c>
      <c r="E48" s="15">
        <v>0</v>
      </c>
      <c r="F48" s="16">
        <v>0</v>
      </c>
      <c r="G48" s="15">
        <v>3</v>
      </c>
      <c r="H48" s="17">
        <v>19925</v>
      </c>
      <c r="I48" s="312">
        <v>2</v>
      </c>
      <c r="J48" s="313">
        <v>1</v>
      </c>
      <c r="K48" s="411">
        <v>0</v>
      </c>
      <c r="L48" s="428">
        <v>0</v>
      </c>
      <c r="M48" s="1" t="s">
        <v>168</v>
      </c>
    </row>
    <row r="49" spans="1:14" ht="18.25" customHeight="1" outlineLevel="2">
      <c r="B49" s="5" t="s">
        <v>300</v>
      </c>
      <c r="C49" s="6" t="s">
        <v>65</v>
      </c>
      <c r="D49" s="19" t="s">
        <v>39</v>
      </c>
      <c r="E49" s="8">
        <v>0</v>
      </c>
      <c r="F49" s="9">
        <v>0</v>
      </c>
      <c r="G49" s="8">
        <v>0</v>
      </c>
      <c r="H49" s="10">
        <v>0</v>
      </c>
      <c r="I49" s="311">
        <v>0</v>
      </c>
      <c r="J49" s="406">
        <v>0</v>
      </c>
      <c r="K49" s="410">
        <v>0</v>
      </c>
      <c r="L49" s="427"/>
    </row>
    <row r="50" spans="1:14" ht="18.25" customHeight="1" outlineLevel="2">
      <c r="B50" s="5" t="s">
        <v>300</v>
      </c>
      <c r="C50" s="6" t="s">
        <v>66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11">
        <v>0</v>
      </c>
      <c r="J50" s="406">
        <v>0</v>
      </c>
      <c r="K50" s="410">
        <v>0</v>
      </c>
      <c r="L50" s="427"/>
    </row>
    <row r="51" spans="1:14" s="66" customFormat="1" ht="18.25" customHeight="1" outlineLevel="1">
      <c r="A51" s="572"/>
      <c r="B51" s="47" t="s">
        <v>300</v>
      </c>
      <c r="C51" s="62" t="s">
        <v>65</v>
      </c>
      <c r="D51" s="26">
        <v>2</v>
      </c>
      <c r="E51" s="63">
        <v>0</v>
      </c>
      <c r="F51" s="63">
        <v>0</v>
      </c>
      <c r="G51" s="67">
        <v>0</v>
      </c>
      <c r="H51" s="65">
        <v>0</v>
      </c>
      <c r="I51" s="317">
        <v>0</v>
      </c>
      <c r="J51" s="318">
        <v>0</v>
      </c>
      <c r="K51" s="413">
        <v>0</v>
      </c>
      <c r="L51" s="430">
        <v>0</v>
      </c>
      <c r="M51" s="250" t="s">
        <v>50</v>
      </c>
      <c r="N51" s="250"/>
    </row>
    <row r="52" spans="1:14" ht="18.25" customHeight="1" outlineLevel="2">
      <c r="B52" s="5" t="s">
        <v>300</v>
      </c>
      <c r="C52" s="39" t="s">
        <v>221</v>
      </c>
      <c r="D52" s="23" t="s">
        <v>39</v>
      </c>
      <c r="E52" s="8">
        <v>1</v>
      </c>
      <c r="F52" s="9">
        <v>1094</v>
      </c>
      <c r="G52" s="8">
        <v>3</v>
      </c>
      <c r="H52" s="10">
        <v>7151</v>
      </c>
      <c r="I52" s="311">
        <v>1</v>
      </c>
      <c r="J52" s="406">
        <v>0</v>
      </c>
      <c r="K52" s="410">
        <v>0</v>
      </c>
      <c r="L52" s="427"/>
    </row>
    <row r="53" spans="1:14" ht="18.25" customHeight="1" outlineLevel="2">
      <c r="B53" s="5" t="s">
        <v>300</v>
      </c>
      <c r="C53" s="6" t="s">
        <v>809</v>
      </c>
      <c r="D53" s="7" t="s">
        <v>16</v>
      </c>
      <c r="E53" s="8">
        <v>1</v>
      </c>
      <c r="F53" s="9">
        <v>5945</v>
      </c>
      <c r="G53" s="8">
        <v>1</v>
      </c>
      <c r="H53" s="10">
        <v>5945</v>
      </c>
      <c r="I53" s="311">
        <v>1</v>
      </c>
      <c r="J53" s="406">
        <v>0</v>
      </c>
      <c r="K53" s="410">
        <v>0</v>
      </c>
      <c r="L53" s="427"/>
    </row>
    <row r="54" spans="1:14" ht="18.25" customHeight="1" outlineLevel="2">
      <c r="B54" s="5" t="s">
        <v>300</v>
      </c>
      <c r="C54" s="6" t="s">
        <v>683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1">
        <v>0</v>
      </c>
      <c r="J54" s="406">
        <v>0</v>
      </c>
      <c r="K54" s="410">
        <v>0</v>
      </c>
      <c r="L54" s="427"/>
    </row>
    <row r="55" spans="1:14" s="66" customFormat="1" ht="18.25" customHeight="1" outlineLevel="1">
      <c r="A55" s="572"/>
      <c r="B55" s="47" t="s">
        <v>300</v>
      </c>
      <c r="C55" s="62" t="s">
        <v>255</v>
      </c>
      <c r="D55" s="26">
        <v>3</v>
      </c>
      <c r="E55" s="63">
        <v>2</v>
      </c>
      <c r="F55" s="63">
        <v>7039</v>
      </c>
      <c r="G55" s="67">
        <v>4</v>
      </c>
      <c r="H55" s="65">
        <v>13096</v>
      </c>
      <c r="I55" s="317">
        <v>2</v>
      </c>
      <c r="J55" s="318">
        <v>0</v>
      </c>
      <c r="K55" s="413">
        <v>0</v>
      </c>
      <c r="L55" s="430">
        <v>0</v>
      </c>
      <c r="M55" s="250" t="s">
        <v>50</v>
      </c>
      <c r="N55" s="250"/>
    </row>
    <row r="56" spans="1:14" ht="18.25" customHeight="1" outlineLevel="2">
      <c r="B56" s="5" t="s">
        <v>300</v>
      </c>
      <c r="C56" s="6" t="s">
        <v>260</v>
      </c>
      <c r="D56" s="7" t="s">
        <v>21</v>
      </c>
      <c r="E56" s="8">
        <v>0</v>
      </c>
      <c r="F56" s="9">
        <v>0</v>
      </c>
      <c r="G56" s="8">
        <v>1</v>
      </c>
      <c r="H56" s="10">
        <v>575</v>
      </c>
      <c r="I56" s="311">
        <v>1</v>
      </c>
      <c r="J56" s="406">
        <v>0</v>
      </c>
      <c r="K56" s="410">
        <v>0</v>
      </c>
      <c r="L56" s="427"/>
    </row>
    <row r="57" spans="1:14" ht="18.25" customHeight="1" outlineLevel="2">
      <c r="B57" s="5" t="s">
        <v>300</v>
      </c>
      <c r="C57" s="6" t="s">
        <v>916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11">
        <v>0</v>
      </c>
      <c r="J57" s="406">
        <v>0</v>
      </c>
      <c r="K57" s="410">
        <v>0</v>
      </c>
      <c r="L57" s="427"/>
    </row>
    <row r="58" spans="1:14" s="66" customFormat="1" ht="18.25" customHeight="1" outlineLevel="1">
      <c r="A58" s="572"/>
      <c r="B58" s="47" t="s">
        <v>300</v>
      </c>
      <c r="C58" s="62" t="s">
        <v>260</v>
      </c>
      <c r="D58" s="26">
        <v>2</v>
      </c>
      <c r="E58" s="63">
        <v>0</v>
      </c>
      <c r="F58" s="63">
        <v>0</v>
      </c>
      <c r="G58" s="67">
        <v>1</v>
      </c>
      <c r="H58" s="65">
        <v>575</v>
      </c>
      <c r="I58" s="317">
        <v>1</v>
      </c>
      <c r="J58" s="318">
        <v>0</v>
      </c>
      <c r="K58" s="413">
        <v>0</v>
      </c>
      <c r="L58" s="430">
        <v>0</v>
      </c>
      <c r="M58" s="250" t="s">
        <v>170</v>
      </c>
      <c r="N58" s="250"/>
    </row>
    <row r="59" spans="1:14" ht="18.25" customHeight="1" outlineLevel="2">
      <c r="B59" s="5" t="s">
        <v>300</v>
      </c>
      <c r="C59" s="6" t="s">
        <v>572</v>
      </c>
      <c r="D59" s="7" t="s">
        <v>24</v>
      </c>
      <c r="E59" s="8">
        <v>0</v>
      </c>
      <c r="F59" s="9">
        <v>0</v>
      </c>
      <c r="G59" s="8">
        <v>3</v>
      </c>
      <c r="H59" s="10">
        <v>65509</v>
      </c>
      <c r="I59" s="311">
        <v>1</v>
      </c>
      <c r="J59" s="406">
        <v>1</v>
      </c>
      <c r="K59" s="410">
        <v>1</v>
      </c>
      <c r="L59" s="427"/>
    </row>
    <row r="60" spans="1:14" ht="18.25" customHeight="1" outlineLevel="2">
      <c r="B60" s="5" t="s">
        <v>300</v>
      </c>
      <c r="C60" s="6" t="s">
        <v>778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11">
        <v>0</v>
      </c>
      <c r="J60" s="406">
        <v>0</v>
      </c>
      <c r="K60" s="410">
        <v>0</v>
      </c>
      <c r="L60" s="427"/>
    </row>
    <row r="61" spans="1:14" s="66" customFormat="1" ht="18.25" customHeight="1" outlineLevel="1">
      <c r="A61" s="572"/>
      <c r="B61" s="47" t="s">
        <v>300</v>
      </c>
      <c r="C61" s="62" t="s">
        <v>572</v>
      </c>
      <c r="D61" s="26">
        <v>2</v>
      </c>
      <c r="E61" s="63">
        <v>0</v>
      </c>
      <c r="F61" s="63">
        <v>0</v>
      </c>
      <c r="G61" s="67">
        <v>3</v>
      </c>
      <c r="H61" s="65">
        <v>65509</v>
      </c>
      <c r="I61" s="317">
        <v>1</v>
      </c>
      <c r="J61" s="318">
        <v>1</v>
      </c>
      <c r="K61" s="413">
        <v>1</v>
      </c>
      <c r="L61" s="430">
        <v>1</v>
      </c>
      <c r="M61" s="250" t="s">
        <v>168</v>
      </c>
      <c r="N61" s="250"/>
    </row>
    <row r="62" spans="1:14" ht="18.25" customHeight="1" outlineLevel="2">
      <c r="B62" s="5" t="s">
        <v>300</v>
      </c>
      <c r="C62" s="6" t="s">
        <v>687</v>
      </c>
      <c r="D62" s="7" t="s">
        <v>24</v>
      </c>
      <c r="E62" s="8">
        <v>0</v>
      </c>
      <c r="F62" s="9">
        <v>0</v>
      </c>
      <c r="G62" s="8">
        <v>1</v>
      </c>
      <c r="H62" s="10">
        <v>354769</v>
      </c>
      <c r="I62" s="311">
        <v>1</v>
      </c>
      <c r="J62" s="406">
        <v>1</v>
      </c>
      <c r="K62" s="410">
        <v>1</v>
      </c>
      <c r="L62" s="427"/>
    </row>
    <row r="63" spans="1:14" ht="18.25" customHeight="1" outlineLevel="2">
      <c r="B63" s="5" t="s">
        <v>300</v>
      </c>
      <c r="C63" s="6" t="s">
        <v>677</v>
      </c>
      <c r="D63" s="7" t="s">
        <v>16</v>
      </c>
      <c r="E63" s="8">
        <v>0</v>
      </c>
      <c r="F63" s="9">
        <v>0</v>
      </c>
      <c r="G63" s="8">
        <v>1</v>
      </c>
      <c r="H63" s="10">
        <v>354769</v>
      </c>
      <c r="I63" s="311">
        <v>1</v>
      </c>
      <c r="J63" s="406">
        <v>1</v>
      </c>
      <c r="K63" s="410">
        <v>1</v>
      </c>
      <c r="L63" s="427"/>
    </row>
    <row r="64" spans="1:14" s="66" customFormat="1" ht="18.25" customHeight="1" outlineLevel="1">
      <c r="A64" s="572"/>
      <c r="B64" s="47" t="s">
        <v>300</v>
      </c>
      <c r="C64" s="62" t="s">
        <v>687</v>
      </c>
      <c r="D64" s="26">
        <v>2</v>
      </c>
      <c r="E64" s="63">
        <v>0</v>
      </c>
      <c r="F64" s="63">
        <v>0</v>
      </c>
      <c r="G64" s="67">
        <v>2</v>
      </c>
      <c r="H64" s="65">
        <v>709538</v>
      </c>
      <c r="I64" s="317">
        <v>2</v>
      </c>
      <c r="J64" s="318">
        <v>2</v>
      </c>
      <c r="K64" s="413">
        <v>2</v>
      </c>
      <c r="L64" s="430">
        <v>1</v>
      </c>
      <c r="M64" s="250" t="s">
        <v>168</v>
      </c>
      <c r="N64" s="250"/>
    </row>
    <row r="65" spans="1:14" ht="18.25" customHeight="1" outlineLevel="2">
      <c r="B65" s="5" t="s">
        <v>300</v>
      </c>
      <c r="C65" s="6" t="s">
        <v>261</v>
      </c>
      <c r="D65" s="23" t="s">
        <v>21</v>
      </c>
      <c r="E65" s="8">
        <v>0</v>
      </c>
      <c r="F65" s="9">
        <v>0</v>
      </c>
      <c r="G65" s="8">
        <v>4</v>
      </c>
      <c r="H65" s="10">
        <v>52020</v>
      </c>
      <c r="I65" s="311">
        <v>1</v>
      </c>
      <c r="J65" s="406">
        <v>1</v>
      </c>
      <c r="K65" s="410">
        <v>1</v>
      </c>
      <c r="L65" s="427"/>
    </row>
    <row r="66" spans="1:14" ht="18.25" customHeight="1" outlineLevel="2">
      <c r="B66" s="5" t="s">
        <v>300</v>
      </c>
      <c r="C66" s="6" t="s">
        <v>338</v>
      </c>
      <c r="D66" s="7" t="s">
        <v>16</v>
      </c>
      <c r="E66" s="8">
        <v>0</v>
      </c>
      <c r="F66" s="9">
        <v>0</v>
      </c>
      <c r="G66" s="8">
        <v>1</v>
      </c>
      <c r="H66" s="10">
        <v>4708</v>
      </c>
      <c r="I66" s="311">
        <v>1</v>
      </c>
      <c r="J66" s="406">
        <v>0</v>
      </c>
      <c r="K66" s="410">
        <v>0</v>
      </c>
      <c r="L66" s="427"/>
    </row>
    <row r="67" spans="1:14" s="66" customFormat="1" ht="18.25" customHeight="1" outlineLevel="1">
      <c r="A67" s="572"/>
      <c r="B67" s="47" t="s">
        <v>300</v>
      </c>
      <c r="C67" s="62" t="s">
        <v>261</v>
      </c>
      <c r="D67" s="26">
        <v>2</v>
      </c>
      <c r="E67" s="63">
        <v>0</v>
      </c>
      <c r="F67" s="63">
        <v>0</v>
      </c>
      <c r="G67" s="67">
        <v>5</v>
      </c>
      <c r="H67" s="65">
        <v>56728</v>
      </c>
      <c r="I67" s="317">
        <v>2</v>
      </c>
      <c r="J67" s="407">
        <v>1</v>
      </c>
      <c r="K67" s="414">
        <v>1</v>
      </c>
      <c r="L67" s="431">
        <v>0</v>
      </c>
      <c r="M67" s="250" t="s">
        <v>170</v>
      </c>
      <c r="N67" s="250"/>
    </row>
    <row r="68" spans="1:14" ht="18.25" customHeight="1" outlineLevel="2">
      <c r="B68" s="5" t="s">
        <v>300</v>
      </c>
      <c r="C68" s="6" t="s">
        <v>67</v>
      </c>
      <c r="D68" s="7" t="s">
        <v>24</v>
      </c>
      <c r="E68" s="8">
        <v>0</v>
      </c>
      <c r="F68" s="9">
        <v>0</v>
      </c>
      <c r="G68" s="8">
        <v>1</v>
      </c>
      <c r="H68" s="10">
        <v>50</v>
      </c>
      <c r="I68" s="311">
        <v>1</v>
      </c>
      <c r="J68" s="406">
        <v>0</v>
      </c>
      <c r="K68" s="410">
        <v>0</v>
      </c>
      <c r="L68" s="427"/>
    </row>
    <row r="69" spans="1:14" ht="18.25" customHeight="1" outlineLevel="2">
      <c r="B69" s="5" t="s">
        <v>300</v>
      </c>
      <c r="C69" s="6" t="s">
        <v>798</v>
      </c>
      <c r="D69" s="7" t="s">
        <v>16</v>
      </c>
      <c r="E69" s="8">
        <v>0</v>
      </c>
      <c r="F69" s="9">
        <v>0</v>
      </c>
      <c r="G69" s="8">
        <v>0</v>
      </c>
      <c r="H69" s="10">
        <v>0</v>
      </c>
      <c r="I69" s="311">
        <v>0</v>
      </c>
      <c r="J69" s="406">
        <v>0</v>
      </c>
      <c r="K69" s="410">
        <v>0</v>
      </c>
      <c r="L69" s="427"/>
    </row>
    <row r="70" spans="1:14" s="66" customFormat="1" ht="18.25" customHeight="1" outlineLevel="1">
      <c r="A70" s="572"/>
      <c r="B70" s="47" t="s">
        <v>300</v>
      </c>
      <c r="C70" s="62" t="s">
        <v>67</v>
      </c>
      <c r="D70" s="26">
        <v>2</v>
      </c>
      <c r="E70" s="63">
        <v>0</v>
      </c>
      <c r="F70" s="64">
        <v>0</v>
      </c>
      <c r="G70" s="63">
        <v>1</v>
      </c>
      <c r="H70" s="65">
        <v>50</v>
      </c>
      <c r="I70" s="317">
        <v>1</v>
      </c>
      <c r="J70" s="318">
        <v>0</v>
      </c>
      <c r="K70" s="413">
        <v>0</v>
      </c>
      <c r="L70" s="430">
        <v>0</v>
      </c>
      <c r="M70" s="250" t="s">
        <v>168</v>
      </c>
      <c r="N70" s="250"/>
    </row>
    <row r="71" spans="1:14" ht="18.25" customHeight="1" outlineLevel="2">
      <c r="B71" s="5" t="s">
        <v>300</v>
      </c>
      <c r="C71" s="6" t="s">
        <v>753</v>
      </c>
      <c r="D71" s="7" t="s">
        <v>24</v>
      </c>
      <c r="E71" s="8">
        <v>0</v>
      </c>
      <c r="F71" s="9">
        <v>0</v>
      </c>
      <c r="G71" s="8">
        <v>1</v>
      </c>
      <c r="H71" s="10">
        <v>12000</v>
      </c>
      <c r="I71" s="311">
        <v>1</v>
      </c>
      <c r="J71" s="406">
        <v>0</v>
      </c>
      <c r="K71" s="410">
        <v>0</v>
      </c>
      <c r="L71" s="427"/>
    </row>
    <row r="72" spans="1:14" s="66" customFormat="1" ht="18.25" customHeight="1" outlineLevel="1">
      <c r="A72" s="572"/>
      <c r="B72" s="47" t="s">
        <v>300</v>
      </c>
      <c r="C72" s="62" t="s">
        <v>753</v>
      </c>
      <c r="D72" s="26">
        <v>1</v>
      </c>
      <c r="E72" s="63">
        <v>0</v>
      </c>
      <c r="F72" s="64">
        <v>0</v>
      </c>
      <c r="G72" s="63">
        <v>1</v>
      </c>
      <c r="H72" s="65">
        <v>12000</v>
      </c>
      <c r="I72" s="317">
        <v>1</v>
      </c>
      <c r="J72" s="318">
        <v>0</v>
      </c>
      <c r="K72" s="413">
        <v>0</v>
      </c>
      <c r="L72" s="430">
        <v>0</v>
      </c>
      <c r="M72" s="250" t="s">
        <v>168</v>
      </c>
      <c r="N72" s="250"/>
    </row>
    <row r="73" spans="1:14" ht="18.25" customHeight="1" outlineLevel="2">
      <c r="B73" s="41" t="s">
        <v>300</v>
      </c>
      <c r="C73" s="39" t="s">
        <v>253</v>
      </c>
      <c r="D73" s="23" t="s">
        <v>39</v>
      </c>
      <c r="E73" s="42">
        <v>0</v>
      </c>
      <c r="F73" s="43">
        <v>0</v>
      </c>
      <c r="G73" s="42">
        <v>0</v>
      </c>
      <c r="H73" s="44">
        <v>0</v>
      </c>
      <c r="I73" s="314">
        <v>0</v>
      </c>
      <c r="J73" s="406">
        <v>0</v>
      </c>
      <c r="K73" s="410">
        <v>0</v>
      </c>
      <c r="L73" s="427"/>
    </row>
    <row r="74" spans="1:14" ht="18.25" customHeight="1" outlineLevel="2">
      <c r="B74" s="5" t="s">
        <v>300</v>
      </c>
      <c r="C74" s="39" t="s">
        <v>790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11">
        <v>0</v>
      </c>
      <c r="J74" s="406">
        <v>0</v>
      </c>
      <c r="K74" s="410">
        <v>0</v>
      </c>
      <c r="L74" s="427"/>
    </row>
    <row r="75" spans="1:14" ht="18.25" customHeight="1" outlineLevel="2">
      <c r="B75" s="5" t="s">
        <v>300</v>
      </c>
      <c r="C75" s="39" t="s">
        <v>524</v>
      </c>
      <c r="D75" s="7" t="s">
        <v>16</v>
      </c>
      <c r="E75" s="8">
        <v>1</v>
      </c>
      <c r="F75" s="9">
        <v>6000</v>
      </c>
      <c r="G75" s="8">
        <v>1</v>
      </c>
      <c r="H75" s="10">
        <v>6000</v>
      </c>
      <c r="I75" s="311">
        <v>1</v>
      </c>
      <c r="J75" s="406">
        <v>0</v>
      </c>
      <c r="K75" s="410">
        <v>0</v>
      </c>
      <c r="L75" s="427"/>
    </row>
    <row r="76" spans="1:14" ht="18.25" customHeight="1" outlineLevel="2">
      <c r="B76" s="5" t="s">
        <v>300</v>
      </c>
      <c r="C76" s="39" t="s">
        <v>322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1">
        <v>0</v>
      </c>
      <c r="J76" s="406">
        <v>0</v>
      </c>
      <c r="K76" s="410">
        <v>0</v>
      </c>
      <c r="L76" s="427"/>
    </row>
    <row r="77" spans="1:14" ht="18.25" customHeight="1" outlineLevel="2">
      <c r="B77" s="5" t="s">
        <v>300</v>
      </c>
      <c r="C77" s="6" t="s">
        <v>359</v>
      </c>
      <c r="D77" s="7" t="s">
        <v>16</v>
      </c>
      <c r="E77" s="8">
        <v>0</v>
      </c>
      <c r="F77" s="9">
        <v>0</v>
      </c>
      <c r="G77" s="8">
        <v>4</v>
      </c>
      <c r="H77" s="10">
        <v>47883</v>
      </c>
      <c r="I77" s="311">
        <v>1</v>
      </c>
      <c r="J77" s="406">
        <v>1</v>
      </c>
      <c r="K77" s="410">
        <v>1</v>
      </c>
      <c r="L77" s="427"/>
    </row>
    <row r="78" spans="1:14" ht="18.25" customHeight="1" outlineLevel="2">
      <c r="B78" s="5" t="s">
        <v>300</v>
      </c>
      <c r="C78" s="39" t="s">
        <v>299</v>
      </c>
      <c r="D78" s="7" t="s">
        <v>16</v>
      </c>
      <c r="E78" s="8">
        <v>0</v>
      </c>
      <c r="F78" s="9">
        <v>0</v>
      </c>
      <c r="G78" s="8">
        <v>3</v>
      </c>
      <c r="H78" s="10">
        <v>15532</v>
      </c>
      <c r="I78" s="311">
        <v>1</v>
      </c>
      <c r="J78" s="406">
        <v>1</v>
      </c>
      <c r="K78" s="410">
        <v>0</v>
      </c>
      <c r="L78" s="427"/>
    </row>
    <row r="79" spans="1:14" ht="18.25" customHeight="1" outlineLevel="2">
      <c r="B79" s="5" t="s">
        <v>300</v>
      </c>
      <c r="C79" s="39" t="s">
        <v>64</v>
      </c>
      <c r="D79" s="7" t="s">
        <v>16</v>
      </c>
      <c r="E79" s="8">
        <v>0</v>
      </c>
      <c r="F79" s="9">
        <v>0</v>
      </c>
      <c r="G79" s="8">
        <v>4</v>
      </c>
      <c r="H79" s="10">
        <v>37494</v>
      </c>
      <c r="I79" s="311">
        <v>1</v>
      </c>
      <c r="J79" s="406">
        <v>1</v>
      </c>
      <c r="K79" s="410">
        <v>1</v>
      </c>
      <c r="L79" s="427"/>
    </row>
    <row r="80" spans="1:14" s="66" customFormat="1" ht="18.25" customHeight="1" outlineLevel="1">
      <c r="A80" s="572"/>
      <c r="B80" s="47" t="s">
        <v>300</v>
      </c>
      <c r="C80" s="62" t="s">
        <v>63</v>
      </c>
      <c r="D80" s="26">
        <v>7</v>
      </c>
      <c r="E80" s="63">
        <v>1</v>
      </c>
      <c r="F80" s="64">
        <v>6000</v>
      </c>
      <c r="G80" s="63">
        <v>12</v>
      </c>
      <c r="H80" s="65">
        <v>106909</v>
      </c>
      <c r="I80" s="317">
        <v>4</v>
      </c>
      <c r="J80" s="318">
        <v>3</v>
      </c>
      <c r="K80" s="413">
        <v>2</v>
      </c>
      <c r="L80" s="430">
        <v>0</v>
      </c>
      <c r="M80" s="250" t="s">
        <v>50</v>
      </c>
      <c r="N80" s="250"/>
    </row>
    <row r="81" spans="1:14" ht="18.25" customHeight="1" outlineLevel="2">
      <c r="B81" s="5" t="s">
        <v>300</v>
      </c>
      <c r="C81" s="38" t="s">
        <v>689</v>
      </c>
      <c r="D81" s="23" t="s">
        <v>869</v>
      </c>
      <c r="E81" s="8">
        <v>0</v>
      </c>
      <c r="F81" s="9">
        <v>0</v>
      </c>
      <c r="G81" s="8">
        <v>0</v>
      </c>
      <c r="H81" s="10">
        <v>0</v>
      </c>
      <c r="I81" s="314">
        <v>0</v>
      </c>
      <c r="J81" s="406">
        <v>0</v>
      </c>
      <c r="K81" s="410">
        <v>0</v>
      </c>
      <c r="L81" s="436"/>
    </row>
    <row r="82" spans="1:14" ht="18.25" customHeight="1" outlineLevel="2">
      <c r="B82" s="5" t="s">
        <v>300</v>
      </c>
      <c r="C82" s="39" t="s">
        <v>635</v>
      </c>
      <c r="D82" s="7" t="s">
        <v>16</v>
      </c>
      <c r="E82" s="8">
        <v>2</v>
      </c>
      <c r="F82" s="9">
        <v>12000</v>
      </c>
      <c r="G82" s="8">
        <v>3</v>
      </c>
      <c r="H82" s="10">
        <v>24000</v>
      </c>
      <c r="I82" s="311">
        <v>1</v>
      </c>
      <c r="J82" s="406">
        <v>1</v>
      </c>
      <c r="K82" s="410">
        <v>0</v>
      </c>
      <c r="L82" s="427"/>
    </row>
    <row r="83" spans="1:14" s="66" customFormat="1" ht="18.25" customHeight="1" outlineLevel="1">
      <c r="A83" s="572"/>
      <c r="B83" s="47" t="s">
        <v>300</v>
      </c>
      <c r="C83" s="62" t="s">
        <v>689</v>
      </c>
      <c r="D83" s="26">
        <v>2</v>
      </c>
      <c r="E83" s="63">
        <v>2</v>
      </c>
      <c r="F83" s="64">
        <v>12000</v>
      </c>
      <c r="G83" s="63">
        <v>3</v>
      </c>
      <c r="H83" s="65">
        <v>24000</v>
      </c>
      <c r="I83" s="317">
        <v>1</v>
      </c>
      <c r="J83" s="318">
        <v>1</v>
      </c>
      <c r="K83" s="413">
        <v>0</v>
      </c>
      <c r="L83" s="430">
        <v>0</v>
      </c>
      <c r="M83" s="250" t="s">
        <v>170</v>
      </c>
      <c r="N83" s="250"/>
    </row>
    <row r="84" spans="1:14" ht="18.25" customHeight="1" outlineLevel="2">
      <c r="B84" s="5" t="s">
        <v>300</v>
      </c>
      <c r="C84" s="38" t="s">
        <v>277</v>
      </c>
      <c r="D84" s="7" t="s">
        <v>21</v>
      </c>
      <c r="E84" s="8">
        <v>0</v>
      </c>
      <c r="F84" s="9">
        <v>0</v>
      </c>
      <c r="G84" s="8">
        <v>1</v>
      </c>
      <c r="H84" s="10">
        <v>14534</v>
      </c>
      <c r="I84" s="311">
        <v>1</v>
      </c>
      <c r="J84" s="406">
        <v>0</v>
      </c>
      <c r="K84" s="410">
        <v>0</v>
      </c>
      <c r="L84" s="427"/>
    </row>
    <row r="85" spans="1:14" ht="18.25" customHeight="1" outlineLevel="2">
      <c r="B85" s="5" t="s">
        <v>300</v>
      </c>
      <c r="C85" s="38" t="s">
        <v>711</v>
      </c>
      <c r="D85" s="7" t="s">
        <v>16</v>
      </c>
      <c r="E85" s="8">
        <v>0</v>
      </c>
      <c r="F85" s="9">
        <v>0</v>
      </c>
      <c r="G85" s="8">
        <v>2</v>
      </c>
      <c r="H85" s="10">
        <v>44808</v>
      </c>
      <c r="I85" s="311">
        <v>1</v>
      </c>
      <c r="J85" s="406">
        <v>1</v>
      </c>
      <c r="K85" s="410">
        <v>1</v>
      </c>
      <c r="L85" s="427"/>
    </row>
    <row r="86" spans="1:14" s="66" customFormat="1" ht="18.25" customHeight="1" outlineLevel="1">
      <c r="A86" s="572"/>
      <c r="B86" s="47" t="s">
        <v>300</v>
      </c>
      <c r="C86" s="62" t="s">
        <v>350</v>
      </c>
      <c r="D86" s="26">
        <v>2</v>
      </c>
      <c r="E86" s="63">
        <v>0</v>
      </c>
      <c r="F86" s="64">
        <v>0</v>
      </c>
      <c r="G86" s="63">
        <v>3</v>
      </c>
      <c r="H86" s="65">
        <v>59342</v>
      </c>
      <c r="I86" s="317">
        <v>2</v>
      </c>
      <c r="J86" s="318">
        <v>1</v>
      </c>
      <c r="K86" s="413">
        <v>1</v>
      </c>
      <c r="L86" s="430">
        <v>0</v>
      </c>
      <c r="M86" s="250" t="s">
        <v>170</v>
      </c>
      <c r="N86" s="250"/>
    </row>
    <row r="87" spans="1:14" ht="18.25" customHeight="1" outlineLevel="2">
      <c r="B87" s="5" t="s">
        <v>300</v>
      </c>
      <c r="C87" s="11" t="s">
        <v>245</v>
      </c>
      <c r="D87" s="7" t="s">
        <v>39</v>
      </c>
      <c r="E87" s="8">
        <v>0</v>
      </c>
      <c r="F87" s="9">
        <v>0</v>
      </c>
      <c r="G87" s="8">
        <v>2</v>
      </c>
      <c r="H87" s="10">
        <v>25633</v>
      </c>
      <c r="I87" s="311">
        <v>1</v>
      </c>
      <c r="J87" s="406">
        <v>1</v>
      </c>
      <c r="K87" s="410">
        <v>1</v>
      </c>
      <c r="L87" s="427"/>
    </row>
    <row r="88" spans="1:14" ht="18.25" customHeight="1" outlineLevel="2">
      <c r="B88" s="5" t="s">
        <v>300</v>
      </c>
      <c r="C88" s="75" t="s">
        <v>718</v>
      </c>
      <c r="D88" s="45"/>
      <c r="E88" s="8">
        <v>0</v>
      </c>
      <c r="F88" s="9">
        <v>0</v>
      </c>
      <c r="G88" s="8">
        <v>0</v>
      </c>
      <c r="H88" s="10">
        <v>0</v>
      </c>
      <c r="I88" s="319"/>
      <c r="J88" s="408"/>
      <c r="K88" s="415"/>
      <c r="L88" s="436"/>
    </row>
    <row r="89" spans="1:14" s="66" customFormat="1" ht="18.25" customHeight="1" outlineLevel="1">
      <c r="A89" s="572"/>
      <c r="B89" s="47" t="s">
        <v>300</v>
      </c>
      <c r="C89" s="62" t="s">
        <v>250</v>
      </c>
      <c r="D89" s="26">
        <v>1</v>
      </c>
      <c r="E89" s="63">
        <v>0</v>
      </c>
      <c r="F89" s="64">
        <v>0</v>
      </c>
      <c r="G89" s="63">
        <v>2</v>
      </c>
      <c r="H89" s="65">
        <v>25633</v>
      </c>
      <c r="I89" s="317">
        <v>1</v>
      </c>
      <c r="J89" s="318">
        <v>1</v>
      </c>
      <c r="K89" s="413">
        <v>1</v>
      </c>
      <c r="L89" s="430">
        <v>0</v>
      </c>
      <c r="M89" s="250" t="s">
        <v>50</v>
      </c>
      <c r="N89" s="250"/>
    </row>
    <row r="90" spans="1:14" ht="18.25" customHeight="1" outlineLevel="2">
      <c r="B90" s="5" t="s">
        <v>300</v>
      </c>
      <c r="C90" s="11" t="s">
        <v>489</v>
      </c>
      <c r="D90" s="7" t="s">
        <v>21</v>
      </c>
      <c r="E90" s="8">
        <v>0</v>
      </c>
      <c r="F90" s="9">
        <v>0</v>
      </c>
      <c r="G90" s="8">
        <v>4</v>
      </c>
      <c r="H90" s="10">
        <v>57887</v>
      </c>
      <c r="I90" s="311">
        <v>1</v>
      </c>
      <c r="J90" s="406">
        <v>1</v>
      </c>
      <c r="K90" s="410">
        <v>1</v>
      </c>
      <c r="L90" s="427"/>
    </row>
    <row r="91" spans="1:14" ht="18.25" customHeight="1" outlineLevel="2">
      <c r="B91" s="5" t="s">
        <v>300</v>
      </c>
      <c r="C91" s="6" t="s">
        <v>897</v>
      </c>
      <c r="D91" s="7" t="s">
        <v>16</v>
      </c>
      <c r="E91" s="8">
        <v>1</v>
      </c>
      <c r="F91" s="9">
        <v>7248</v>
      </c>
      <c r="G91" s="8">
        <v>3</v>
      </c>
      <c r="H91" s="10">
        <v>28817</v>
      </c>
      <c r="I91" s="311">
        <v>1</v>
      </c>
      <c r="J91" s="406">
        <v>1</v>
      </c>
      <c r="K91" s="410">
        <v>1</v>
      </c>
      <c r="L91" s="427"/>
    </row>
    <row r="92" spans="1:14" ht="18.25" customHeight="1" outlineLevel="2">
      <c r="B92" s="5" t="s">
        <v>300</v>
      </c>
      <c r="C92" s="6" t="s">
        <v>673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1">
        <v>0</v>
      </c>
      <c r="J92" s="406">
        <v>0</v>
      </c>
      <c r="K92" s="410">
        <v>0</v>
      </c>
      <c r="L92" s="427"/>
    </row>
    <row r="93" spans="1:14" s="66" customFormat="1" ht="18.25" customHeight="1" outlineLevel="1">
      <c r="A93" s="572"/>
      <c r="B93" s="47" t="s">
        <v>300</v>
      </c>
      <c r="C93" s="62" t="s">
        <v>489</v>
      </c>
      <c r="D93" s="26">
        <v>3</v>
      </c>
      <c r="E93" s="63">
        <v>1</v>
      </c>
      <c r="F93" s="64">
        <v>7248</v>
      </c>
      <c r="G93" s="63">
        <v>7</v>
      </c>
      <c r="H93" s="65">
        <v>86704</v>
      </c>
      <c r="I93" s="317">
        <v>2</v>
      </c>
      <c r="J93" s="318">
        <v>2</v>
      </c>
      <c r="K93" s="413">
        <v>2</v>
      </c>
      <c r="L93" s="430">
        <v>1</v>
      </c>
      <c r="M93" s="250" t="s">
        <v>170</v>
      </c>
      <c r="N93" s="250"/>
    </row>
    <row r="94" spans="1:14" ht="18.25" customHeight="1" outlineLevel="2">
      <c r="B94" s="5" t="s">
        <v>300</v>
      </c>
      <c r="C94" s="503" t="s">
        <v>892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11">
        <v>0</v>
      </c>
      <c r="J94" s="406">
        <v>0</v>
      </c>
      <c r="K94" s="410">
        <v>0</v>
      </c>
      <c r="L94" s="436"/>
    </row>
    <row r="95" spans="1:14" s="66" customFormat="1" ht="18.25" customHeight="1" outlineLevel="1">
      <c r="A95" s="572"/>
      <c r="B95" s="47" t="s">
        <v>300</v>
      </c>
      <c r="C95" s="62" t="s">
        <v>280</v>
      </c>
      <c r="D95" s="26">
        <v>1</v>
      </c>
      <c r="E95" s="63">
        <v>0</v>
      </c>
      <c r="F95" s="64">
        <v>0</v>
      </c>
      <c r="G95" s="63">
        <v>0</v>
      </c>
      <c r="H95" s="65">
        <v>0</v>
      </c>
      <c r="I95" s="317">
        <v>0</v>
      </c>
      <c r="J95" s="318">
        <v>0</v>
      </c>
      <c r="K95" s="413">
        <v>0</v>
      </c>
      <c r="L95" s="430">
        <v>0</v>
      </c>
      <c r="M95" s="250" t="s">
        <v>168</v>
      </c>
      <c r="N95" s="250"/>
    </row>
    <row r="96" spans="1:14" s="150" customFormat="1" ht="18.25" customHeight="1">
      <c r="A96" s="570" t="s">
        <v>826</v>
      </c>
      <c r="B96" s="949" t="s">
        <v>302</v>
      </c>
      <c r="C96" s="950"/>
      <c r="D96" s="146">
        <v>40</v>
      </c>
      <c r="E96" s="147">
        <v>6</v>
      </c>
      <c r="F96" s="148">
        <v>32287</v>
      </c>
      <c r="G96" s="147">
        <v>50</v>
      </c>
      <c r="H96" s="149">
        <v>1270121</v>
      </c>
      <c r="I96" s="315">
        <v>24</v>
      </c>
      <c r="J96" s="316">
        <v>14</v>
      </c>
      <c r="K96" s="412">
        <v>11</v>
      </c>
      <c r="L96" s="429">
        <v>3</v>
      </c>
      <c r="M96" s="249"/>
      <c r="N96" s="249"/>
    </row>
    <row r="97" spans="1:17" ht="18.25" customHeight="1" outlineLevel="3">
      <c r="A97" s="779"/>
      <c r="B97" s="5" t="s">
        <v>6</v>
      </c>
      <c r="C97" s="540" t="s">
        <v>73</v>
      </c>
      <c r="D97" s="7" t="s">
        <v>237</v>
      </c>
      <c r="E97" s="8">
        <v>0</v>
      </c>
      <c r="F97" s="9">
        <v>0</v>
      </c>
      <c r="G97" s="8">
        <v>0</v>
      </c>
      <c r="H97" s="10">
        <v>0</v>
      </c>
      <c r="I97" s="311">
        <v>0</v>
      </c>
      <c r="J97" s="406">
        <v>0</v>
      </c>
      <c r="K97" s="410">
        <v>0</v>
      </c>
      <c r="L97" s="781" t="s">
        <v>863</v>
      </c>
    </row>
    <row r="98" spans="1:17" s="66" customFormat="1" ht="18.25" customHeight="1" outlineLevel="2">
      <c r="A98" s="780"/>
      <c r="B98" s="47" t="s">
        <v>6</v>
      </c>
      <c r="C98" s="62" t="s">
        <v>74</v>
      </c>
      <c r="D98" s="26">
        <v>1</v>
      </c>
      <c r="E98" s="63">
        <v>0</v>
      </c>
      <c r="F98" s="64">
        <v>0</v>
      </c>
      <c r="G98" s="63">
        <v>0</v>
      </c>
      <c r="H98" s="65">
        <v>0</v>
      </c>
      <c r="I98" s="317">
        <v>0</v>
      </c>
      <c r="J98" s="318">
        <v>0</v>
      </c>
      <c r="K98" s="413">
        <v>0</v>
      </c>
      <c r="L98" s="781" t="s">
        <v>863</v>
      </c>
      <c r="M98" s="250" t="s">
        <v>240</v>
      </c>
      <c r="N98" s="250"/>
    </row>
    <row r="99" spans="1:17" s="1" customFormat="1" ht="18.25" customHeight="1" outlineLevel="3">
      <c r="A99" s="779"/>
      <c r="B99" s="5" t="s">
        <v>184</v>
      </c>
      <c r="C99" s="540" t="s">
        <v>76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11">
        <v>0</v>
      </c>
      <c r="J99" s="406">
        <v>0</v>
      </c>
      <c r="K99" s="410">
        <v>0</v>
      </c>
      <c r="L99" s="781" t="s">
        <v>863</v>
      </c>
      <c r="O99"/>
      <c r="P99"/>
      <c r="Q99"/>
    </row>
    <row r="100" spans="1:17" s="1" customFormat="1" ht="18.25" customHeight="1" outlineLevel="3">
      <c r="A100" s="779"/>
      <c r="B100" s="5" t="s">
        <v>184</v>
      </c>
      <c r="C100" s="542" t="s">
        <v>77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11">
        <v>0</v>
      </c>
      <c r="J100" s="406">
        <v>0</v>
      </c>
      <c r="K100" s="410">
        <v>0</v>
      </c>
      <c r="L100" s="781" t="s">
        <v>863</v>
      </c>
      <c r="O100"/>
      <c r="P100"/>
      <c r="Q100"/>
    </row>
    <row r="101" spans="1:17" s="1" customFormat="1" ht="18.25" customHeight="1" outlineLevel="3">
      <c r="A101" s="779"/>
      <c r="B101" s="5" t="s">
        <v>184</v>
      </c>
      <c r="C101" s="542" t="s">
        <v>535</v>
      </c>
      <c r="D101" s="19" t="s">
        <v>38</v>
      </c>
      <c r="E101" s="8">
        <v>0</v>
      </c>
      <c r="F101" s="9">
        <v>0</v>
      </c>
      <c r="G101" s="8">
        <v>3</v>
      </c>
      <c r="H101" s="10">
        <v>49361</v>
      </c>
      <c r="I101" s="311">
        <v>1</v>
      </c>
      <c r="J101" s="406">
        <v>1</v>
      </c>
      <c r="K101" s="410">
        <v>1</v>
      </c>
      <c r="L101" s="781" t="s">
        <v>863</v>
      </c>
      <c r="O101"/>
      <c r="P101"/>
      <c r="Q101"/>
    </row>
    <row r="102" spans="1:17" s="1" customFormat="1" ht="18.25" customHeight="1" outlineLevel="2">
      <c r="A102" s="779"/>
      <c r="B102" s="12" t="s">
        <v>184</v>
      </c>
      <c r="C102" s="13" t="s">
        <v>78</v>
      </c>
      <c r="D102" s="14">
        <v>3</v>
      </c>
      <c r="E102" s="15">
        <v>0</v>
      </c>
      <c r="F102" s="16">
        <v>0</v>
      </c>
      <c r="G102" s="15">
        <v>3</v>
      </c>
      <c r="H102" s="17">
        <v>49361</v>
      </c>
      <c r="I102" s="312">
        <v>1</v>
      </c>
      <c r="J102" s="313">
        <v>1</v>
      </c>
      <c r="K102" s="411">
        <v>1</v>
      </c>
      <c r="L102" s="781" t="s">
        <v>863</v>
      </c>
      <c r="M102" s="1" t="s">
        <v>50</v>
      </c>
      <c r="O102"/>
      <c r="P102"/>
      <c r="Q102"/>
    </row>
    <row r="103" spans="1:17" s="1" customFormat="1" ht="18.25" customHeight="1" outlineLevel="3">
      <c r="A103" s="779"/>
      <c r="B103" s="5" t="s">
        <v>184</v>
      </c>
      <c r="C103" s="540" t="s">
        <v>491</v>
      </c>
      <c r="D103" s="19" t="s">
        <v>492</v>
      </c>
      <c r="E103" s="8">
        <v>0</v>
      </c>
      <c r="F103" s="9">
        <v>0</v>
      </c>
      <c r="G103" s="8">
        <v>1</v>
      </c>
      <c r="H103" s="10">
        <v>46437</v>
      </c>
      <c r="I103" s="311">
        <v>1</v>
      </c>
      <c r="J103" s="406">
        <v>1</v>
      </c>
      <c r="K103" s="410">
        <v>1</v>
      </c>
      <c r="L103" s="781" t="s">
        <v>863</v>
      </c>
      <c r="O103"/>
      <c r="P103"/>
      <c r="Q103"/>
    </row>
    <row r="104" spans="1:17" s="1" customFormat="1" ht="18.25" customHeight="1" outlineLevel="2">
      <c r="A104" s="779"/>
      <c r="B104" s="12" t="s">
        <v>184</v>
      </c>
      <c r="C104" s="13" t="s">
        <v>491</v>
      </c>
      <c r="D104" s="14">
        <v>1</v>
      </c>
      <c r="E104" s="15">
        <v>0</v>
      </c>
      <c r="F104" s="15">
        <v>0</v>
      </c>
      <c r="G104" s="15">
        <v>1</v>
      </c>
      <c r="H104" s="21">
        <v>46437</v>
      </c>
      <c r="I104" s="312">
        <v>1</v>
      </c>
      <c r="J104" s="313">
        <v>1</v>
      </c>
      <c r="K104" s="411">
        <v>1</v>
      </c>
      <c r="L104" s="781" t="s">
        <v>863</v>
      </c>
      <c r="M104" s="1" t="s">
        <v>351</v>
      </c>
      <c r="O104"/>
      <c r="P104"/>
      <c r="Q104"/>
    </row>
    <row r="105" spans="1:17" s="1" customFormat="1" ht="18.25" customHeight="1" outlineLevel="3">
      <c r="A105" s="779"/>
      <c r="B105" s="5" t="s">
        <v>184</v>
      </c>
      <c r="C105" s="540" t="s">
        <v>79</v>
      </c>
      <c r="D105" s="19" t="s">
        <v>235</v>
      </c>
      <c r="E105" s="8">
        <v>0</v>
      </c>
      <c r="F105" s="9">
        <v>0</v>
      </c>
      <c r="G105" s="8">
        <v>0</v>
      </c>
      <c r="H105" s="10">
        <v>22016</v>
      </c>
      <c r="I105" s="311">
        <v>0</v>
      </c>
      <c r="J105" s="406">
        <v>1</v>
      </c>
      <c r="K105" s="410">
        <v>0</v>
      </c>
      <c r="L105" s="781" t="s">
        <v>863</v>
      </c>
      <c r="O105"/>
      <c r="P105"/>
      <c r="Q105"/>
    </row>
    <row r="106" spans="1:17" s="1" customFormat="1" ht="18.25" customHeight="1" outlineLevel="2">
      <c r="A106" s="779"/>
      <c r="B106" s="12" t="s">
        <v>184</v>
      </c>
      <c r="C106" s="13" t="s">
        <v>79</v>
      </c>
      <c r="D106" s="14">
        <v>1</v>
      </c>
      <c r="E106" s="15">
        <v>0</v>
      </c>
      <c r="F106" s="15">
        <v>0</v>
      </c>
      <c r="G106" s="15">
        <v>0</v>
      </c>
      <c r="H106" s="21">
        <v>22016</v>
      </c>
      <c r="I106" s="312">
        <v>0</v>
      </c>
      <c r="J106" s="313">
        <v>1</v>
      </c>
      <c r="K106" s="411">
        <v>0</v>
      </c>
      <c r="L106" s="781" t="s">
        <v>863</v>
      </c>
      <c r="M106" s="1" t="s">
        <v>662</v>
      </c>
      <c r="O106"/>
      <c r="P106"/>
      <c r="Q106"/>
    </row>
    <row r="107" spans="1:17" s="1" customFormat="1" ht="18.25" customHeight="1" outlineLevel="3">
      <c r="A107" s="779"/>
      <c r="B107" s="5" t="s">
        <v>184</v>
      </c>
      <c r="C107" s="540" t="s">
        <v>90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11">
        <v>0</v>
      </c>
      <c r="J107" s="406">
        <v>0</v>
      </c>
      <c r="K107" s="410">
        <v>0</v>
      </c>
      <c r="L107" s="781" t="s">
        <v>863</v>
      </c>
      <c r="O107"/>
      <c r="P107"/>
      <c r="Q107"/>
    </row>
    <row r="108" spans="1:17" s="1" customFormat="1" ht="18.25" customHeight="1" outlineLevel="3">
      <c r="A108" s="779"/>
      <c r="B108" s="5" t="s">
        <v>184</v>
      </c>
      <c r="C108" s="540" t="s">
        <v>207</v>
      </c>
      <c r="D108" s="23" t="s">
        <v>16</v>
      </c>
      <c r="E108" s="8">
        <v>1</v>
      </c>
      <c r="F108" s="9">
        <v>2063</v>
      </c>
      <c r="G108" s="8">
        <v>7</v>
      </c>
      <c r="H108" s="10">
        <v>97751</v>
      </c>
      <c r="I108" s="311">
        <v>1</v>
      </c>
      <c r="J108" s="406">
        <v>1</v>
      </c>
      <c r="K108" s="410">
        <v>1</v>
      </c>
      <c r="L108" s="781" t="s">
        <v>863</v>
      </c>
      <c r="O108"/>
      <c r="P108"/>
      <c r="Q108"/>
    </row>
    <row r="109" spans="1:17" s="1" customFormat="1" ht="18.25" customHeight="1" outlineLevel="2">
      <c r="A109" s="779"/>
      <c r="B109" s="47" t="s">
        <v>184</v>
      </c>
      <c r="C109" s="13" t="s">
        <v>90</v>
      </c>
      <c r="D109" s="14">
        <v>2</v>
      </c>
      <c r="E109" s="15">
        <v>1</v>
      </c>
      <c r="F109" s="16">
        <v>2063</v>
      </c>
      <c r="G109" s="15">
        <v>7</v>
      </c>
      <c r="H109" s="17">
        <v>97751</v>
      </c>
      <c r="I109" s="312">
        <v>1</v>
      </c>
      <c r="J109" s="313">
        <v>1</v>
      </c>
      <c r="K109" s="411">
        <v>1</v>
      </c>
      <c r="L109" s="781" t="s">
        <v>863</v>
      </c>
      <c r="M109" s="1" t="s">
        <v>170</v>
      </c>
      <c r="O109"/>
      <c r="P109"/>
      <c r="Q109"/>
    </row>
    <row r="110" spans="1:17" s="1" customFormat="1" ht="18.25" customHeight="1" outlineLevel="3">
      <c r="A110" s="779"/>
      <c r="B110" s="5" t="s">
        <v>184</v>
      </c>
      <c r="C110" s="540" t="s">
        <v>91</v>
      </c>
      <c r="D110" s="7" t="s">
        <v>21</v>
      </c>
      <c r="E110" s="8">
        <v>0</v>
      </c>
      <c r="F110" s="9">
        <v>0</v>
      </c>
      <c r="G110" s="8">
        <v>2</v>
      </c>
      <c r="H110" s="10">
        <v>34456</v>
      </c>
      <c r="I110" s="311">
        <v>1</v>
      </c>
      <c r="J110" s="406">
        <v>1</v>
      </c>
      <c r="K110" s="410">
        <v>1</v>
      </c>
      <c r="L110" s="781" t="s">
        <v>863</v>
      </c>
      <c r="O110"/>
      <c r="P110"/>
      <c r="Q110"/>
    </row>
    <row r="111" spans="1:17" s="1" customFormat="1" ht="18.25" customHeight="1" outlineLevel="3">
      <c r="A111" s="779"/>
      <c r="B111" s="5" t="s">
        <v>184</v>
      </c>
      <c r="C111" s="540" t="s">
        <v>748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11">
        <v>0</v>
      </c>
      <c r="J111" s="406">
        <v>0</v>
      </c>
      <c r="K111" s="410">
        <v>0</v>
      </c>
      <c r="L111" s="781" t="s">
        <v>863</v>
      </c>
      <c r="O111"/>
      <c r="P111"/>
      <c r="Q111"/>
    </row>
    <row r="112" spans="1:17" s="1" customFormat="1" ht="18.25" customHeight="1" outlineLevel="3">
      <c r="A112" s="779"/>
      <c r="B112" s="5" t="s">
        <v>184</v>
      </c>
      <c r="C112" s="540" t="s">
        <v>271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1">
        <v>0</v>
      </c>
      <c r="J112" s="406">
        <v>0</v>
      </c>
      <c r="K112" s="410">
        <v>0</v>
      </c>
      <c r="L112" s="781" t="s">
        <v>863</v>
      </c>
      <c r="O112"/>
      <c r="P112"/>
      <c r="Q112"/>
    </row>
    <row r="113" spans="1:17" s="1" customFormat="1" ht="18.25" customHeight="1" outlineLevel="2">
      <c r="A113" s="779"/>
      <c r="B113" s="47" t="s">
        <v>184</v>
      </c>
      <c r="C113" s="13" t="s">
        <v>91</v>
      </c>
      <c r="D113" s="14">
        <v>3</v>
      </c>
      <c r="E113" s="15">
        <v>0</v>
      </c>
      <c r="F113" s="16">
        <v>0</v>
      </c>
      <c r="G113" s="15">
        <v>2</v>
      </c>
      <c r="H113" s="17">
        <v>34456</v>
      </c>
      <c r="I113" s="312">
        <v>1</v>
      </c>
      <c r="J113" s="313">
        <v>1</v>
      </c>
      <c r="K113" s="411">
        <v>1</v>
      </c>
      <c r="L113" s="781" t="s">
        <v>863</v>
      </c>
      <c r="M113" s="1" t="s">
        <v>170</v>
      </c>
      <c r="O113"/>
      <c r="P113"/>
      <c r="Q113"/>
    </row>
    <row r="114" spans="1:17" s="1" customFormat="1" ht="18.25" customHeight="1" outlineLevel="3">
      <c r="A114" s="779"/>
      <c r="B114" s="5" t="s">
        <v>184</v>
      </c>
      <c r="C114" s="540" t="s">
        <v>319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11">
        <v>0</v>
      </c>
      <c r="J114" s="406">
        <v>0</v>
      </c>
      <c r="K114" s="410">
        <v>0</v>
      </c>
      <c r="L114" s="781" t="s">
        <v>863</v>
      </c>
      <c r="O114"/>
      <c r="P114"/>
      <c r="Q114"/>
    </row>
    <row r="115" spans="1:17" s="1" customFormat="1" ht="18.25" customHeight="1" outlineLevel="3">
      <c r="A115" s="779"/>
      <c r="B115" s="5" t="s">
        <v>184</v>
      </c>
      <c r="C115" s="540" t="s">
        <v>263</v>
      </c>
      <c r="D115" s="23" t="s">
        <v>16</v>
      </c>
      <c r="E115" s="8">
        <v>0</v>
      </c>
      <c r="F115" s="9">
        <v>0</v>
      </c>
      <c r="G115" s="8">
        <v>6</v>
      </c>
      <c r="H115" s="10">
        <v>97018</v>
      </c>
      <c r="I115" s="311">
        <v>1</v>
      </c>
      <c r="J115" s="406">
        <v>1</v>
      </c>
      <c r="K115" s="410">
        <v>1</v>
      </c>
      <c r="L115" s="781" t="s">
        <v>863</v>
      </c>
      <c r="O115"/>
      <c r="P115"/>
      <c r="Q115"/>
    </row>
    <row r="116" spans="1:17" s="1" customFormat="1" ht="18.25" customHeight="1" outlineLevel="2">
      <c r="A116" s="779"/>
      <c r="B116" s="47" t="s">
        <v>184</v>
      </c>
      <c r="C116" s="13" t="s">
        <v>319</v>
      </c>
      <c r="D116" s="14">
        <v>2</v>
      </c>
      <c r="E116" s="15">
        <v>0</v>
      </c>
      <c r="F116" s="16">
        <v>0</v>
      </c>
      <c r="G116" s="15">
        <v>6</v>
      </c>
      <c r="H116" s="17">
        <v>97018</v>
      </c>
      <c r="I116" s="312">
        <v>1</v>
      </c>
      <c r="J116" s="313">
        <v>1</v>
      </c>
      <c r="K116" s="411">
        <v>1</v>
      </c>
      <c r="L116" s="781" t="s">
        <v>863</v>
      </c>
      <c r="M116" s="1" t="s">
        <v>50</v>
      </c>
      <c r="O116"/>
      <c r="P116"/>
      <c r="Q116"/>
    </row>
    <row r="117" spans="1:17" ht="18.25" customHeight="1" outlineLevel="3">
      <c r="A117" s="779"/>
      <c r="B117" s="5" t="s">
        <v>184</v>
      </c>
      <c r="C117" s="540" t="s">
        <v>18</v>
      </c>
      <c r="D117" s="7" t="s">
        <v>19</v>
      </c>
      <c r="E117" s="8">
        <v>0</v>
      </c>
      <c r="F117" s="9">
        <v>0</v>
      </c>
      <c r="G117" s="8">
        <v>8</v>
      </c>
      <c r="H117" s="10">
        <v>92875</v>
      </c>
      <c r="I117" s="311">
        <v>1</v>
      </c>
      <c r="J117" s="406">
        <v>1</v>
      </c>
      <c r="K117" s="410">
        <v>1</v>
      </c>
      <c r="L117" s="781" t="s">
        <v>863</v>
      </c>
    </row>
    <row r="118" spans="1:17" ht="18.25" customHeight="1" outlineLevel="3">
      <c r="A118" s="779"/>
      <c r="B118" s="5" t="s">
        <v>184</v>
      </c>
      <c r="C118" s="540" t="s">
        <v>747</v>
      </c>
      <c r="D118" s="7" t="s">
        <v>16</v>
      </c>
      <c r="E118" s="8">
        <v>0</v>
      </c>
      <c r="F118" s="9">
        <v>0</v>
      </c>
      <c r="G118" s="8">
        <v>1</v>
      </c>
      <c r="H118" s="10">
        <v>44788</v>
      </c>
      <c r="I118" s="311">
        <v>1</v>
      </c>
      <c r="J118" s="406">
        <v>1</v>
      </c>
      <c r="K118" s="410">
        <v>1</v>
      </c>
      <c r="L118" s="781" t="s">
        <v>863</v>
      </c>
    </row>
    <row r="119" spans="1:17" ht="18.25" customHeight="1" outlineLevel="3">
      <c r="A119" s="779"/>
      <c r="B119" s="5" t="s">
        <v>184</v>
      </c>
      <c r="C119" s="540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11">
        <v>0</v>
      </c>
      <c r="J119" s="406">
        <v>0</v>
      </c>
      <c r="K119" s="410">
        <v>0</v>
      </c>
      <c r="L119" s="781" t="s">
        <v>863</v>
      </c>
    </row>
    <row r="120" spans="1:17" s="66" customFormat="1" ht="18.25" customHeight="1" outlineLevel="2">
      <c r="A120" s="780"/>
      <c r="B120" s="47" t="s">
        <v>6</v>
      </c>
      <c r="C120" s="62" t="s">
        <v>18</v>
      </c>
      <c r="D120" s="26">
        <v>3</v>
      </c>
      <c r="E120" s="63">
        <v>0</v>
      </c>
      <c r="F120" s="64">
        <v>0</v>
      </c>
      <c r="G120" s="63">
        <v>9</v>
      </c>
      <c r="H120" s="65">
        <v>137663</v>
      </c>
      <c r="I120" s="317">
        <v>2</v>
      </c>
      <c r="J120" s="318">
        <v>2</v>
      </c>
      <c r="K120" s="413">
        <v>2</v>
      </c>
      <c r="L120" s="781" t="s">
        <v>863</v>
      </c>
      <c r="M120" s="250" t="s">
        <v>168</v>
      </c>
      <c r="N120" s="250"/>
    </row>
    <row r="121" spans="1:17" ht="18.25" customHeight="1" outlineLevel="3">
      <c r="A121" s="779"/>
      <c r="B121" s="5" t="s">
        <v>184</v>
      </c>
      <c r="C121" s="540" t="s">
        <v>251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11">
        <v>0</v>
      </c>
      <c r="J121" s="406">
        <v>0</v>
      </c>
      <c r="K121" s="410">
        <v>0</v>
      </c>
      <c r="L121" s="781" t="s">
        <v>863</v>
      </c>
    </row>
    <row r="122" spans="1:17" ht="18.25" customHeight="1" outlineLevel="3">
      <c r="A122" s="779"/>
      <c r="B122" s="5" t="s">
        <v>184</v>
      </c>
      <c r="C122" s="540" t="s">
        <v>807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11">
        <v>0</v>
      </c>
      <c r="J122" s="406">
        <v>0</v>
      </c>
      <c r="K122" s="410">
        <v>0</v>
      </c>
      <c r="L122" s="781" t="s">
        <v>863</v>
      </c>
    </row>
    <row r="123" spans="1:17" ht="18.25" customHeight="1" outlineLevel="3">
      <c r="A123" s="779"/>
      <c r="B123" s="5" t="s">
        <v>184</v>
      </c>
      <c r="C123" s="540" t="s">
        <v>262</v>
      </c>
      <c r="D123" s="23" t="s">
        <v>16</v>
      </c>
      <c r="E123" s="8">
        <v>0</v>
      </c>
      <c r="F123" s="9">
        <v>0</v>
      </c>
      <c r="G123" s="8">
        <v>7</v>
      </c>
      <c r="H123" s="10">
        <v>584101</v>
      </c>
      <c r="I123" s="311">
        <v>1</v>
      </c>
      <c r="J123" s="406">
        <v>1</v>
      </c>
      <c r="K123" s="410">
        <v>1</v>
      </c>
      <c r="L123" s="781" t="s">
        <v>863</v>
      </c>
    </row>
    <row r="124" spans="1:17" ht="18.25" customHeight="1" outlineLevel="3">
      <c r="A124" s="779"/>
      <c r="B124" s="5" t="s">
        <v>184</v>
      </c>
      <c r="C124" s="540" t="s">
        <v>378</v>
      </c>
      <c r="D124" s="7" t="s">
        <v>16</v>
      </c>
      <c r="E124" s="8">
        <v>0</v>
      </c>
      <c r="F124" s="9">
        <v>0</v>
      </c>
      <c r="G124" s="8">
        <v>2</v>
      </c>
      <c r="H124" s="10">
        <v>20484</v>
      </c>
      <c r="I124" s="311">
        <v>1</v>
      </c>
      <c r="J124" s="406">
        <v>1</v>
      </c>
      <c r="K124" s="410">
        <v>0</v>
      </c>
      <c r="L124" s="781" t="s">
        <v>863</v>
      </c>
    </row>
    <row r="125" spans="1:17" ht="18.25" customHeight="1" outlineLevel="2">
      <c r="A125" s="779"/>
      <c r="B125" s="12" t="s">
        <v>184</v>
      </c>
      <c r="C125" s="13" t="s">
        <v>251</v>
      </c>
      <c r="D125" s="14">
        <v>4</v>
      </c>
      <c r="E125" s="15">
        <v>0</v>
      </c>
      <c r="F125" s="16">
        <v>0</v>
      </c>
      <c r="G125" s="15">
        <v>9</v>
      </c>
      <c r="H125" s="17">
        <v>604585</v>
      </c>
      <c r="I125" s="312">
        <v>2</v>
      </c>
      <c r="J125" s="313">
        <v>2</v>
      </c>
      <c r="K125" s="411">
        <v>1</v>
      </c>
      <c r="L125" s="781" t="s">
        <v>863</v>
      </c>
      <c r="M125" s="1" t="s">
        <v>50</v>
      </c>
    </row>
    <row r="126" spans="1:17" ht="18.25" customHeight="1" outlineLevel="3">
      <c r="A126" s="779"/>
      <c r="B126" s="5" t="s">
        <v>184</v>
      </c>
      <c r="C126" s="540" t="s">
        <v>691</v>
      </c>
      <c r="D126" s="23" t="s">
        <v>235</v>
      </c>
      <c r="E126" s="8">
        <v>0</v>
      </c>
      <c r="F126" s="9">
        <v>0</v>
      </c>
      <c r="G126" s="8">
        <v>7</v>
      </c>
      <c r="H126" s="10">
        <v>47857</v>
      </c>
      <c r="I126" s="311">
        <v>1</v>
      </c>
      <c r="J126" s="406">
        <v>1</v>
      </c>
      <c r="K126" s="410">
        <v>1</v>
      </c>
      <c r="L126" s="781" t="s">
        <v>863</v>
      </c>
    </row>
    <row r="127" spans="1:17" ht="18.25" customHeight="1" outlineLevel="2">
      <c r="A127" s="779"/>
      <c r="B127" s="12" t="s">
        <v>184</v>
      </c>
      <c r="C127" s="13" t="s">
        <v>691</v>
      </c>
      <c r="D127" s="14">
        <v>1</v>
      </c>
      <c r="E127" s="15">
        <v>0</v>
      </c>
      <c r="F127" s="16">
        <v>0</v>
      </c>
      <c r="G127" s="15">
        <v>7</v>
      </c>
      <c r="H127" s="17">
        <v>47857</v>
      </c>
      <c r="I127" s="312">
        <v>1</v>
      </c>
      <c r="J127" s="313">
        <v>1</v>
      </c>
      <c r="K127" s="411">
        <v>1</v>
      </c>
      <c r="L127" s="781" t="s">
        <v>863</v>
      </c>
      <c r="M127" s="1" t="s">
        <v>662</v>
      </c>
    </row>
    <row r="128" spans="1:17" ht="18.25" customHeight="1" outlineLevel="3">
      <c r="A128" s="779"/>
      <c r="B128" s="5" t="s">
        <v>184</v>
      </c>
      <c r="C128" s="540" t="s">
        <v>723</v>
      </c>
      <c r="D128" s="23" t="s">
        <v>188</v>
      </c>
      <c r="E128" s="8">
        <v>0</v>
      </c>
      <c r="F128" s="9">
        <v>0</v>
      </c>
      <c r="G128" s="8">
        <v>3</v>
      </c>
      <c r="H128" s="10">
        <v>63730</v>
      </c>
      <c r="I128" s="311">
        <v>1</v>
      </c>
      <c r="J128" s="406">
        <v>1</v>
      </c>
      <c r="K128" s="410">
        <v>1</v>
      </c>
      <c r="L128" s="781" t="s">
        <v>863</v>
      </c>
    </row>
    <row r="129" spans="1:17" ht="18.25" customHeight="1" outlineLevel="3">
      <c r="A129" s="779"/>
      <c r="B129" s="5" t="s">
        <v>184</v>
      </c>
      <c r="C129" s="540" t="s">
        <v>850</v>
      </c>
      <c r="D129" s="23" t="s">
        <v>16</v>
      </c>
      <c r="E129" s="8">
        <v>0</v>
      </c>
      <c r="F129" s="9">
        <v>0</v>
      </c>
      <c r="G129" s="8">
        <v>3</v>
      </c>
      <c r="H129" s="10">
        <v>22621</v>
      </c>
      <c r="I129" s="311">
        <v>1</v>
      </c>
      <c r="J129" s="406">
        <v>1</v>
      </c>
      <c r="K129" s="410">
        <v>1</v>
      </c>
      <c r="L129" s="781" t="s">
        <v>863</v>
      </c>
    </row>
    <row r="130" spans="1:17" s="1" customFormat="1" ht="18.25" customHeight="1" outlineLevel="2">
      <c r="A130" s="779"/>
      <c r="B130" s="12" t="s">
        <v>184</v>
      </c>
      <c r="C130" s="13" t="s">
        <v>723</v>
      </c>
      <c r="D130" s="14">
        <v>2</v>
      </c>
      <c r="E130" s="15">
        <v>0</v>
      </c>
      <c r="F130" s="16">
        <v>0</v>
      </c>
      <c r="G130" s="15">
        <v>6</v>
      </c>
      <c r="H130" s="17">
        <v>86351</v>
      </c>
      <c r="I130" s="312">
        <v>2</v>
      </c>
      <c r="J130" s="313">
        <v>2</v>
      </c>
      <c r="K130" s="411">
        <v>2</v>
      </c>
      <c r="L130" s="781" t="s">
        <v>863</v>
      </c>
      <c r="M130" s="1" t="s">
        <v>168</v>
      </c>
      <c r="O130"/>
      <c r="P130"/>
      <c r="Q130"/>
    </row>
    <row r="131" spans="1:17" ht="18.25" customHeight="1" outlineLevel="3">
      <c r="A131" s="779"/>
      <c r="B131" s="5" t="s">
        <v>6</v>
      </c>
      <c r="C131" s="540" t="s">
        <v>203</v>
      </c>
      <c r="D131" s="7" t="s">
        <v>365</v>
      </c>
      <c r="E131" s="8">
        <v>0</v>
      </c>
      <c r="F131" s="9">
        <v>0</v>
      </c>
      <c r="G131" s="8">
        <v>8</v>
      </c>
      <c r="H131" s="10">
        <v>359221</v>
      </c>
      <c r="I131" s="311">
        <v>1</v>
      </c>
      <c r="J131" s="406">
        <v>1</v>
      </c>
      <c r="K131" s="410">
        <v>1</v>
      </c>
      <c r="L131" s="781" t="s">
        <v>863</v>
      </c>
    </row>
    <row r="132" spans="1:17" ht="18.25" customHeight="1" outlineLevel="2">
      <c r="A132" s="779"/>
      <c r="B132" s="12" t="s">
        <v>6</v>
      </c>
      <c r="C132" s="13" t="s">
        <v>203</v>
      </c>
      <c r="D132" s="14">
        <v>1</v>
      </c>
      <c r="E132" s="15">
        <v>0</v>
      </c>
      <c r="F132" s="16">
        <v>0</v>
      </c>
      <c r="G132" s="15">
        <v>8</v>
      </c>
      <c r="H132" s="17">
        <v>359221</v>
      </c>
      <c r="I132" s="312">
        <v>1</v>
      </c>
      <c r="J132" s="313">
        <v>1</v>
      </c>
      <c r="K132" s="411">
        <v>1</v>
      </c>
      <c r="L132" s="781" t="s">
        <v>863</v>
      </c>
      <c r="M132" s="1" t="s">
        <v>663</v>
      </c>
    </row>
    <row r="133" spans="1:17" s="1" customFormat="1" ht="18.25" customHeight="1" outlineLevel="3">
      <c r="A133" s="779"/>
      <c r="B133" s="5" t="s">
        <v>6</v>
      </c>
      <c r="C133" s="540" t="s">
        <v>463</v>
      </c>
      <c r="D133" s="7" t="s">
        <v>39</v>
      </c>
      <c r="E133" s="8">
        <v>0</v>
      </c>
      <c r="F133" s="9">
        <v>0</v>
      </c>
      <c r="G133" s="8">
        <v>1</v>
      </c>
      <c r="H133" s="10">
        <v>95909</v>
      </c>
      <c r="I133" s="311">
        <v>1</v>
      </c>
      <c r="J133" s="406">
        <v>1</v>
      </c>
      <c r="K133" s="410">
        <v>1</v>
      </c>
      <c r="L133" s="781" t="s">
        <v>863</v>
      </c>
      <c r="O133"/>
      <c r="P133"/>
      <c r="Q133"/>
    </row>
    <row r="134" spans="1:17" s="1" customFormat="1" ht="18.25" customHeight="1" outlineLevel="3">
      <c r="A134" s="779"/>
      <c r="B134" s="5" t="s">
        <v>6</v>
      </c>
      <c r="C134" s="540" t="s">
        <v>360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11">
        <v>0</v>
      </c>
      <c r="J134" s="406">
        <v>0</v>
      </c>
      <c r="K134" s="410">
        <v>0</v>
      </c>
      <c r="L134" s="781" t="s">
        <v>863</v>
      </c>
      <c r="O134"/>
      <c r="P134"/>
      <c r="Q134"/>
    </row>
    <row r="135" spans="1:17" s="1" customFormat="1" ht="18.25" customHeight="1" outlineLevel="2">
      <c r="A135" s="779"/>
      <c r="B135" s="12" t="s">
        <v>6</v>
      </c>
      <c r="C135" s="13" t="s">
        <v>462</v>
      </c>
      <c r="D135" s="14">
        <v>2</v>
      </c>
      <c r="E135" s="15">
        <v>0</v>
      </c>
      <c r="F135" s="16">
        <v>0</v>
      </c>
      <c r="G135" s="15">
        <v>1</v>
      </c>
      <c r="H135" s="17">
        <v>95909</v>
      </c>
      <c r="I135" s="312">
        <v>1</v>
      </c>
      <c r="J135" s="313">
        <v>1</v>
      </c>
      <c r="K135" s="411">
        <v>1</v>
      </c>
      <c r="L135" s="781" t="s">
        <v>863</v>
      </c>
      <c r="M135" s="1" t="s">
        <v>50</v>
      </c>
      <c r="O135"/>
      <c r="P135"/>
      <c r="Q135"/>
    </row>
    <row r="136" spans="1:17" s="1" customFormat="1" ht="18.25" customHeight="1" outlineLevel="3">
      <c r="A136" s="779"/>
      <c r="B136" s="5" t="s">
        <v>6</v>
      </c>
      <c r="C136" s="540" t="s">
        <v>116</v>
      </c>
      <c r="D136" s="7" t="s">
        <v>235</v>
      </c>
      <c r="E136" s="8">
        <v>0</v>
      </c>
      <c r="F136" s="9">
        <v>0</v>
      </c>
      <c r="G136" s="8">
        <v>1</v>
      </c>
      <c r="H136" s="10">
        <v>26061</v>
      </c>
      <c r="I136" s="311">
        <v>1</v>
      </c>
      <c r="J136" s="406">
        <v>1</v>
      </c>
      <c r="K136" s="410">
        <v>1</v>
      </c>
      <c r="L136" s="781" t="s">
        <v>863</v>
      </c>
      <c r="O136"/>
      <c r="P136"/>
      <c r="Q136"/>
    </row>
    <row r="137" spans="1:17" s="1" customFormat="1" ht="18.25" customHeight="1" outlineLevel="2">
      <c r="A137" s="779"/>
      <c r="B137" s="12" t="s">
        <v>6</v>
      </c>
      <c r="C137" s="13" t="s">
        <v>116</v>
      </c>
      <c r="D137" s="14">
        <v>1</v>
      </c>
      <c r="E137" s="15">
        <v>0</v>
      </c>
      <c r="F137" s="16">
        <v>0</v>
      </c>
      <c r="G137" s="15">
        <v>1</v>
      </c>
      <c r="H137" s="17">
        <v>26061</v>
      </c>
      <c r="I137" s="312">
        <v>1</v>
      </c>
      <c r="J137" s="313">
        <v>1</v>
      </c>
      <c r="K137" s="411">
        <v>1</v>
      </c>
      <c r="L137" s="781" t="s">
        <v>863</v>
      </c>
      <c r="M137" s="1" t="s">
        <v>662</v>
      </c>
      <c r="O137"/>
      <c r="P137"/>
      <c r="Q137"/>
    </row>
    <row r="138" spans="1:17" s="1" customFormat="1" ht="18.25" customHeight="1" outlineLevel="3">
      <c r="A138" s="779"/>
      <c r="B138" s="5" t="s">
        <v>6</v>
      </c>
      <c r="C138" s="540" t="s">
        <v>342</v>
      </c>
      <c r="D138" s="7" t="s">
        <v>39</v>
      </c>
      <c r="E138" s="8">
        <v>0</v>
      </c>
      <c r="F138" s="9">
        <v>0</v>
      </c>
      <c r="G138" s="8">
        <v>1</v>
      </c>
      <c r="H138" s="10">
        <v>11742</v>
      </c>
      <c r="I138" s="311">
        <v>1</v>
      </c>
      <c r="J138" s="406">
        <v>0</v>
      </c>
      <c r="K138" s="410">
        <v>0</v>
      </c>
      <c r="L138" s="781" t="s">
        <v>863</v>
      </c>
      <c r="O138"/>
      <c r="P138"/>
      <c r="Q138"/>
    </row>
    <row r="139" spans="1:17" s="1" customFormat="1" ht="18.25" customHeight="1" outlineLevel="3">
      <c r="A139" s="779"/>
      <c r="B139" s="5" t="s">
        <v>6</v>
      </c>
      <c r="C139" s="540" t="s">
        <v>367</v>
      </c>
      <c r="D139" s="23" t="s">
        <v>16</v>
      </c>
      <c r="E139" s="8">
        <v>0</v>
      </c>
      <c r="F139" s="9">
        <v>0</v>
      </c>
      <c r="G139" s="8">
        <v>2</v>
      </c>
      <c r="H139" s="10">
        <v>16372</v>
      </c>
      <c r="I139" s="311">
        <v>1</v>
      </c>
      <c r="J139" s="406">
        <v>1</v>
      </c>
      <c r="K139" s="410">
        <v>0</v>
      </c>
      <c r="L139" s="781" t="s">
        <v>863</v>
      </c>
      <c r="O139"/>
      <c r="P139"/>
      <c r="Q139"/>
    </row>
    <row r="140" spans="1:17" s="1" customFormat="1" ht="18.25" customHeight="1" outlineLevel="3">
      <c r="A140" s="779"/>
      <c r="B140" s="5" t="s">
        <v>6</v>
      </c>
      <c r="C140" s="540" t="s">
        <v>121</v>
      </c>
      <c r="D140" s="23" t="s">
        <v>16</v>
      </c>
      <c r="E140" s="8">
        <v>0</v>
      </c>
      <c r="F140" s="9">
        <v>0</v>
      </c>
      <c r="G140" s="8">
        <v>1</v>
      </c>
      <c r="H140" s="10">
        <v>11799</v>
      </c>
      <c r="I140" s="311">
        <v>1</v>
      </c>
      <c r="J140" s="406">
        <v>1</v>
      </c>
      <c r="K140" s="410">
        <v>0</v>
      </c>
      <c r="L140" s="781" t="s">
        <v>863</v>
      </c>
      <c r="O140"/>
      <c r="P140"/>
      <c r="Q140"/>
    </row>
    <row r="141" spans="1:17" s="1" customFormat="1" ht="18.25" customHeight="1" outlineLevel="2">
      <c r="A141" s="779"/>
      <c r="B141" s="12" t="s">
        <v>6</v>
      </c>
      <c r="C141" s="13" t="s">
        <v>343</v>
      </c>
      <c r="D141" s="14">
        <v>3</v>
      </c>
      <c r="E141" s="15">
        <v>0</v>
      </c>
      <c r="F141" s="16">
        <v>0</v>
      </c>
      <c r="G141" s="15">
        <v>4</v>
      </c>
      <c r="H141" s="17">
        <v>39913</v>
      </c>
      <c r="I141" s="312">
        <v>3</v>
      </c>
      <c r="J141" s="313">
        <v>2</v>
      </c>
      <c r="K141" s="411">
        <v>0</v>
      </c>
      <c r="L141" s="781" t="s">
        <v>863</v>
      </c>
      <c r="M141" s="1" t="s">
        <v>50</v>
      </c>
      <c r="O141"/>
      <c r="P141"/>
      <c r="Q141"/>
    </row>
    <row r="142" spans="1:17" s="1" customFormat="1" ht="18.25" customHeight="1" outlineLevel="2">
      <c r="A142" s="571" t="s">
        <v>863</v>
      </c>
      <c r="B142" s="546" t="s">
        <v>816</v>
      </c>
      <c r="C142" s="547" t="s">
        <v>74</v>
      </c>
      <c r="D142" s="548">
        <v>30</v>
      </c>
      <c r="E142" s="549">
        <v>1</v>
      </c>
      <c r="F142" s="550">
        <v>2063</v>
      </c>
      <c r="G142" s="549">
        <v>64</v>
      </c>
      <c r="H142" s="551">
        <v>1744599</v>
      </c>
      <c r="I142" s="552">
        <v>18</v>
      </c>
      <c r="J142" s="553">
        <v>18</v>
      </c>
      <c r="K142" s="554">
        <v>14</v>
      </c>
      <c r="L142" s="781" t="s">
        <v>863</v>
      </c>
      <c r="O142"/>
      <c r="P142"/>
      <c r="Q142"/>
    </row>
    <row r="143" spans="1:17" ht="18.25" customHeight="1" outlineLevel="3">
      <c r="A143" s="779"/>
      <c r="B143" s="5" t="s">
        <v>6</v>
      </c>
      <c r="C143" s="543" t="s">
        <v>115</v>
      </c>
      <c r="D143" s="19" t="s">
        <v>39</v>
      </c>
      <c r="E143" s="8">
        <v>0</v>
      </c>
      <c r="F143" s="9">
        <v>0</v>
      </c>
      <c r="G143" s="8">
        <v>2</v>
      </c>
      <c r="H143" s="10">
        <v>6546</v>
      </c>
      <c r="I143" s="311">
        <v>1</v>
      </c>
      <c r="J143" s="406">
        <v>0</v>
      </c>
      <c r="K143" s="410">
        <v>0</v>
      </c>
      <c r="L143" s="782" t="s">
        <v>864</v>
      </c>
    </row>
    <row r="144" spans="1:17" ht="18.25" customHeight="1" outlineLevel="3">
      <c r="A144" s="779"/>
      <c r="B144" s="5" t="s">
        <v>6</v>
      </c>
      <c r="C144" s="544" t="s">
        <v>867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11">
        <v>0</v>
      </c>
      <c r="J144" s="406">
        <v>0</v>
      </c>
      <c r="K144" s="410">
        <v>0</v>
      </c>
      <c r="L144" s="782" t="s">
        <v>837</v>
      </c>
    </row>
    <row r="145" spans="1:17" ht="18.25" customHeight="1" outlineLevel="3">
      <c r="A145" s="779"/>
      <c r="B145" s="5" t="s">
        <v>6</v>
      </c>
      <c r="C145" s="544" t="s">
        <v>786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1">
        <v>0</v>
      </c>
      <c r="J145" s="406">
        <v>0</v>
      </c>
      <c r="K145" s="410">
        <v>0</v>
      </c>
      <c r="L145" s="782" t="s">
        <v>864</v>
      </c>
    </row>
    <row r="146" spans="1:17" ht="18.25" customHeight="1" outlineLevel="3">
      <c r="A146" s="779"/>
      <c r="B146" s="5" t="s">
        <v>6</v>
      </c>
      <c r="C146" s="544" t="s">
        <v>757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1">
        <v>0</v>
      </c>
      <c r="J146" s="406">
        <v>0</v>
      </c>
      <c r="K146" s="410">
        <v>0</v>
      </c>
      <c r="L146" s="782" t="s">
        <v>864</v>
      </c>
    </row>
    <row r="147" spans="1:17" ht="18.25" customHeight="1" outlineLevel="3">
      <c r="A147" s="779"/>
      <c r="B147" s="5" t="s">
        <v>6</v>
      </c>
      <c r="C147" s="544" t="s">
        <v>276</v>
      </c>
      <c r="D147" s="7" t="s">
        <v>16</v>
      </c>
      <c r="E147" s="8">
        <v>0</v>
      </c>
      <c r="F147" s="9">
        <v>0</v>
      </c>
      <c r="G147" s="8">
        <v>1</v>
      </c>
      <c r="H147" s="10">
        <v>11753</v>
      </c>
      <c r="I147" s="311">
        <v>1</v>
      </c>
      <c r="J147" s="406">
        <v>1</v>
      </c>
      <c r="K147" s="410">
        <v>0</v>
      </c>
      <c r="L147" s="782" t="s">
        <v>864</v>
      </c>
    </row>
    <row r="148" spans="1:17" s="66" customFormat="1" ht="18.25" customHeight="1" outlineLevel="2">
      <c r="A148" s="780"/>
      <c r="B148" s="47" t="s">
        <v>6</v>
      </c>
      <c r="C148" s="62" t="s">
        <v>115</v>
      </c>
      <c r="D148" s="26">
        <v>5</v>
      </c>
      <c r="E148" s="63">
        <v>0</v>
      </c>
      <c r="F148" s="64">
        <v>0</v>
      </c>
      <c r="G148" s="63">
        <v>3</v>
      </c>
      <c r="H148" s="65">
        <v>18299</v>
      </c>
      <c r="I148" s="317">
        <v>2</v>
      </c>
      <c r="J148" s="318">
        <v>1</v>
      </c>
      <c r="K148" s="413">
        <v>0</v>
      </c>
      <c r="L148" s="782" t="s">
        <v>864</v>
      </c>
      <c r="M148" s="250" t="s">
        <v>50</v>
      </c>
      <c r="N148" s="250"/>
    </row>
    <row r="149" spans="1:17" ht="18.25" customHeight="1" outlineLevel="3">
      <c r="A149" s="779"/>
      <c r="B149" s="5" t="s">
        <v>184</v>
      </c>
      <c r="C149" s="543" t="s">
        <v>114</v>
      </c>
      <c r="D149" s="19" t="s">
        <v>219</v>
      </c>
      <c r="E149" s="8">
        <v>0</v>
      </c>
      <c r="F149" s="9">
        <v>0</v>
      </c>
      <c r="G149" s="8">
        <v>0</v>
      </c>
      <c r="H149" s="10">
        <v>0</v>
      </c>
      <c r="I149" s="311">
        <v>0</v>
      </c>
      <c r="J149" s="406">
        <v>0</v>
      </c>
      <c r="K149" s="410">
        <v>0</v>
      </c>
      <c r="L149" s="782" t="s">
        <v>864</v>
      </c>
    </row>
    <row r="150" spans="1:17" ht="18.25" customHeight="1" outlineLevel="3">
      <c r="A150" s="779"/>
      <c r="B150" s="5" t="s">
        <v>6</v>
      </c>
      <c r="C150" s="544" t="s">
        <v>333</v>
      </c>
      <c r="D150" s="7" t="s">
        <v>16</v>
      </c>
      <c r="E150" s="8">
        <v>0</v>
      </c>
      <c r="F150" s="9">
        <v>0</v>
      </c>
      <c r="G150" s="8">
        <v>10</v>
      </c>
      <c r="H150" s="10">
        <v>254203</v>
      </c>
      <c r="I150" s="311">
        <v>1</v>
      </c>
      <c r="J150" s="406">
        <v>1</v>
      </c>
      <c r="K150" s="410">
        <v>1</v>
      </c>
      <c r="L150" s="782" t="s">
        <v>864</v>
      </c>
    </row>
    <row r="151" spans="1:17" s="66" customFormat="1" ht="18.25" customHeight="1" outlineLevel="2">
      <c r="A151" s="780"/>
      <c r="B151" s="47" t="s">
        <v>6</v>
      </c>
      <c r="C151" s="62" t="s">
        <v>114</v>
      </c>
      <c r="D151" s="26">
        <v>2</v>
      </c>
      <c r="E151" s="63">
        <v>0</v>
      </c>
      <c r="F151" s="64">
        <v>0</v>
      </c>
      <c r="G151" s="63">
        <v>10</v>
      </c>
      <c r="H151" s="65">
        <v>254203</v>
      </c>
      <c r="I151" s="317">
        <v>1</v>
      </c>
      <c r="J151" s="407">
        <v>1</v>
      </c>
      <c r="K151" s="414">
        <v>1</v>
      </c>
      <c r="L151" s="782" t="s">
        <v>864</v>
      </c>
      <c r="M151" s="250" t="s">
        <v>50</v>
      </c>
      <c r="N151" s="250"/>
    </row>
    <row r="152" spans="1:17" ht="18.25" customHeight="1" outlineLevel="3">
      <c r="A152" s="779"/>
      <c r="B152" s="5" t="s">
        <v>184</v>
      </c>
      <c r="C152" s="543" t="s">
        <v>555</v>
      </c>
      <c r="D152" s="19" t="s">
        <v>188</v>
      </c>
      <c r="E152" s="8">
        <v>0</v>
      </c>
      <c r="F152" s="9">
        <v>0</v>
      </c>
      <c r="G152" s="8">
        <v>0</v>
      </c>
      <c r="H152" s="10">
        <v>0</v>
      </c>
      <c r="I152" s="311">
        <v>0</v>
      </c>
      <c r="J152" s="406">
        <v>0</v>
      </c>
      <c r="K152" s="410">
        <v>0</v>
      </c>
      <c r="L152" s="782" t="s">
        <v>864</v>
      </c>
    </row>
    <row r="153" spans="1:17" ht="18.25" customHeight="1" outlineLevel="3">
      <c r="A153" s="779"/>
      <c r="B153" s="5" t="s">
        <v>6</v>
      </c>
      <c r="C153" s="544" t="s">
        <v>542</v>
      </c>
      <c r="D153" s="7" t="s">
        <v>16</v>
      </c>
      <c r="E153" s="8">
        <v>0</v>
      </c>
      <c r="F153" s="9">
        <v>0</v>
      </c>
      <c r="G153" s="8">
        <v>1</v>
      </c>
      <c r="H153" s="10">
        <v>1100</v>
      </c>
      <c r="I153" s="311">
        <v>1</v>
      </c>
      <c r="J153" s="406">
        <v>0</v>
      </c>
      <c r="K153" s="410">
        <v>0</v>
      </c>
      <c r="L153" s="782" t="s">
        <v>864</v>
      </c>
    </row>
    <row r="154" spans="1:17" s="66" customFormat="1" ht="18.25" customHeight="1" outlineLevel="2">
      <c r="A154" s="780"/>
      <c r="B154" s="47" t="s">
        <v>6</v>
      </c>
      <c r="C154" s="62" t="s">
        <v>555</v>
      </c>
      <c r="D154" s="26">
        <v>2</v>
      </c>
      <c r="E154" s="63">
        <v>0</v>
      </c>
      <c r="F154" s="64">
        <v>0</v>
      </c>
      <c r="G154" s="63">
        <v>1</v>
      </c>
      <c r="H154" s="65">
        <v>1100</v>
      </c>
      <c r="I154" s="317">
        <v>1</v>
      </c>
      <c r="J154" s="407">
        <v>0</v>
      </c>
      <c r="K154" s="414">
        <v>0</v>
      </c>
      <c r="L154" s="782" t="s">
        <v>864</v>
      </c>
      <c r="M154" s="250" t="s">
        <v>168</v>
      </c>
      <c r="N154" s="250"/>
    </row>
    <row r="155" spans="1:17" s="1" customFormat="1" ht="18.25" customHeight="1" outlineLevel="3">
      <c r="A155" s="779"/>
      <c r="B155" s="5" t="s">
        <v>6</v>
      </c>
      <c r="C155" s="543" t="s">
        <v>554</v>
      </c>
      <c r="D155" s="7" t="s">
        <v>24</v>
      </c>
      <c r="E155" s="8">
        <v>0</v>
      </c>
      <c r="F155" s="9">
        <v>0</v>
      </c>
      <c r="G155" s="8">
        <v>4</v>
      </c>
      <c r="H155" s="10">
        <v>56608</v>
      </c>
      <c r="I155" s="311">
        <v>1</v>
      </c>
      <c r="J155" s="406">
        <v>1</v>
      </c>
      <c r="K155" s="410">
        <v>1</v>
      </c>
      <c r="L155" s="782" t="s">
        <v>864</v>
      </c>
      <c r="O155"/>
      <c r="P155"/>
      <c r="Q155"/>
    </row>
    <row r="156" spans="1:17" s="1" customFormat="1" ht="18.25" customHeight="1" outlineLevel="3">
      <c r="A156" s="779"/>
      <c r="B156" s="5" t="s">
        <v>6</v>
      </c>
      <c r="C156" s="543" t="s">
        <v>569</v>
      </c>
      <c r="D156" s="23" t="s">
        <v>16</v>
      </c>
      <c r="E156" s="8">
        <v>0</v>
      </c>
      <c r="F156" s="9">
        <v>0</v>
      </c>
      <c r="G156" s="8">
        <v>1</v>
      </c>
      <c r="H156" s="10">
        <v>15264</v>
      </c>
      <c r="I156" s="311">
        <v>1</v>
      </c>
      <c r="J156" s="406">
        <v>1</v>
      </c>
      <c r="K156" s="410">
        <v>0</v>
      </c>
      <c r="L156" s="782" t="s">
        <v>864</v>
      </c>
      <c r="O156"/>
      <c r="P156"/>
      <c r="Q156"/>
    </row>
    <row r="157" spans="1:17" s="1" customFormat="1" ht="18.25" customHeight="1" outlineLevel="2">
      <c r="A157" s="779"/>
      <c r="B157" s="12" t="s">
        <v>6</v>
      </c>
      <c r="C157" s="13" t="s">
        <v>554</v>
      </c>
      <c r="D157" s="14">
        <v>2</v>
      </c>
      <c r="E157" s="15">
        <v>0</v>
      </c>
      <c r="F157" s="16">
        <v>0</v>
      </c>
      <c r="G157" s="15">
        <v>5</v>
      </c>
      <c r="H157" s="17">
        <v>71872</v>
      </c>
      <c r="I157" s="312">
        <v>2</v>
      </c>
      <c r="J157" s="313">
        <v>2</v>
      </c>
      <c r="K157" s="411">
        <v>1</v>
      </c>
      <c r="L157" s="782" t="s">
        <v>864</v>
      </c>
      <c r="M157" s="1" t="s">
        <v>168</v>
      </c>
      <c r="O157"/>
      <c r="P157"/>
      <c r="Q157"/>
    </row>
    <row r="158" spans="1:17" s="1" customFormat="1" ht="18.25" customHeight="1" outlineLevel="3">
      <c r="A158" s="779"/>
      <c r="B158" s="5" t="s">
        <v>6</v>
      </c>
      <c r="C158" s="543" t="s">
        <v>331</v>
      </c>
      <c r="D158" s="7" t="s">
        <v>24</v>
      </c>
      <c r="E158" s="8">
        <v>0</v>
      </c>
      <c r="F158" s="9">
        <v>0</v>
      </c>
      <c r="G158" s="8">
        <v>1</v>
      </c>
      <c r="H158" s="10">
        <v>8400</v>
      </c>
      <c r="I158" s="311">
        <v>1</v>
      </c>
      <c r="J158" s="406">
        <v>0</v>
      </c>
      <c r="K158" s="410">
        <v>0</v>
      </c>
      <c r="L158" s="782" t="s">
        <v>864</v>
      </c>
      <c r="O158"/>
      <c r="P158"/>
      <c r="Q158"/>
    </row>
    <row r="159" spans="1:17" s="1" customFormat="1" ht="18.25" customHeight="1" outlineLevel="2">
      <c r="A159" s="779"/>
      <c r="B159" s="12" t="s">
        <v>6</v>
      </c>
      <c r="C159" s="13" t="s">
        <v>331</v>
      </c>
      <c r="D159" s="14">
        <v>1</v>
      </c>
      <c r="E159" s="15">
        <v>0</v>
      </c>
      <c r="F159" s="16">
        <v>0</v>
      </c>
      <c r="G159" s="15">
        <v>1</v>
      </c>
      <c r="H159" s="17">
        <v>8400</v>
      </c>
      <c r="I159" s="312">
        <v>1</v>
      </c>
      <c r="J159" s="313">
        <v>0</v>
      </c>
      <c r="K159" s="411">
        <v>0</v>
      </c>
      <c r="L159" s="782" t="s">
        <v>864</v>
      </c>
      <c r="M159" s="1" t="s">
        <v>168</v>
      </c>
      <c r="O159"/>
      <c r="P159"/>
      <c r="Q159"/>
    </row>
    <row r="160" spans="1:17" s="1" customFormat="1" ht="18.25" customHeight="1" outlineLevel="3">
      <c r="A160" s="779"/>
      <c r="B160" s="5" t="s">
        <v>6</v>
      </c>
      <c r="C160" s="544" t="s">
        <v>75</v>
      </c>
      <c r="D160" s="23" t="s">
        <v>24</v>
      </c>
      <c r="E160" s="8">
        <v>0</v>
      </c>
      <c r="F160" s="9">
        <v>0</v>
      </c>
      <c r="G160" s="8">
        <v>9</v>
      </c>
      <c r="H160" s="10">
        <v>253529</v>
      </c>
      <c r="I160" s="311">
        <v>1</v>
      </c>
      <c r="J160" s="406">
        <v>1</v>
      </c>
      <c r="K160" s="410">
        <v>1</v>
      </c>
      <c r="L160" s="782" t="s">
        <v>864</v>
      </c>
      <c r="O160"/>
      <c r="P160"/>
      <c r="Q160"/>
    </row>
    <row r="161" spans="1:17" s="1" customFormat="1" ht="18.25" customHeight="1" outlineLevel="3">
      <c r="A161" s="779"/>
      <c r="B161" s="5" t="s">
        <v>6</v>
      </c>
      <c r="C161" s="544" t="s">
        <v>890</v>
      </c>
      <c r="D161" s="7" t="s">
        <v>16</v>
      </c>
      <c r="E161" s="8">
        <v>0</v>
      </c>
      <c r="F161" s="9">
        <v>0</v>
      </c>
      <c r="G161" s="8">
        <v>1</v>
      </c>
      <c r="H161" s="10">
        <v>4380</v>
      </c>
      <c r="I161" s="311">
        <v>1</v>
      </c>
      <c r="J161" s="406">
        <v>0</v>
      </c>
      <c r="K161" s="410">
        <v>0</v>
      </c>
      <c r="L161" s="782" t="s">
        <v>864</v>
      </c>
      <c r="O161"/>
      <c r="P161"/>
      <c r="Q161"/>
    </row>
    <row r="162" spans="1:17" s="1" customFormat="1" ht="18.25" customHeight="1" outlineLevel="2">
      <c r="A162" s="779"/>
      <c r="B162" s="12" t="s">
        <v>6</v>
      </c>
      <c r="C162" s="13" t="s">
        <v>75</v>
      </c>
      <c r="D162" s="14">
        <v>2</v>
      </c>
      <c r="E162" s="15">
        <v>0</v>
      </c>
      <c r="F162" s="16">
        <v>0</v>
      </c>
      <c r="G162" s="15">
        <v>10</v>
      </c>
      <c r="H162" s="17">
        <v>257909</v>
      </c>
      <c r="I162" s="312">
        <v>2</v>
      </c>
      <c r="J162" s="313">
        <v>1</v>
      </c>
      <c r="K162" s="411">
        <v>1</v>
      </c>
      <c r="L162" s="782" t="s">
        <v>864</v>
      </c>
      <c r="M162" s="1" t="s">
        <v>168</v>
      </c>
      <c r="O162"/>
      <c r="P162"/>
      <c r="Q162"/>
    </row>
    <row r="163" spans="1:17" ht="18.25" customHeight="1" outlineLevel="3">
      <c r="A163" s="779"/>
      <c r="B163" s="5" t="s">
        <v>6</v>
      </c>
      <c r="C163" s="543" t="s">
        <v>783</v>
      </c>
      <c r="D163" s="7" t="s">
        <v>304</v>
      </c>
      <c r="E163" s="8">
        <v>0</v>
      </c>
      <c r="F163" s="9">
        <v>0</v>
      </c>
      <c r="G163" s="8">
        <v>5</v>
      </c>
      <c r="H163" s="10">
        <v>71859</v>
      </c>
      <c r="I163" s="311">
        <v>1</v>
      </c>
      <c r="J163" s="406">
        <v>1</v>
      </c>
      <c r="K163" s="410">
        <v>1</v>
      </c>
      <c r="L163" s="782" t="s">
        <v>864</v>
      </c>
    </row>
    <row r="164" spans="1:17" ht="18.25" customHeight="1" outlineLevel="2">
      <c r="A164" s="779"/>
      <c r="B164" s="12" t="s">
        <v>6</v>
      </c>
      <c r="C164" s="13" t="s">
        <v>783</v>
      </c>
      <c r="D164" s="14">
        <v>1</v>
      </c>
      <c r="E164" s="15">
        <v>0</v>
      </c>
      <c r="F164" s="16">
        <v>0</v>
      </c>
      <c r="G164" s="15">
        <v>5</v>
      </c>
      <c r="H164" s="17">
        <v>71859</v>
      </c>
      <c r="I164" s="312">
        <v>1</v>
      </c>
      <c r="J164" s="313">
        <v>1</v>
      </c>
      <c r="K164" s="411">
        <v>1</v>
      </c>
      <c r="L164" s="782" t="s">
        <v>864</v>
      </c>
      <c r="M164" s="1" t="s">
        <v>663</v>
      </c>
    </row>
    <row r="165" spans="1:17" ht="18.25" customHeight="1" outlineLevel="3">
      <c r="A165" s="779"/>
      <c r="B165" s="5" t="s">
        <v>6</v>
      </c>
      <c r="C165" s="543" t="s">
        <v>112</v>
      </c>
      <c r="D165" s="7" t="s">
        <v>39</v>
      </c>
      <c r="E165" s="8">
        <v>0</v>
      </c>
      <c r="F165" s="9">
        <v>0</v>
      </c>
      <c r="G165" s="8">
        <v>2.5</v>
      </c>
      <c r="H165" s="10">
        <v>34798</v>
      </c>
      <c r="I165" s="311">
        <v>1</v>
      </c>
      <c r="J165" s="406">
        <v>1</v>
      </c>
      <c r="K165" s="410">
        <v>1</v>
      </c>
      <c r="L165" s="782" t="s">
        <v>864</v>
      </c>
    </row>
    <row r="166" spans="1:17" ht="18.25" customHeight="1" outlineLevel="3">
      <c r="A166" s="779"/>
      <c r="B166" s="5" t="s">
        <v>6</v>
      </c>
      <c r="C166" s="543" t="s">
        <v>801</v>
      </c>
      <c r="D166" s="7" t="s">
        <v>16</v>
      </c>
      <c r="E166" s="8">
        <v>0</v>
      </c>
      <c r="F166" s="9">
        <v>0</v>
      </c>
      <c r="G166" s="8">
        <v>1.5</v>
      </c>
      <c r="H166" s="10">
        <v>9436</v>
      </c>
      <c r="I166" s="311">
        <v>1</v>
      </c>
      <c r="J166" s="406">
        <v>0</v>
      </c>
      <c r="K166" s="410">
        <v>0</v>
      </c>
      <c r="L166" s="782" t="s">
        <v>864</v>
      </c>
    </row>
    <row r="167" spans="1:17" s="66" customFormat="1" ht="18.25" customHeight="1" outlineLevel="2">
      <c r="A167" s="780"/>
      <c r="B167" s="47" t="s">
        <v>6</v>
      </c>
      <c r="C167" s="62" t="s">
        <v>112</v>
      </c>
      <c r="D167" s="26">
        <v>2</v>
      </c>
      <c r="E167" s="63">
        <v>0</v>
      </c>
      <c r="F167" s="64">
        <v>0</v>
      </c>
      <c r="G167" s="63">
        <v>4</v>
      </c>
      <c r="H167" s="65">
        <v>44234</v>
      </c>
      <c r="I167" s="317">
        <v>2</v>
      </c>
      <c r="J167" s="318">
        <v>1</v>
      </c>
      <c r="K167" s="413">
        <v>1</v>
      </c>
      <c r="L167" s="782" t="s">
        <v>864</v>
      </c>
      <c r="M167" s="250" t="s">
        <v>50</v>
      </c>
      <c r="N167" s="250"/>
    </row>
    <row r="168" spans="1:17" ht="18.25" customHeight="1" outlineLevel="3">
      <c r="A168" s="779"/>
      <c r="B168" s="5" t="s">
        <v>6</v>
      </c>
      <c r="C168" s="543" t="s">
        <v>258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11">
        <v>0</v>
      </c>
      <c r="J168" s="406">
        <v>0</v>
      </c>
      <c r="K168" s="410">
        <v>0</v>
      </c>
      <c r="L168" s="782" t="s">
        <v>864</v>
      </c>
    </row>
    <row r="169" spans="1:17" ht="18.25" customHeight="1" outlineLevel="3">
      <c r="A169" s="779"/>
      <c r="B169" s="5" t="s">
        <v>6</v>
      </c>
      <c r="C169" s="543" t="s">
        <v>854</v>
      </c>
      <c r="D169" s="7" t="s">
        <v>16</v>
      </c>
      <c r="E169" s="8">
        <v>0</v>
      </c>
      <c r="F169" s="9">
        <v>0</v>
      </c>
      <c r="G169" s="8">
        <v>4</v>
      </c>
      <c r="H169" s="10">
        <v>123533</v>
      </c>
      <c r="I169" s="311">
        <v>1</v>
      </c>
      <c r="J169" s="406">
        <v>1</v>
      </c>
      <c r="K169" s="410">
        <v>1</v>
      </c>
      <c r="L169" s="782" t="s">
        <v>864</v>
      </c>
    </row>
    <row r="170" spans="1:17" s="66" customFormat="1" ht="18.25" customHeight="1" outlineLevel="2">
      <c r="A170" s="780"/>
      <c r="B170" s="47" t="s">
        <v>6</v>
      </c>
      <c r="C170" s="62" t="s">
        <v>258</v>
      </c>
      <c r="D170" s="26">
        <v>2</v>
      </c>
      <c r="E170" s="63">
        <v>0</v>
      </c>
      <c r="F170" s="64">
        <v>0</v>
      </c>
      <c r="G170" s="63">
        <v>4</v>
      </c>
      <c r="H170" s="65">
        <v>123533</v>
      </c>
      <c r="I170" s="317">
        <v>1</v>
      </c>
      <c r="J170" s="318">
        <v>1</v>
      </c>
      <c r="K170" s="413">
        <v>1</v>
      </c>
      <c r="L170" s="782" t="s">
        <v>864</v>
      </c>
      <c r="M170" s="250" t="s">
        <v>168</v>
      </c>
      <c r="N170" s="250"/>
    </row>
    <row r="171" spans="1:17" ht="18.25" customHeight="1" outlineLevel="3">
      <c r="A171" s="779"/>
      <c r="B171" s="5" t="s">
        <v>6</v>
      </c>
      <c r="C171" s="543" t="s">
        <v>113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11">
        <v>0</v>
      </c>
      <c r="J171" s="406">
        <v>0</v>
      </c>
      <c r="K171" s="410">
        <v>0</v>
      </c>
      <c r="L171" s="782" t="s">
        <v>864</v>
      </c>
    </row>
    <row r="172" spans="1:17" ht="18.25" customHeight="1" outlineLevel="3">
      <c r="A172" s="779"/>
      <c r="B172" s="5" t="s">
        <v>6</v>
      </c>
      <c r="C172" s="543" t="s">
        <v>509</v>
      </c>
      <c r="D172" s="7" t="s">
        <v>187</v>
      </c>
      <c r="E172" s="8">
        <v>0</v>
      </c>
      <c r="F172" s="9">
        <v>0</v>
      </c>
      <c r="G172" s="8">
        <v>3</v>
      </c>
      <c r="H172" s="10">
        <v>37214</v>
      </c>
      <c r="I172" s="311">
        <v>1</v>
      </c>
      <c r="J172" s="406">
        <v>1</v>
      </c>
      <c r="K172" s="410">
        <v>1</v>
      </c>
      <c r="L172" s="782" t="s">
        <v>864</v>
      </c>
    </row>
    <row r="173" spans="1:17" ht="18.25" customHeight="1" outlineLevel="3">
      <c r="A173" s="779"/>
      <c r="B173" s="5" t="s">
        <v>6</v>
      </c>
      <c r="C173" s="543" t="s">
        <v>244</v>
      </c>
      <c r="D173" s="7" t="s">
        <v>187</v>
      </c>
      <c r="E173" s="8">
        <v>0</v>
      </c>
      <c r="F173" s="9">
        <v>0</v>
      </c>
      <c r="G173" s="8">
        <v>1</v>
      </c>
      <c r="H173" s="10">
        <v>50</v>
      </c>
      <c r="I173" s="311">
        <v>1</v>
      </c>
      <c r="J173" s="406">
        <v>0</v>
      </c>
      <c r="K173" s="410">
        <v>0</v>
      </c>
      <c r="L173" s="782" t="s">
        <v>864</v>
      </c>
    </row>
    <row r="174" spans="1:17" s="66" customFormat="1" ht="18.25" customHeight="1" outlineLevel="2">
      <c r="A174" s="780"/>
      <c r="B174" s="47" t="s">
        <v>6</v>
      </c>
      <c r="C174" s="62" t="s">
        <v>113</v>
      </c>
      <c r="D174" s="26">
        <v>3</v>
      </c>
      <c r="E174" s="63">
        <v>0</v>
      </c>
      <c r="F174" s="64">
        <v>0</v>
      </c>
      <c r="G174" s="63">
        <v>4</v>
      </c>
      <c r="H174" s="65">
        <v>37264</v>
      </c>
      <c r="I174" s="317">
        <v>2</v>
      </c>
      <c r="J174" s="318">
        <v>1</v>
      </c>
      <c r="K174" s="413">
        <v>1</v>
      </c>
      <c r="L174" s="782" t="s">
        <v>864</v>
      </c>
      <c r="M174" s="250" t="s">
        <v>50</v>
      </c>
      <c r="N174" s="250"/>
    </row>
    <row r="175" spans="1:17" ht="18.25" customHeight="1" outlineLevel="3">
      <c r="A175" s="779"/>
      <c r="B175" s="5" t="s">
        <v>6</v>
      </c>
      <c r="C175" s="543" t="s">
        <v>719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11">
        <v>0</v>
      </c>
      <c r="J175" s="406">
        <v>0</v>
      </c>
      <c r="K175" s="410">
        <v>0</v>
      </c>
      <c r="L175" s="782" t="s">
        <v>864</v>
      </c>
    </row>
    <row r="176" spans="1:17" ht="18.25" customHeight="1" outlineLevel="3">
      <c r="A176" s="779"/>
      <c r="B176" s="5" t="s">
        <v>6</v>
      </c>
      <c r="C176" s="543" t="s">
        <v>708</v>
      </c>
      <c r="D176" s="7" t="s">
        <v>187</v>
      </c>
      <c r="E176" s="8">
        <v>0</v>
      </c>
      <c r="F176" s="9">
        <v>0</v>
      </c>
      <c r="G176" s="8">
        <v>6</v>
      </c>
      <c r="H176" s="10">
        <v>212091</v>
      </c>
      <c r="I176" s="311">
        <v>1</v>
      </c>
      <c r="J176" s="406">
        <v>1</v>
      </c>
      <c r="K176" s="410">
        <v>1</v>
      </c>
      <c r="L176" s="782" t="s">
        <v>864</v>
      </c>
    </row>
    <row r="177" spans="1:17" s="66" customFormat="1" ht="18.25" customHeight="1" outlineLevel="2">
      <c r="A177" s="780"/>
      <c r="B177" s="47" t="s">
        <v>6</v>
      </c>
      <c r="C177" s="62" t="s">
        <v>719</v>
      </c>
      <c r="D177" s="26">
        <v>2</v>
      </c>
      <c r="E177" s="63">
        <v>0</v>
      </c>
      <c r="F177" s="64">
        <v>0</v>
      </c>
      <c r="G177" s="63">
        <v>6</v>
      </c>
      <c r="H177" s="65">
        <v>212091</v>
      </c>
      <c r="I177" s="317">
        <v>1</v>
      </c>
      <c r="J177" s="318">
        <v>1</v>
      </c>
      <c r="K177" s="413">
        <v>1</v>
      </c>
      <c r="L177" s="782" t="s">
        <v>864</v>
      </c>
      <c r="M177" s="250" t="s">
        <v>168</v>
      </c>
      <c r="N177" s="250"/>
    </row>
    <row r="178" spans="1:17" s="1" customFormat="1" ht="18.25" customHeight="1" outlineLevel="3">
      <c r="A178" s="779"/>
      <c r="B178" s="5" t="s">
        <v>6</v>
      </c>
      <c r="C178" s="543" t="s">
        <v>119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11">
        <v>0</v>
      </c>
      <c r="J178" s="406">
        <v>0</v>
      </c>
      <c r="K178" s="410">
        <v>0</v>
      </c>
      <c r="L178" s="782" t="s">
        <v>864</v>
      </c>
      <c r="O178"/>
      <c r="P178"/>
      <c r="Q178"/>
    </row>
    <row r="179" spans="1:17" s="1" customFormat="1" ht="18.25" customHeight="1" outlineLevel="3">
      <c r="A179" s="779"/>
      <c r="B179" s="5" t="s">
        <v>6</v>
      </c>
      <c r="C179" s="543" t="s">
        <v>120</v>
      </c>
      <c r="D179" s="7" t="s">
        <v>16</v>
      </c>
      <c r="E179" s="8">
        <v>0</v>
      </c>
      <c r="F179" s="9">
        <v>0</v>
      </c>
      <c r="G179" s="8">
        <v>2</v>
      </c>
      <c r="H179" s="10">
        <v>16742</v>
      </c>
      <c r="I179" s="311">
        <v>1</v>
      </c>
      <c r="J179" s="406">
        <v>1</v>
      </c>
      <c r="K179" s="410">
        <v>0</v>
      </c>
      <c r="L179" s="782" t="s">
        <v>864</v>
      </c>
      <c r="O179"/>
      <c r="P179"/>
      <c r="Q179"/>
    </row>
    <row r="180" spans="1:17" s="1" customFormat="1" ht="18.25" customHeight="1" outlineLevel="2">
      <c r="A180" s="779"/>
      <c r="B180" s="12" t="s">
        <v>6</v>
      </c>
      <c r="C180" s="13" t="s">
        <v>119</v>
      </c>
      <c r="D180" s="14">
        <v>2</v>
      </c>
      <c r="E180" s="15">
        <v>0</v>
      </c>
      <c r="F180" s="16">
        <v>0</v>
      </c>
      <c r="G180" s="15">
        <v>2</v>
      </c>
      <c r="H180" s="17">
        <v>16742</v>
      </c>
      <c r="I180" s="312">
        <v>1</v>
      </c>
      <c r="J180" s="313">
        <v>1</v>
      </c>
      <c r="K180" s="411">
        <v>0</v>
      </c>
      <c r="L180" s="782" t="s">
        <v>864</v>
      </c>
      <c r="M180" s="1" t="s">
        <v>170</v>
      </c>
      <c r="O180"/>
      <c r="P180"/>
      <c r="Q180"/>
    </row>
    <row r="181" spans="1:17" s="1" customFormat="1" ht="18.25" customHeight="1" outlineLevel="2">
      <c r="A181" s="571" t="s">
        <v>837</v>
      </c>
      <c r="B181" s="546" t="s">
        <v>817</v>
      </c>
      <c r="C181" s="547" t="s">
        <v>115</v>
      </c>
      <c r="D181" s="548">
        <v>26</v>
      </c>
      <c r="E181" s="549">
        <v>0</v>
      </c>
      <c r="F181" s="550">
        <v>0</v>
      </c>
      <c r="G181" s="549">
        <v>55</v>
      </c>
      <c r="H181" s="551">
        <v>1117506</v>
      </c>
      <c r="I181" s="552">
        <v>17</v>
      </c>
      <c r="J181" s="553">
        <v>11</v>
      </c>
      <c r="K181" s="554">
        <v>8</v>
      </c>
      <c r="L181" s="782" t="s">
        <v>864</v>
      </c>
      <c r="O181"/>
      <c r="P181"/>
      <c r="Q181"/>
    </row>
    <row r="182" spans="1:17" ht="18.25" customHeight="1" outlineLevel="3">
      <c r="A182" s="779"/>
      <c r="B182" s="5" t="s">
        <v>6</v>
      </c>
      <c r="C182" s="541" t="s">
        <v>110</v>
      </c>
      <c r="D182" s="7" t="s">
        <v>39</v>
      </c>
      <c r="E182" s="8">
        <v>0</v>
      </c>
      <c r="F182" s="9">
        <v>0</v>
      </c>
      <c r="G182" s="8">
        <v>2</v>
      </c>
      <c r="H182" s="10">
        <v>86534</v>
      </c>
      <c r="I182" s="311">
        <v>1</v>
      </c>
      <c r="J182" s="406">
        <v>1</v>
      </c>
      <c r="K182" s="410">
        <v>1</v>
      </c>
      <c r="L182" s="783" t="s">
        <v>865</v>
      </c>
    </row>
    <row r="183" spans="1:17" ht="18.25" customHeight="1" outlineLevel="3">
      <c r="A183" s="779"/>
      <c r="B183" s="5" t="s">
        <v>6</v>
      </c>
      <c r="C183" s="541" t="s">
        <v>111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11">
        <v>0</v>
      </c>
      <c r="J183" s="406">
        <v>0</v>
      </c>
      <c r="K183" s="410">
        <v>0</v>
      </c>
      <c r="L183" s="783" t="s">
        <v>865</v>
      </c>
    </row>
    <row r="184" spans="1:17" ht="18.25" customHeight="1" outlineLevel="2">
      <c r="A184" s="779"/>
      <c r="B184" s="12" t="s">
        <v>6</v>
      </c>
      <c r="C184" s="13" t="s">
        <v>110</v>
      </c>
      <c r="D184" s="14">
        <v>2</v>
      </c>
      <c r="E184" s="15">
        <v>0</v>
      </c>
      <c r="F184" s="16">
        <v>0</v>
      </c>
      <c r="G184" s="15">
        <v>2</v>
      </c>
      <c r="H184" s="17">
        <v>86534</v>
      </c>
      <c r="I184" s="312">
        <v>1</v>
      </c>
      <c r="J184" s="313">
        <v>1</v>
      </c>
      <c r="K184" s="411">
        <v>1</v>
      </c>
      <c r="L184" s="783" t="s">
        <v>865</v>
      </c>
      <c r="M184" s="1" t="s">
        <v>50</v>
      </c>
    </row>
    <row r="185" spans="1:17" s="1" customFormat="1" ht="18.25" customHeight="1" outlineLevel="3">
      <c r="A185" s="779"/>
      <c r="B185" s="5" t="s">
        <v>6</v>
      </c>
      <c r="C185" s="541" t="s">
        <v>904</v>
      </c>
      <c r="D185" s="7" t="s">
        <v>492</v>
      </c>
      <c r="E185" s="8">
        <v>0</v>
      </c>
      <c r="F185" s="9">
        <v>0</v>
      </c>
      <c r="G185" s="8">
        <v>1</v>
      </c>
      <c r="H185" s="10">
        <v>11385</v>
      </c>
      <c r="I185" s="311">
        <v>1</v>
      </c>
      <c r="J185" s="406">
        <v>0</v>
      </c>
      <c r="K185" s="410">
        <v>0</v>
      </c>
      <c r="L185" s="783" t="s">
        <v>836</v>
      </c>
      <c r="O185"/>
      <c r="P185"/>
      <c r="Q185"/>
    </row>
    <row r="186" spans="1:17" s="1" customFormat="1" ht="18.25" customHeight="1" outlineLevel="2">
      <c r="A186" s="779"/>
      <c r="B186" s="12" t="s">
        <v>6</v>
      </c>
      <c r="C186" s="13" t="s">
        <v>904</v>
      </c>
      <c r="D186" s="14">
        <v>1</v>
      </c>
      <c r="E186" s="15">
        <v>0</v>
      </c>
      <c r="F186" s="16">
        <v>0</v>
      </c>
      <c r="G186" s="15">
        <v>1</v>
      </c>
      <c r="H186" s="17">
        <v>11385</v>
      </c>
      <c r="I186" s="312">
        <v>1</v>
      </c>
      <c r="J186" s="313">
        <v>0</v>
      </c>
      <c r="K186" s="411">
        <v>0</v>
      </c>
      <c r="L186" s="783" t="s">
        <v>836</v>
      </c>
      <c r="M186" s="1" t="s">
        <v>351</v>
      </c>
      <c r="O186"/>
      <c r="P186"/>
      <c r="Q186"/>
    </row>
    <row r="187" spans="1:17" ht="18.25" customHeight="1" outlineLevel="3">
      <c r="A187" s="779"/>
      <c r="B187" s="5" t="s">
        <v>6</v>
      </c>
      <c r="C187" s="541" t="s">
        <v>118</v>
      </c>
      <c r="D187" s="7" t="s">
        <v>16</v>
      </c>
      <c r="E187" s="8">
        <v>0</v>
      </c>
      <c r="F187" s="9">
        <v>0</v>
      </c>
      <c r="G187" s="8">
        <v>0</v>
      </c>
      <c r="H187" s="10">
        <v>0</v>
      </c>
      <c r="I187" s="311">
        <v>0</v>
      </c>
      <c r="J187" s="406">
        <v>0</v>
      </c>
      <c r="K187" s="410">
        <v>0</v>
      </c>
      <c r="L187" s="783" t="s">
        <v>865</v>
      </c>
    </row>
    <row r="188" spans="1:17" ht="18.25" customHeight="1" outlineLevel="3">
      <c r="A188" s="779"/>
      <c r="B188" s="559"/>
      <c r="C188" s="560"/>
      <c r="D188" s="560">
        <v>1</v>
      </c>
      <c r="E188" s="562">
        <v>0</v>
      </c>
      <c r="F188" s="561">
        <v>0</v>
      </c>
      <c r="G188" s="559">
        <v>0</v>
      </c>
      <c r="H188" s="561">
        <v>0</v>
      </c>
      <c r="I188" s="559">
        <v>0</v>
      </c>
      <c r="J188" s="20">
        <v>0</v>
      </c>
      <c r="K188" s="20">
        <v>0</v>
      </c>
      <c r="L188" s="783" t="s">
        <v>865</v>
      </c>
    </row>
    <row r="189" spans="1:17" s="1" customFormat="1" ht="18.25" customHeight="1" outlineLevel="3">
      <c r="A189" s="779"/>
      <c r="B189" s="5" t="s">
        <v>6</v>
      </c>
      <c r="C189" s="545" t="s">
        <v>521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11">
        <v>0</v>
      </c>
      <c r="J189" s="406">
        <v>0</v>
      </c>
      <c r="K189" s="410">
        <v>0</v>
      </c>
      <c r="L189" s="783" t="s">
        <v>865</v>
      </c>
      <c r="O189"/>
      <c r="P189"/>
      <c r="Q189"/>
    </row>
    <row r="190" spans="1:17" s="1" customFormat="1" ht="18.25" customHeight="1" outlineLevel="3">
      <c r="A190" s="779"/>
      <c r="B190" s="41" t="s">
        <v>6</v>
      </c>
      <c r="C190" s="541" t="s">
        <v>910</v>
      </c>
      <c r="D190" s="23" t="s">
        <v>187</v>
      </c>
      <c r="E190" s="8">
        <v>0</v>
      </c>
      <c r="F190" s="9">
        <v>0</v>
      </c>
      <c r="G190" s="8">
        <v>10</v>
      </c>
      <c r="H190" s="10">
        <v>128052</v>
      </c>
      <c r="I190" s="311">
        <v>1</v>
      </c>
      <c r="J190" s="406">
        <v>1</v>
      </c>
      <c r="K190" s="410">
        <v>1</v>
      </c>
      <c r="L190" s="783" t="s">
        <v>836</v>
      </c>
      <c r="O190"/>
      <c r="P190"/>
      <c r="Q190"/>
    </row>
    <row r="191" spans="1:17" s="1" customFormat="1" ht="18.25" customHeight="1" outlineLevel="3">
      <c r="A191" s="779"/>
      <c r="B191" s="41" t="s">
        <v>6</v>
      </c>
      <c r="C191" s="541" t="s">
        <v>750</v>
      </c>
      <c r="D191" s="23" t="s">
        <v>187</v>
      </c>
      <c r="E191" s="8">
        <v>0</v>
      </c>
      <c r="F191" s="9">
        <v>0</v>
      </c>
      <c r="G191" s="8">
        <v>0</v>
      </c>
      <c r="H191" s="10">
        <v>0</v>
      </c>
      <c r="I191" s="311">
        <v>0</v>
      </c>
      <c r="J191" s="406">
        <v>0</v>
      </c>
      <c r="K191" s="410">
        <v>0</v>
      </c>
      <c r="L191" s="783" t="s">
        <v>865</v>
      </c>
      <c r="O191"/>
      <c r="P191"/>
      <c r="Q191"/>
    </row>
    <row r="192" spans="1:17" s="1" customFormat="1" ht="18.25" customHeight="1" outlineLevel="3">
      <c r="A192" s="779"/>
      <c r="B192" s="41" t="s">
        <v>6</v>
      </c>
      <c r="C192" s="541" t="s">
        <v>523</v>
      </c>
      <c r="D192" s="23" t="s">
        <v>187</v>
      </c>
      <c r="E192" s="8">
        <v>0</v>
      </c>
      <c r="F192" s="9">
        <v>0</v>
      </c>
      <c r="G192" s="8">
        <v>9</v>
      </c>
      <c r="H192" s="10">
        <v>82780</v>
      </c>
      <c r="I192" s="311">
        <v>1</v>
      </c>
      <c r="J192" s="406">
        <v>1</v>
      </c>
      <c r="K192" s="410">
        <v>1</v>
      </c>
      <c r="L192" s="783" t="s">
        <v>865</v>
      </c>
      <c r="O192"/>
      <c r="P192"/>
      <c r="Q192"/>
    </row>
    <row r="193" spans="1:17" s="1" customFormat="1" ht="18.25" customHeight="1" outlineLevel="2">
      <c r="A193" s="779"/>
      <c r="B193" s="12" t="s">
        <v>6</v>
      </c>
      <c r="C193" s="13" t="s">
        <v>522</v>
      </c>
      <c r="D193" s="14">
        <v>4</v>
      </c>
      <c r="E193" s="15">
        <v>0</v>
      </c>
      <c r="F193" s="16">
        <v>0</v>
      </c>
      <c r="G193" s="15">
        <v>19</v>
      </c>
      <c r="H193" s="17">
        <v>210832</v>
      </c>
      <c r="I193" s="312">
        <v>2</v>
      </c>
      <c r="J193" s="313">
        <v>2</v>
      </c>
      <c r="K193" s="411">
        <v>2</v>
      </c>
      <c r="L193" s="783" t="s">
        <v>865</v>
      </c>
      <c r="M193" s="1" t="s">
        <v>50</v>
      </c>
      <c r="O193"/>
      <c r="P193"/>
      <c r="Q193"/>
    </row>
    <row r="194" spans="1:17" s="1" customFormat="1" ht="18.25" customHeight="1" outlineLevel="3">
      <c r="A194" s="779"/>
      <c r="B194" s="5" t="s">
        <v>6</v>
      </c>
      <c r="C194" s="541" t="s">
        <v>107</v>
      </c>
      <c r="D194" s="7" t="s">
        <v>39</v>
      </c>
      <c r="E194" s="8">
        <v>0</v>
      </c>
      <c r="F194" s="9">
        <v>0</v>
      </c>
      <c r="G194" s="8">
        <v>2</v>
      </c>
      <c r="H194" s="10">
        <v>47161</v>
      </c>
      <c r="I194" s="311">
        <v>1</v>
      </c>
      <c r="J194" s="406">
        <v>1</v>
      </c>
      <c r="K194" s="410">
        <v>1</v>
      </c>
      <c r="L194" s="783" t="s">
        <v>865</v>
      </c>
      <c r="O194"/>
      <c r="P194"/>
      <c r="Q194"/>
    </row>
    <row r="195" spans="1:17" s="1" customFormat="1" ht="18.25" customHeight="1" outlineLevel="2">
      <c r="A195" s="779"/>
      <c r="B195" s="12" t="s">
        <v>6</v>
      </c>
      <c r="C195" s="13" t="s">
        <v>109</v>
      </c>
      <c r="D195" s="14">
        <v>1</v>
      </c>
      <c r="E195" s="15">
        <v>0</v>
      </c>
      <c r="F195" s="16">
        <v>0</v>
      </c>
      <c r="G195" s="15">
        <v>2</v>
      </c>
      <c r="H195" s="17">
        <v>47161</v>
      </c>
      <c r="I195" s="312">
        <v>1</v>
      </c>
      <c r="J195" s="313">
        <v>1</v>
      </c>
      <c r="K195" s="411">
        <v>1</v>
      </c>
      <c r="L195" s="783" t="s">
        <v>865</v>
      </c>
      <c r="M195" s="1" t="s">
        <v>50</v>
      </c>
      <c r="O195"/>
      <c r="P195"/>
      <c r="Q195"/>
    </row>
    <row r="196" spans="1:17" s="1" customFormat="1" ht="18.25" customHeight="1" outlineLevel="3">
      <c r="A196" s="779"/>
      <c r="B196" s="5" t="s">
        <v>6</v>
      </c>
      <c r="C196" s="541" t="s">
        <v>209</v>
      </c>
      <c r="D196" s="7" t="s">
        <v>219</v>
      </c>
      <c r="E196" s="8">
        <v>0</v>
      </c>
      <c r="F196" s="9">
        <v>0</v>
      </c>
      <c r="G196" s="8">
        <v>8</v>
      </c>
      <c r="H196" s="10">
        <v>119031</v>
      </c>
      <c r="I196" s="311">
        <v>1</v>
      </c>
      <c r="J196" s="406">
        <v>1</v>
      </c>
      <c r="K196" s="410">
        <v>1</v>
      </c>
      <c r="L196" s="783" t="s">
        <v>865</v>
      </c>
      <c r="O196"/>
      <c r="P196"/>
      <c r="Q196"/>
    </row>
    <row r="197" spans="1:17" s="1" customFormat="1" ht="18.25" customHeight="1" outlineLevel="3">
      <c r="A197" s="779"/>
      <c r="B197" s="5" t="s">
        <v>6</v>
      </c>
      <c r="C197" s="541" t="s">
        <v>297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311">
        <v>0</v>
      </c>
      <c r="J197" s="406">
        <v>0</v>
      </c>
      <c r="K197" s="410">
        <v>0</v>
      </c>
      <c r="L197" s="783" t="s">
        <v>836</v>
      </c>
      <c r="O197"/>
      <c r="P197"/>
      <c r="Q197"/>
    </row>
    <row r="198" spans="1:17" s="1" customFormat="1" ht="18.25" customHeight="1" outlineLevel="3">
      <c r="A198" s="779"/>
      <c r="B198" s="5" t="s">
        <v>6</v>
      </c>
      <c r="C198" s="541" t="s">
        <v>108</v>
      </c>
      <c r="D198" s="7" t="s">
        <v>16</v>
      </c>
      <c r="E198" s="8">
        <v>0</v>
      </c>
      <c r="F198" s="9">
        <v>0</v>
      </c>
      <c r="G198" s="8">
        <v>2</v>
      </c>
      <c r="H198" s="10">
        <v>38569</v>
      </c>
      <c r="I198" s="311">
        <v>1</v>
      </c>
      <c r="J198" s="406">
        <v>1</v>
      </c>
      <c r="K198" s="410">
        <v>1</v>
      </c>
      <c r="L198" s="783" t="s">
        <v>836</v>
      </c>
      <c r="O198"/>
      <c r="P198"/>
      <c r="Q198"/>
    </row>
    <row r="199" spans="1:17" s="1" customFormat="1" ht="18.25" customHeight="1" outlineLevel="3">
      <c r="A199" s="779"/>
      <c r="B199" s="5" t="s">
        <v>6</v>
      </c>
      <c r="C199" s="541" t="s">
        <v>281</v>
      </c>
      <c r="D199" s="7" t="s">
        <v>26</v>
      </c>
      <c r="E199" s="8">
        <v>0</v>
      </c>
      <c r="F199" s="9">
        <v>0</v>
      </c>
      <c r="G199" s="8">
        <v>1</v>
      </c>
      <c r="H199" s="10">
        <v>37226</v>
      </c>
      <c r="I199" s="311">
        <v>1</v>
      </c>
      <c r="J199" s="406">
        <v>1</v>
      </c>
      <c r="K199" s="410">
        <v>1</v>
      </c>
      <c r="L199" s="783" t="s">
        <v>865</v>
      </c>
      <c r="O199"/>
      <c r="P199"/>
      <c r="Q199"/>
    </row>
    <row r="200" spans="1:17" s="1" customFormat="1" ht="18.25" customHeight="1" outlineLevel="3">
      <c r="A200" s="779"/>
      <c r="B200" s="5" t="s">
        <v>6</v>
      </c>
      <c r="C200" s="541" t="s">
        <v>618</v>
      </c>
      <c r="D200" s="7" t="s">
        <v>26</v>
      </c>
      <c r="E200" s="8">
        <v>0</v>
      </c>
      <c r="F200" s="9">
        <v>0</v>
      </c>
      <c r="G200" s="8">
        <v>0</v>
      </c>
      <c r="H200" s="10">
        <v>0</v>
      </c>
      <c r="I200" s="311">
        <v>0</v>
      </c>
      <c r="J200" s="406">
        <v>0</v>
      </c>
      <c r="K200" s="410">
        <v>0</v>
      </c>
      <c r="L200" s="783" t="s">
        <v>865</v>
      </c>
      <c r="O200"/>
      <c r="P200"/>
      <c r="Q200"/>
    </row>
    <row r="201" spans="1:17" s="1" customFormat="1" ht="18.25" customHeight="1" outlineLevel="2">
      <c r="A201" s="779"/>
      <c r="B201" s="12" t="s">
        <v>6</v>
      </c>
      <c r="C201" s="13" t="s">
        <v>209</v>
      </c>
      <c r="D201" s="14">
        <v>5</v>
      </c>
      <c r="E201" s="15">
        <v>0</v>
      </c>
      <c r="F201" s="16">
        <v>0</v>
      </c>
      <c r="G201" s="15">
        <v>11</v>
      </c>
      <c r="H201" s="17">
        <v>194826</v>
      </c>
      <c r="I201" s="312">
        <v>3</v>
      </c>
      <c r="J201" s="313">
        <v>3</v>
      </c>
      <c r="K201" s="411">
        <v>3</v>
      </c>
      <c r="L201" s="783" t="s">
        <v>865</v>
      </c>
      <c r="M201" s="1" t="s">
        <v>50</v>
      </c>
      <c r="O201"/>
      <c r="P201"/>
      <c r="Q201"/>
    </row>
    <row r="202" spans="1:17" s="1" customFormat="1" ht="18.25" customHeight="1" outlineLevel="3">
      <c r="A202" s="779"/>
      <c r="B202" s="5" t="s">
        <v>6</v>
      </c>
      <c r="C202" s="541" t="s">
        <v>210</v>
      </c>
      <c r="D202" s="7" t="s">
        <v>39</v>
      </c>
      <c r="E202" s="8">
        <v>0</v>
      </c>
      <c r="F202" s="9">
        <v>0</v>
      </c>
      <c r="G202" s="8">
        <v>5</v>
      </c>
      <c r="H202" s="10">
        <v>157417</v>
      </c>
      <c r="I202" s="311">
        <v>1</v>
      </c>
      <c r="J202" s="406">
        <v>1</v>
      </c>
      <c r="K202" s="410">
        <v>1</v>
      </c>
      <c r="L202" s="783" t="s">
        <v>865</v>
      </c>
      <c r="O202"/>
      <c r="P202"/>
      <c r="Q202"/>
    </row>
    <row r="203" spans="1:17" ht="18.25" customHeight="1" outlineLevel="3">
      <c r="A203" s="779"/>
      <c r="B203" s="5" t="s">
        <v>6</v>
      </c>
      <c r="C203" s="541" t="s">
        <v>791</v>
      </c>
      <c r="D203" s="7" t="s">
        <v>16</v>
      </c>
      <c r="E203" s="8">
        <v>0</v>
      </c>
      <c r="F203" s="9">
        <v>0</v>
      </c>
      <c r="G203" s="8">
        <v>2</v>
      </c>
      <c r="H203" s="10">
        <v>41506</v>
      </c>
      <c r="I203" s="311">
        <v>1</v>
      </c>
      <c r="J203" s="406">
        <v>1</v>
      </c>
      <c r="K203" s="410">
        <v>1</v>
      </c>
      <c r="L203" s="783" t="s">
        <v>865</v>
      </c>
    </row>
    <row r="204" spans="1:17" ht="18.25" customHeight="1" outlineLevel="3">
      <c r="A204" s="779"/>
      <c r="B204" s="5" t="s">
        <v>6</v>
      </c>
      <c r="C204" s="541" t="s">
        <v>311</v>
      </c>
      <c r="D204" s="7" t="s">
        <v>16</v>
      </c>
      <c r="E204" s="8">
        <v>0</v>
      </c>
      <c r="F204" s="9">
        <v>0</v>
      </c>
      <c r="G204" s="8">
        <v>2</v>
      </c>
      <c r="H204" s="10">
        <v>66192</v>
      </c>
      <c r="I204" s="311">
        <v>1</v>
      </c>
      <c r="J204" s="406">
        <v>1</v>
      </c>
      <c r="K204" s="410">
        <v>1</v>
      </c>
      <c r="L204" s="783" t="s">
        <v>865</v>
      </c>
    </row>
    <row r="205" spans="1:17" ht="18.25" customHeight="1" outlineLevel="3">
      <c r="A205" s="779"/>
      <c r="B205" s="5" t="s">
        <v>6</v>
      </c>
      <c r="C205" s="541" t="s">
        <v>243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1">
        <v>0</v>
      </c>
      <c r="J205" s="406">
        <v>0</v>
      </c>
      <c r="K205" s="410">
        <v>0</v>
      </c>
      <c r="L205" s="783" t="s">
        <v>865</v>
      </c>
    </row>
    <row r="206" spans="1:17" s="66" customFormat="1" ht="18.25" customHeight="1" outlineLevel="2">
      <c r="A206" s="780"/>
      <c r="B206" s="47" t="s">
        <v>6</v>
      </c>
      <c r="C206" s="62" t="s">
        <v>210</v>
      </c>
      <c r="D206" s="26">
        <v>4</v>
      </c>
      <c r="E206" s="63">
        <v>0</v>
      </c>
      <c r="F206" s="64">
        <v>0</v>
      </c>
      <c r="G206" s="63">
        <v>9</v>
      </c>
      <c r="H206" s="65">
        <v>265115</v>
      </c>
      <c r="I206" s="317">
        <v>3</v>
      </c>
      <c r="J206" s="318">
        <v>3</v>
      </c>
      <c r="K206" s="413">
        <v>3</v>
      </c>
      <c r="L206" s="783" t="s">
        <v>865</v>
      </c>
      <c r="M206" s="250" t="s">
        <v>50</v>
      </c>
      <c r="N206" s="250"/>
    </row>
    <row r="207" spans="1:17" ht="18.25" customHeight="1" outlineLevel="3">
      <c r="A207" s="779"/>
      <c r="B207" s="5" t="s">
        <v>6</v>
      </c>
      <c r="C207" s="541" t="s">
        <v>371</v>
      </c>
      <c r="D207" s="7" t="s">
        <v>24</v>
      </c>
      <c r="E207" s="8">
        <v>0</v>
      </c>
      <c r="F207" s="9">
        <v>0</v>
      </c>
      <c r="G207" s="8">
        <v>6</v>
      </c>
      <c r="H207" s="10">
        <v>70094</v>
      </c>
      <c r="I207" s="311">
        <v>1</v>
      </c>
      <c r="J207" s="406">
        <v>1</v>
      </c>
      <c r="K207" s="410">
        <v>1</v>
      </c>
      <c r="L207" s="783" t="s">
        <v>865</v>
      </c>
    </row>
    <row r="208" spans="1:17" ht="18.25" customHeight="1" outlineLevel="3">
      <c r="A208" s="779"/>
      <c r="B208" s="5" t="s">
        <v>6</v>
      </c>
      <c r="C208" s="541" t="s">
        <v>743</v>
      </c>
      <c r="D208" s="7" t="s">
        <v>16</v>
      </c>
      <c r="E208" s="8">
        <v>0</v>
      </c>
      <c r="F208" s="9">
        <v>0</v>
      </c>
      <c r="G208" s="8">
        <v>3</v>
      </c>
      <c r="H208" s="10">
        <v>43186</v>
      </c>
      <c r="I208" s="311">
        <v>1</v>
      </c>
      <c r="J208" s="406">
        <v>1</v>
      </c>
      <c r="K208" s="410">
        <v>1</v>
      </c>
      <c r="L208" s="783" t="s">
        <v>865</v>
      </c>
    </row>
    <row r="209" spans="1:17" s="66" customFormat="1" ht="18.25" customHeight="1" outlineLevel="2">
      <c r="A209" s="780"/>
      <c r="B209" s="47" t="s">
        <v>6</v>
      </c>
      <c r="C209" s="62" t="s">
        <v>371</v>
      </c>
      <c r="D209" s="26">
        <v>2</v>
      </c>
      <c r="E209" s="63">
        <v>0</v>
      </c>
      <c r="F209" s="64">
        <v>0</v>
      </c>
      <c r="G209" s="63">
        <v>9</v>
      </c>
      <c r="H209" s="65">
        <v>113280</v>
      </c>
      <c r="I209" s="317">
        <v>2</v>
      </c>
      <c r="J209" s="318">
        <v>2</v>
      </c>
      <c r="K209" s="413">
        <v>2</v>
      </c>
      <c r="L209" s="783" t="s">
        <v>865</v>
      </c>
      <c r="M209" s="250" t="s">
        <v>168</v>
      </c>
      <c r="N209" s="250"/>
    </row>
    <row r="210" spans="1:17" ht="18.25" customHeight="1" outlineLevel="3">
      <c r="A210" s="779"/>
      <c r="B210" s="5" t="s">
        <v>6</v>
      </c>
      <c r="C210" s="541" t="s">
        <v>197</v>
      </c>
      <c r="D210" s="7" t="s">
        <v>21</v>
      </c>
      <c r="E210" s="8">
        <v>0</v>
      </c>
      <c r="F210" s="9">
        <v>0</v>
      </c>
      <c r="G210" s="8">
        <v>2</v>
      </c>
      <c r="H210" s="10">
        <v>182255</v>
      </c>
      <c r="I210" s="311">
        <v>1</v>
      </c>
      <c r="J210" s="406">
        <v>1</v>
      </c>
      <c r="K210" s="410">
        <v>1</v>
      </c>
      <c r="L210" s="783" t="s">
        <v>865</v>
      </c>
    </row>
    <row r="211" spans="1:17" ht="18.25" customHeight="1" outlineLevel="3">
      <c r="A211" s="779"/>
      <c r="B211" s="5" t="s">
        <v>6</v>
      </c>
      <c r="C211" s="541" t="s">
        <v>734</v>
      </c>
      <c r="D211" s="7" t="s">
        <v>16</v>
      </c>
      <c r="E211" s="8">
        <v>0</v>
      </c>
      <c r="F211" s="9">
        <v>0</v>
      </c>
      <c r="G211" s="8">
        <v>0</v>
      </c>
      <c r="H211" s="10">
        <v>0</v>
      </c>
      <c r="I211" s="311">
        <v>0</v>
      </c>
      <c r="J211" s="406">
        <v>0</v>
      </c>
      <c r="K211" s="410">
        <v>0</v>
      </c>
      <c r="L211" s="783" t="s">
        <v>865</v>
      </c>
    </row>
    <row r="212" spans="1:17" ht="18.25" customHeight="1" outlineLevel="3">
      <c r="A212" s="779"/>
      <c r="B212" s="5" t="s">
        <v>6</v>
      </c>
      <c r="C212" s="541" t="s">
        <v>234</v>
      </c>
      <c r="D212" s="7" t="s">
        <v>16</v>
      </c>
      <c r="E212" s="8">
        <v>0</v>
      </c>
      <c r="F212" s="9">
        <v>0</v>
      </c>
      <c r="G212" s="8">
        <v>1</v>
      </c>
      <c r="H212" s="10">
        <v>14705</v>
      </c>
      <c r="I212" s="311">
        <v>1</v>
      </c>
      <c r="J212" s="406">
        <v>1</v>
      </c>
      <c r="K212" s="410">
        <v>0</v>
      </c>
      <c r="L212" s="783" t="s">
        <v>865</v>
      </c>
    </row>
    <row r="213" spans="1:17" ht="18.25" customHeight="1" outlineLevel="2">
      <c r="A213" s="779"/>
      <c r="B213" s="12" t="s">
        <v>6</v>
      </c>
      <c r="C213" s="13" t="s">
        <v>231</v>
      </c>
      <c r="D213" s="14">
        <v>3</v>
      </c>
      <c r="E213" s="15">
        <v>0</v>
      </c>
      <c r="F213" s="16">
        <v>0</v>
      </c>
      <c r="G213" s="15">
        <v>3</v>
      </c>
      <c r="H213" s="17">
        <v>196960</v>
      </c>
      <c r="I213" s="312">
        <v>2</v>
      </c>
      <c r="J213" s="313">
        <v>2</v>
      </c>
      <c r="K213" s="411">
        <v>1</v>
      </c>
      <c r="L213" s="783" t="s">
        <v>865</v>
      </c>
      <c r="M213" s="1" t="s">
        <v>170</v>
      </c>
    </row>
    <row r="214" spans="1:17" ht="18.25" customHeight="1" outlineLevel="3">
      <c r="A214" s="779"/>
      <c r="B214" s="5" t="s">
        <v>6</v>
      </c>
      <c r="C214" s="541" t="s">
        <v>655</v>
      </c>
      <c r="D214" s="7" t="s">
        <v>304</v>
      </c>
      <c r="E214" s="8">
        <v>0</v>
      </c>
      <c r="F214" s="9">
        <v>0</v>
      </c>
      <c r="G214" s="8">
        <v>3</v>
      </c>
      <c r="H214" s="10">
        <v>348105</v>
      </c>
      <c r="I214" s="311">
        <v>1</v>
      </c>
      <c r="J214" s="406">
        <v>1</v>
      </c>
      <c r="K214" s="410">
        <v>1</v>
      </c>
      <c r="L214" s="783" t="s">
        <v>836</v>
      </c>
    </row>
    <row r="215" spans="1:17" ht="18.25" customHeight="1" outlineLevel="2">
      <c r="A215" s="779"/>
      <c r="B215" s="12" t="s">
        <v>6</v>
      </c>
      <c r="C215" s="13" t="s">
        <v>655</v>
      </c>
      <c r="D215" s="14">
        <v>1</v>
      </c>
      <c r="E215" s="15">
        <v>0</v>
      </c>
      <c r="F215" s="16">
        <v>0</v>
      </c>
      <c r="G215" s="15">
        <v>3</v>
      </c>
      <c r="H215" s="17">
        <v>348105</v>
      </c>
      <c r="I215" s="312">
        <v>1</v>
      </c>
      <c r="J215" s="313">
        <v>1</v>
      </c>
      <c r="K215" s="411">
        <v>1</v>
      </c>
      <c r="L215" s="783" t="s">
        <v>836</v>
      </c>
      <c r="M215" s="1" t="s">
        <v>663</v>
      </c>
    </row>
    <row r="216" spans="1:17" s="1" customFormat="1" ht="18.25" customHeight="1" outlineLevel="3">
      <c r="A216" s="779"/>
      <c r="B216" s="5" t="s">
        <v>6</v>
      </c>
      <c r="C216" s="541" t="s">
        <v>117</v>
      </c>
      <c r="D216" s="19" t="s">
        <v>304</v>
      </c>
      <c r="E216" s="8">
        <v>0</v>
      </c>
      <c r="F216" s="9">
        <v>0</v>
      </c>
      <c r="G216" s="8">
        <v>0</v>
      </c>
      <c r="H216" s="10">
        <v>0</v>
      </c>
      <c r="I216" s="311">
        <v>0</v>
      </c>
      <c r="J216" s="406">
        <v>0</v>
      </c>
      <c r="K216" s="410">
        <v>0</v>
      </c>
      <c r="L216" s="783" t="s">
        <v>865</v>
      </c>
      <c r="O216"/>
      <c r="P216"/>
      <c r="Q216"/>
    </row>
    <row r="217" spans="1:17" s="1" customFormat="1" ht="18.25" customHeight="1" outlineLevel="2">
      <c r="A217" s="779"/>
      <c r="B217" s="12" t="s">
        <v>6</v>
      </c>
      <c r="C217" s="13" t="s">
        <v>117</v>
      </c>
      <c r="D217" s="14">
        <v>1</v>
      </c>
      <c r="E217" s="15">
        <v>0</v>
      </c>
      <c r="F217" s="16">
        <v>0</v>
      </c>
      <c r="G217" s="15">
        <v>0</v>
      </c>
      <c r="H217" s="17">
        <v>0</v>
      </c>
      <c r="I217" s="312">
        <v>0</v>
      </c>
      <c r="J217" s="313">
        <v>0</v>
      </c>
      <c r="K217" s="411">
        <v>0</v>
      </c>
      <c r="L217" s="783" t="s">
        <v>865</v>
      </c>
      <c r="M217" s="1" t="s">
        <v>663</v>
      </c>
      <c r="O217"/>
      <c r="P217"/>
      <c r="Q217"/>
    </row>
    <row r="218" spans="1:17" s="1" customFormat="1" ht="18.25" customHeight="1" outlineLevel="3">
      <c r="A218" s="779"/>
      <c r="B218" s="5" t="s">
        <v>6</v>
      </c>
      <c r="C218" s="541" t="s">
        <v>564</v>
      </c>
      <c r="D218" s="19" t="s">
        <v>304</v>
      </c>
      <c r="E218" s="8">
        <v>0</v>
      </c>
      <c r="F218" s="9">
        <v>0</v>
      </c>
      <c r="G218" s="8">
        <v>1</v>
      </c>
      <c r="H218" s="10">
        <v>11823</v>
      </c>
      <c r="I218" s="311">
        <v>1</v>
      </c>
      <c r="J218" s="406">
        <v>0</v>
      </c>
      <c r="K218" s="410">
        <v>0</v>
      </c>
      <c r="L218" s="783" t="s">
        <v>865</v>
      </c>
      <c r="O218"/>
      <c r="P218"/>
      <c r="Q218"/>
    </row>
    <row r="219" spans="1:17" s="1" customFormat="1" ht="18.25" customHeight="1" outlineLevel="2">
      <c r="A219" s="779"/>
      <c r="B219" s="12" t="s">
        <v>6</v>
      </c>
      <c r="C219" s="13" t="s">
        <v>564</v>
      </c>
      <c r="D219" s="14">
        <v>1</v>
      </c>
      <c r="E219" s="15">
        <v>0</v>
      </c>
      <c r="F219" s="16">
        <v>0</v>
      </c>
      <c r="G219" s="15">
        <v>1</v>
      </c>
      <c r="H219" s="17">
        <v>11823</v>
      </c>
      <c r="I219" s="312">
        <v>1</v>
      </c>
      <c r="J219" s="313">
        <v>0</v>
      </c>
      <c r="K219" s="411">
        <v>0</v>
      </c>
      <c r="L219" s="783" t="s">
        <v>865</v>
      </c>
      <c r="M219" s="1" t="s">
        <v>663</v>
      </c>
      <c r="O219"/>
      <c r="P219"/>
      <c r="Q219"/>
    </row>
    <row r="220" spans="1:17" s="1" customFormat="1" ht="18.25" customHeight="1" outlineLevel="3">
      <c r="A220" s="779"/>
      <c r="B220" s="5" t="s">
        <v>184</v>
      </c>
      <c r="C220" s="541" t="s">
        <v>92</v>
      </c>
      <c r="D220" s="7" t="s">
        <v>39</v>
      </c>
      <c r="E220" s="8">
        <v>0</v>
      </c>
      <c r="F220" s="9">
        <v>0</v>
      </c>
      <c r="G220" s="8">
        <v>0</v>
      </c>
      <c r="H220" s="10">
        <v>0</v>
      </c>
      <c r="I220" s="311">
        <v>0</v>
      </c>
      <c r="J220" s="406">
        <v>0</v>
      </c>
      <c r="K220" s="410">
        <v>0</v>
      </c>
      <c r="L220" s="783" t="s">
        <v>865</v>
      </c>
      <c r="O220"/>
      <c r="P220"/>
      <c r="Q220"/>
    </row>
    <row r="221" spans="1:17" s="1" customFormat="1" ht="18.25" customHeight="1" outlineLevel="3">
      <c r="A221" s="779"/>
      <c r="B221" s="5" t="s">
        <v>184</v>
      </c>
      <c r="C221" s="541" t="s">
        <v>745</v>
      </c>
      <c r="D221" s="7" t="s">
        <v>16</v>
      </c>
      <c r="E221" s="8">
        <v>0</v>
      </c>
      <c r="F221" s="9">
        <v>0</v>
      </c>
      <c r="G221" s="8">
        <v>2</v>
      </c>
      <c r="H221" s="10">
        <v>47272</v>
      </c>
      <c r="I221" s="311">
        <v>1</v>
      </c>
      <c r="J221" s="406">
        <v>1</v>
      </c>
      <c r="K221" s="410">
        <v>1</v>
      </c>
      <c r="L221" s="783" t="s">
        <v>865</v>
      </c>
      <c r="O221"/>
      <c r="P221"/>
      <c r="Q221"/>
    </row>
    <row r="222" spans="1:17" s="1" customFormat="1" ht="18.25" customHeight="1" outlineLevel="3">
      <c r="A222" s="779"/>
      <c r="B222" s="5" t="s">
        <v>184</v>
      </c>
      <c r="C222" s="541" t="s">
        <v>93</v>
      </c>
      <c r="D222" s="7" t="s">
        <v>16</v>
      </c>
      <c r="E222" s="8">
        <v>0</v>
      </c>
      <c r="F222" s="9">
        <v>0</v>
      </c>
      <c r="G222" s="8">
        <v>2</v>
      </c>
      <c r="H222" s="10">
        <v>59361</v>
      </c>
      <c r="I222" s="311">
        <v>1</v>
      </c>
      <c r="J222" s="406">
        <v>1</v>
      </c>
      <c r="K222" s="410">
        <v>1</v>
      </c>
      <c r="L222" s="783" t="s">
        <v>865</v>
      </c>
      <c r="O222"/>
      <c r="P222"/>
      <c r="Q222"/>
    </row>
    <row r="223" spans="1:17" s="1" customFormat="1" ht="18.25" customHeight="1" outlineLevel="3">
      <c r="A223" s="779"/>
      <c r="B223" s="5" t="s">
        <v>184</v>
      </c>
      <c r="C223" s="541" t="s">
        <v>652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11">
        <v>0</v>
      </c>
      <c r="J223" s="406">
        <v>0</v>
      </c>
      <c r="K223" s="410">
        <v>0</v>
      </c>
      <c r="L223" s="783" t="s">
        <v>865</v>
      </c>
      <c r="O223"/>
      <c r="P223"/>
      <c r="Q223"/>
    </row>
    <row r="224" spans="1:17" s="1" customFormat="1" ht="18.25" customHeight="1" outlineLevel="2">
      <c r="A224" s="779"/>
      <c r="B224" s="47" t="s">
        <v>184</v>
      </c>
      <c r="C224" s="13" t="s">
        <v>95</v>
      </c>
      <c r="D224" s="14">
        <v>4</v>
      </c>
      <c r="E224" s="15">
        <v>0</v>
      </c>
      <c r="F224" s="16">
        <v>0</v>
      </c>
      <c r="G224" s="15">
        <v>4</v>
      </c>
      <c r="H224" s="17">
        <v>106633</v>
      </c>
      <c r="I224" s="312">
        <v>2</v>
      </c>
      <c r="J224" s="313">
        <v>2</v>
      </c>
      <c r="K224" s="411">
        <v>2</v>
      </c>
      <c r="L224" s="783" t="s">
        <v>865</v>
      </c>
      <c r="M224" s="1" t="s">
        <v>50</v>
      </c>
      <c r="O224"/>
      <c r="P224"/>
      <c r="Q224"/>
    </row>
    <row r="225" spans="1:17" s="1" customFormat="1" ht="18.25" customHeight="1" outlineLevel="3">
      <c r="A225" s="779"/>
      <c r="B225" s="5" t="s">
        <v>184</v>
      </c>
      <c r="C225" s="541" t="s">
        <v>94</v>
      </c>
      <c r="D225" s="7" t="s">
        <v>21</v>
      </c>
      <c r="E225" s="8">
        <v>0</v>
      </c>
      <c r="F225" s="9">
        <v>0</v>
      </c>
      <c r="G225" s="8">
        <v>4</v>
      </c>
      <c r="H225" s="10">
        <v>76695</v>
      </c>
      <c r="I225" s="311">
        <v>1</v>
      </c>
      <c r="J225" s="406">
        <v>1</v>
      </c>
      <c r="K225" s="410">
        <v>1</v>
      </c>
      <c r="L225" s="783" t="s">
        <v>865</v>
      </c>
      <c r="O225"/>
      <c r="P225"/>
      <c r="Q225"/>
    </row>
    <row r="226" spans="1:17" s="1" customFormat="1" ht="18.25" customHeight="1" outlineLevel="3">
      <c r="A226" s="779"/>
      <c r="B226" s="5" t="s">
        <v>184</v>
      </c>
      <c r="C226" s="541" t="s">
        <v>382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11">
        <v>0</v>
      </c>
      <c r="J226" s="406">
        <v>0</v>
      </c>
      <c r="K226" s="410">
        <v>0</v>
      </c>
      <c r="L226" s="783" t="s">
        <v>865</v>
      </c>
      <c r="O226"/>
      <c r="P226"/>
      <c r="Q226"/>
    </row>
    <row r="227" spans="1:17" s="1" customFormat="1" ht="18.25" customHeight="1" outlineLevel="2">
      <c r="A227" s="779"/>
      <c r="B227" s="47" t="s">
        <v>184</v>
      </c>
      <c r="C227" s="13" t="s">
        <v>94</v>
      </c>
      <c r="D227" s="14">
        <v>2</v>
      </c>
      <c r="E227" s="15">
        <v>0</v>
      </c>
      <c r="F227" s="16">
        <v>0</v>
      </c>
      <c r="G227" s="15">
        <v>4</v>
      </c>
      <c r="H227" s="17">
        <v>76695</v>
      </c>
      <c r="I227" s="312">
        <v>1</v>
      </c>
      <c r="J227" s="313">
        <v>1</v>
      </c>
      <c r="K227" s="411">
        <v>1</v>
      </c>
      <c r="L227" s="783" t="s">
        <v>865</v>
      </c>
      <c r="M227" s="1" t="s">
        <v>170</v>
      </c>
      <c r="O227"/>
      <c r="P227"/>
      <c r="Q227"/>
    </row>
    <row r="228" spans="1:17" s="1" customFormat="1" ht="18.25" customHeight="1" outlineLevel="2">
      <c r="A228" s="571" t="s">
        <v>836</v>
      </c>
      <c r="B228" s="555" t="s">
        <v>818</v>
      </c>
      <c r="C228" s="556" t="s">
        <v>110</v>
      </c>
      <c r="D228" s="548">
        <v>32</v>
      </c>
      <c r="E228" s="557">
        <v>0</v>
      </c>
      <c r="F228" s="551">
        <v>0</v>
      </c>
      <c r="G228" s="549">
        <v>68</v>
      </c>
      <c r="H228" s="558">
        <v>1669349</v>
      </c>
      <c r="I228" s="552">
        <v>20</v>
      </c>
      <c r="J228" s="553">
        <v>18</v>
      </c>
      <c r="K228" s="554">
        <v>17</v>
      </c>
      <c r="L228" s="783" t="s">
        <v>865</v>
      </c>
      <c r="O228"/>
      <c r="P228"/>
      <c r="Q228"/>
    </row>
    <row r="229" spans="1:17" s="150" customFormat="1" ht="18.25" customHeight="1">
      <c r="A229" s="570" t="s">
        <v>827</v>
      </c>
      <c r="B229" s="949" t="s">
        <v>6</v>
      </c>
      <c r="C229" s="950"/>
      <c r="D229" s="146">
        <v>88</v>
      </c>
      <c r="E229" s="151">
        <v>1</v>
      </c>
      <c r="F229" s="152">
        <v>2063</v>
      </c>
      <c r="G229" s="147">
        <v>187</v>
      </c>
      <c r="H229" s="153">
        <v>4531454</v>
      </c>
      <c r="I229" s="315">
        <v>55</v>
      </c>
      <c r="J229" s="316">
        <v>47</v>
      </c>
      <c r="K229" s="412">
        <v>39</v>
      </c>
      <c r="L229" s="429" t="e">
        <v>#VALUE!</v>
      </c>
      <c r="M229" s="249"/>
      <c r="N229" s="249"/>
    </row>
    <row r="230" spans="1:17" ht="18.25" customHeight="1" outlineLevel="2">
      <c r="B230" s="5" t="s">
        <v>8</v>
      </c>
      <c r="C230" s="6" t="s">
        <v>122</v>
      </c>
      <c r="D230" s="7" t="s">
        <v>53</v>
      </c>
      <c r="E230" s="8">
        <v>0</v>
      </c>
      <c r="F230" s="9">
        <v>0</v>
      </c>
      <c r="G230" s="8">
        <v>0</v>
      </c>
      <c r="H230" s="10">
        <v>0</v>
      </c>
      <c r="I230" s="311">
        <v>0</v>
      </c>
      <c r="J230" s="406">
        <v>0</v>
      </c>
      <c r="K230" s="410">
        <v>0</v>
      </c>
      <c r="L230" s="427"/>
    </row>
    <row r="231" spans="1:17" ht="18.25" customHeight="1" outlineLevel="2">
      <c r="B231" s="5" t="s">
        <v>2</v>
      </c>
      <c r="C231" s="6" t="s">
        <v>256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11">
        <v>0</v>
      </c>
      <c r="J231" s="406">
        <v>0</v>
      </c>
      <c r="K231" s="410">
        <v>0</v>
      </c>
      <c r="L231" s="427"/>
    </row>
    <row r="232" spans="1:17" ht="18.25" customHeight="1" outlineLevel="1">
      <c r="B232" s="12" t="s">
        <v>8</v>
      </c>
      <c r="C232" s="13" t="s">
        <v>122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2">
        <v>0</v>
      </c>
      <c r="J232" s="313">
        <v>0</v>
      </c>
      <c r="K232" s="411">
        <v>0</v>
      </c>
      <c r="L232" s="428">
        <v>0</v>
      </c>
      <c r="M232" s="1" t="s">
        <v>166</v>
      </c>
    </row>
    <row r="233" spans="1:17" ht="18.25" customHeight="1" outlineLevel="2">
      <c r="B233" s="5" t="s">
        <v>2</v>
      </c>
      <c r="C233" s="39" t="s">
        <v>34</v>
      </c>
      <c r="D233" s="7" t="s">
        <v>39</v>
      </c>
      <c r="E233" s="8">
        <v>0</v>
      </c>
      <c r="F233" s="9">
        <v>0</v>
      </c>
      <c r="G233" s="8">
        <v>3</v>
      </c>
      <c r="H233" s="10">
        <v>28829</v>
      </c>
      <c r="I233" s="311">
        <v>1</v>
      </c>
      <c r="J233" s="406">
        <v>1</v>
      </c>
      <c r="K233" s="410">
        <v>1</v>
      </c>
      <c r="L233" s="427"/>
    </row>
    <row r="234" spans="1:17" ht="18.25" customHeight="1" outlineLevel="2">
      <c r="B234" s="5" t="s">
        <v>2</v>
      </c>
      <c r="C234" s="6" t="s">
        <v>35</v>
      </c>
      <c r="D234" s="7" t="s">
        <v>16</v>
      </c>
      <c r="E234" s="8">
        <v>0</v>
      </c>
      <c r="F234" s="9">
        <v>0</v>
      </c>
      <c r="G234" s="8">
        <v>0</v>
      </c>
      <c r="H234" s="10">
        <v>0</v>
      </c>
      <c r="I234" s="311">
        <v>0</v>
      </c>
      <c r="J234" s="406">
        <v>0</v>
      </c>
      <c r="K234" s="410">
        <v>0</v>
      </c>
      <c r="L234" s="427"/>
    </row>
    <row r="235" spans="1:17" ht="18.25" customHeight="1" outlineLevel="1">
      <c r="B235" s="12" t="s">
        <v>2</v>
      </c>
      <c r="C235" s="13" t="s">
        <v>34</v>
      </c>
      <c r="D235" s="14">
        <v>2</v>
      </c>
      <c r="E235" s="15">
        <v>0</v>
      </c>
      <c r="F235" s="16">
        <v>0</v>
      </c>
      <c r="G235" s="15">
        <v>3</v>
      </c>
      <c r="H235" s="17">
        <v>28829</v>
      </c>
      <c r="I235" s="312">
        <v>1</v>
      </c>
      <c r="J235" s="313">
        <v>1</v>
      </c>
      <c r="K235" s="411">
        <v>1</v>
      </c>
      <c r="L235" s="428">
        <v>0</v>
      </c>
      <c r="M235" s="1" t="s">
        <v>50</v>
      </c>
    </row>
    <row r="236" spans="1:17" ht="18.25" customHeight="1" outlineLevel="2">
      <c r="B236" s="5" t="s">
        <v>2</v>
      </c>
      <c r="C236" s="39" t="s">
        <v>644</v>
      </c>
      <c r="D236" s="7" t="s">
        <v>304</v>
      </c>
      <c r="E236" s="8">
        <v>0</v>
      </c>
      <c r="F236" s="9">
        <v>0</v>
      </c>
      <c r="G236" s="8">
        <v>1</v>
      </c>
      <c r="H236" s="10">
        <v>280534</v>
      </c>
      <c r="I236" s="311">
        <v>1</v>
      </c>
      <c r="J236" s="406">
        <v>1</v>
      </c>
      <c r="K236" s="410">
        <v>1</v>
      </c>
      <c r="L236" s="427"/>
    </row>
    <row r="237" spans="1:17" ht="18.25" customHeight="1" outlineLevel="1">
      <c r="B237" s="12" t="s">
        <v>2</v>
      </c>
      <c r="C237" s="13" t="s">
        <v>644</v>
      </c>
      <c r="D237" s="14">
        <v>1</v>
      </c>
      <c r="E237" s="15">
        <v>0</v>
      </c>
      <c r="F237" s="16">
        <v>0</v>
      </c>
      <c r="G237" s="15">
        <v>1</v>
      </c>
      <c r="H237" s="17">
        <v>280534</v>
      </c>
      <c r="I237" s="312">
        <v>1</v>
      </c>
      <c r="J237" s="313">
        <v>1</v>
      </c>
      <c r="K237" s="411">
        <v>1</v>
      </c>
      <c r="L237" s="428">
        <v>0</v>
      </c>
      <c r="M237" s="1" t="s">
        <v>663</v>
      </c>
    </row>
    <row r="238" spans="1:17" ht="18.25" customHeight="1" outlineLevel="2">
      <c r="B238" s="5" t="s">
        <v>2</v>
      </c>
      <c r="C238" s="39" t="s">
        <v>28</v>
      </c>
      <c r="D238" s="7" t="s">
        <v>21</v>
      </c>
      <c r="E238" s="8">
        <v>0</v>
      </c>
      <c r="F238" s="9">
        <v>0</v>
      </c>
      <c r="G238" s="8">
        <v>3</v>
      </c>
      <c r="H238" s="10">
        <v>70199</v>
      </c>
      <c r="I238" s="311">
        <v>1</v>
      </c>
      <c r="J238" s="406">
        <v>1</v>
      </c>
      <c r="K238" s="410">
        <v>1</v>
      </c>
      <c r="L238" s="427"/>
    </row>
    <row r="239" spans="1:17" ht="18.25" customHeight="1" outlineLevel="2">
      <c r="B239" s="5" t="s">
        <v>2</v>
      </c>
      <c r="C239" s="6" t="s">
        <v>29</v>
      </c>
      <c r="D239" s="7" t="s">
        <v>26</v>
      </c>
      <c r="E239" s="8">
        <v>0</v>
      </c>
      <c r="F239" s="9">
        <v>0</v>
      </c>
      <c r="G239" s="8">
        <v>1</v>
      </c>
      <c r="H239" s="10">
        <v>7431</v>
      </c>
      <c r="I239" s="311">
        <v>1</v>
      </c>
      <c r="J239" s="406">
        <v>0</v>
      </c>
      <c r="K239" s="410">
        <v>0</v>
      </c>
      <c r="L239" s="427"/>
    </row>
    <row r="240" spans="1:17" ht="18.25" customHeight="1" outlineLevel="2">
      <c r="B240" s="5" t="s">
        <v>2</v>
      </c>
      <c r="C240" s="6" t="s">
        <v>22</v>
      </c>
      <c r="D240" s="7" t="s">
        <v>26</v>
      </c>
      <c r="E240" s="8">
        <v>0</v>
      </c>
      <c r="F240" s="9">
        <v>0</v>
      </c>
      <c r="G240" s="8">
        <v>1</v>
      </c>
      <c r="H240" s="10">
        <v>11465</v>
      </c>
      <c r="I240" s="311">
        <v>1</v>
      </c>
      <c r="J240" s="406">
        <v>1</v>
      </c>
      <c r="K240" s="410">
        <v>0</v>
      </c>
      <c r="L240" s="427"/>
    </row>
    <row r="241" spans="1:17" ht="18.25" customHeight="1" outlineLevel="1">
      <c r="B241" s="12" t="s">
        <v>2</v>
      </c>
      <c r="C241" s="13" t="s">
        <v>30</v>
      </c>
      <c r="D241" s="14">
        <v>3</v>
      </c>
      <c r="E241" s="15">
        <v>0</v>
      </c>
      <c r="F241" s="16">
        <v>0</v>
      </c>
      <c r="G241" s="15">
        <v>5</v>
      </c>
      <c r="H241" s="17">
        <v>89095</v>
      </c>
      <c r="I241" s="312">
        <v>3</v>
      </c>
      <c r="J241" s="313">
        <v>2</v>
      </c>
      <c r="K241" s="411">
        <v>1</v>
      </c>
      <c r="L241" s="428">
        <v>0</v>
      </c>
      <c r="M241" s="1" t="s">
        <v>170</v>
      </c>
    </row>
    <row r="242" spans="1:17" ht="18.25" customHeight="1" outlineLevel="2">
      <c r="B242" s="5" t="s">
        <v>2</v>
      </c>
      <c r="C242" s="39" t="s">
        <v>316</v>
      </c>
      <c r="D242" s="7" t="s">
        <v>21</v>
      </c>
      <c r="E242" s="8">
        <v>0</v>
      </c>
      <c r="F242" s="9">
        <v>0</v>
      </c>
      <c r="G242" s="8">
        <v>4.5</v>
      </c>
      <c r="H242" s="10">
        <v>15529</v>
      </c>
      <c r="I242" s="311">
        <v>1</v>
      </c>
      <c r="J242" s="406">
        <v>0</v>
      </c>
      <c r="K242" s="410">
        <v>0</v>
      </c>
      <c r="L242" s="427"/>
    </row>
    <row r="243" spans="1:17" ht="18.25" customHeight="1" outlineLevel="2">
      <c r="B243" s="5" t="s">
        <v>2</v>
      </c>
      <c r="C243" s="6" t="s">
        <v>701</v>
      </c>
      <c r="D243" s="7" t="s">
        <v>16</v>
      </c>
      <c r="E243" s="8">
        <v>0</v>
      </c>
      <c r="F243" s="9">
        <v>0</v>
      </c>
      <c r="G243" s="8">
        <v>1.5</v>
      </c>
      <c r="H243" s="10">
        <v>32932</v>
      </c>
      <c r="I243" s="311">
        <v>1</v>
      </c>
      <c r="J243" s="406">
        <v>1</v>
      </c>
      <c r="K243" s="410">
        <v>1</v>
      </c>
      <c r="L243" s="427"/>
    </row>
    <row r="244" spans="1:17" ht="18.25" customHeight="1" outlineLevel="2">
      <c r="B244" s="5" t="s">
        <v>2</v>
      </c>
      <c r="C244" s="6" t="s">
        <v>653</v>
      </c>
      <c r="D244" s="7" t="s">
        <v>16</v>
      </c>
      <c r="E244" s="8">
        <v>0</v>
      </c>
      <c r="F244" s="9">
        <v>0</v>
      </c>
      <c r="G244" s="8">
        <v>1</v>
      </c>
      <c r="H244" s="10">
        <v>22393</v>
      </c>
      <c r="I244" s="311">
        <v>1</v>
      </c>
      <c r="J244" s="406">
        <v>1</v>
      </c>
      <c r="K244" s="410">
        <v>0</v>
      </c>
      <c r="L244" s="427"/>
    </row>
    <row r="245" spans="1:17" s="1" customFormat="1" ht="18.25" customHeight="1" outlineLevel="2">
      <c r="A245" s="571"/>
      <c r="B245" s="5" t="s">
        <v>2</v>
      </c>
      <c r="C245" s="6" t="s">
        <v>563</v>
      </c>
      <c r="D245" s="7" t="s">
        <v>16</v>
      </c>
      <c r="E245" s="8">
        <v>0</v>
      </c>
      <c r="F245" s="9">
        <v>0</v>
      </c>
      <c r="G245" s="8">
        <v>2</v>
      </c>
      <c r="H245" s="10">
        <v>8602</v>
      </c>
      <c r="I245" s="311">
        <v>1</v>
      </c>
      <c r="J245" s="406">
        <v>0</v>
      </c>
      <c r="K245" s="410">
        <v>0</v>
      </c>
      <c r="L245" s="427"/>
      <c r="O245"/>
      <c r="P245"/>
      <c r="Q245"/>
    </row>
    <row r="246" spans="1:17" s="1" customFormat="1" ht="18.25" customHeight="1" outlineLevel="1">
      <c r="A246" s="571"/>
      <c r="B246" s="12" t="s">
        <v>2</v>
      </c>
      <c r="C246" s="13" t="s">
        <v>316</v>
      </c>
      <c r="D246" s="14">
        <v>4</v>
      </c>
      <c r="E246" s="15">
        <v>0</v>
      </c>
      <c r="F246" s="16">
        <v>0</v>
      </c>
      <c r="G246" s="15">
        <v>9</v>
      </c>
      <c r="H246" s="17">
        <v>79456</v>
      </c>
      <c r="I246" s="312">
        <v>4</v>
      </c>
      <c r="J246" s="313">
        <v>2</v>
      </c>
      <c r="K246" s="411">
        <v>1</v>
      </c>
      <c r="L246" s="428">
        <v>0</v>
      </c>
      <c r="M246" s="1" t="s">
        <v>170</v>
      </c>
      <c r="O246"/>
      <c r="P246"/>
      <c r="Q246"/>
    </row>
    <row r="247" spans="1:17" s="1" customFormat="1" ht="18.25" customHeight="1" outlineLevel="2">
      <c r="A247" s="571"/>
      <c r="B247" s="5" t="s">
        <v>2</v>
      </c>
      <c r="C247" s="39" t="s">
        <v>23</v>
      </c>
      <c r="D247" s="7" t="s">
        <v>24</v>
      </c>
      <c r="E247" s="8">
        <v>0</v>
      </c>
      <c r="F247" s="9">
        <v>0</v>
      </c>
      <c r="G247" s="8">
        <v>0.5</v>
      </c>
      <c r="H247" s="10">
        <v>15594</v>
      </c>
      <c r="I247" s="311">
        <v>1</v>
      </c>
      <c r="J247" s="406">
        <v>0</v>
      </c>
      <c r="K247" s="410">
        <v>0</v>
      </c>
      <c r="L247" s="427"/>
      <c r="O247"/>
      <c r="P247"/>
      <c r="Q247"/>
    </row>
    <row r="248" spans="1:17" s="1" customFormat="1" ht="18.25" customHeight="1" outlineLevel="2">
      <c r="A248" s="571"/>
      <c r="B248" s="5" t="s">
        <v>2</v>
      </c>
      <c r="C248" s="6" t="s">
        <v>25</v>
      </c>
      <c r="D248" s="7" t="s">
        <v>16</v>
      </c>
      <c r="E248" s="8">
        <v>0</v>
      </c>
      <c r="F248" s="9">
        <v>0</v>
      </c>
      <c r="G248" s="8">
        <v>1</v>
      </c>
      <c r="H248" s="10">
        <v>1574</v>
      </c>
      <c r="I248" s="311">
        <v>1</v>
      </c>
      <c r="J248" s="406">
        <v>0</v>
      </c>
      <c r="K248" s="410">
        <v>0</v>
      </c>
      <c r="L248" s="427"/>
      <c r="O248"/>
      <c r="P248"/>
      <c r="Q248"/>
    </row>
    <row r="249" spans="1:17" s="1" customFormat="1" ht="18.25" customHeight="1" outlineLevel="1">
      <c r="A249" s="571"/>
      <c r="B249" s="12" t="s">
        <v>2</v>
      </c>
      <c r="C249" s="13" t="s">
        <v>23</v>
      </c>
      <c r="D249" s="14">
        <v>2</v>
      </c>
      <c r="E249" s="15">
        <v>0</v>
      </c>
      <c r="F249" s="16">
        <v>0</v>
      </c>
      <c r="G249" s="15">
        <v>1.5</v>
      </c>
      <c r="H249" s="17">
        <v>17168</v>
      </c>
      <c r="I249" s="312">
        <v>2</v>
      </c>
      <c r="J249" s="313">
        <v>0</v>
      </c>
      <c r="K249" s="411">
        <v>0</v>
      </c>
      <c r="L249" s="428">
        <v>0</v>
      </c>
      <c r="M249" s="1" t="s">
        <v>168</v>
      </c>
      <c r="O249"/>
      <c r="P249"/>
      <c r="Q249"/>
    </row>
    <row r="250" spans="1:17" s="1" customFormat="1" ht="18.25" customHeight="1" outlineLevel="2">
      <c r="A250" s="571"/>
      <c r="B250" s="5" t="s">
        <v>2</v>
      </c>
      <c r="C250" s="39" t="s">
        <v>810</v>
      </c>
      <c r="D250" s="7" t="s">
        <v>304</v>
      </c>
      <c r="E250" s="8">
        <v>0</v>
      </c>
      <c r="F250" s="9">
        <v>0</v>
      </c>
      <c r="G250" s="8">
        <v>2.5</v>
      </c>
      <c r="H250" s="10">
        <v>60391</v>
      </c>
      <c r="I250" s="311">
        <v>1</v>
      </c>
      <c r="J250" s="406">
        <v>1</v>
      </c>
      <c r="K250" s="410">
        <v>1</v>
      </c>
      <c r="L250" s="427"/>
      <c r="O250"/>
      <c r="P250"/>
      <c r="Q250"/>
    </row>
    <row r="251" spans="1:17" s="1" customFormat="1" ht="18.25" customHeight="1" outlineLevel="1">
      <c r="A251" s="571"/>
      <c r="B251" s="12" t="s">
        <v>2</v>
      </c>
      <c r="C251" s="13" t="s">
        <v>810</v>
      </c>
      <c r="D251" s="14">
        <v>1</v>
      </c>
      <c r="E251" s="15">
        <v>0</v>
      </c>
      <c r="F251" s="16">
        <v>0</v>
      </c>
      <c r="G251" s="15">
        <v>2.5</v>
      </c>
      <c r="H251" s="17">
        <v>60391</v>
      </c>
      <c r="I251" s="312">
        <v>1</v>
      </c>
      <c r="J251" s="313">
        <v>1</v>
      </c>
      <c r="K251" s="411">
        <v>1</v>
      </c>
      <c r="L251" s="428">
        <v>0</v>
      </c>
      <c r="M251" s="1" t="s">
        <v>663</v>
      </c>
      <c r="O251"/>
      <c r="P251"/>
      <c r="Q251"/>
    </row>
    <row r="252" spans="1:17" s="1" customFormat="1" ht="18.25" customHeight="1" outlineLevel="2">
      <c r="A252" s="571"/>
      <c r="B252" s="5" t="s">
        <v>8</v>
      </c>
      <c r="C252" s="6" t="s">
        <v>272</v>
      </c>
      <c r="D252" s="7" t="s">
        <v>477</v>
      </c>
      <c r="E252" s="8">
        <v>0</v>
      </c>
      <c r="F252" s="9">
        <v>0</v>
      </c>
      <c r="G252" s="8">
        <v>2</v>
      </c>
      <c r="H252" s="10">
        <v>28800</v>
      </c>
      <c r="I252" s="311">
        <v>1</v>
      </c>
      <c r="J252" s="406">
        <v>1</v>
      </c>
      <c r="K252" s="410">
        <v>1</v>
      </c>
      <c r="L252" s="427"/>
      <c r="O252"/>
      <c r="P252"/>
      <c r="Q252"/>
    </row>
    <row r="253" spans="1:17" s="1" customFormat="1" ht="18.25" customHeight="1" outlineLevel="1">
      <c r="A253" s="571"/>
      <c r="B253" s="12" t="s">
        <v>8</v>
      </c>
      <c r="C253" s="13" t="s">
        <v>272</v>
      </c>
      <c r="D253" s="14">
        <v>1</v>
      </c>
      <c r="E253" s="15">
        <v>0</v>
      </c>
      <c r="F253" s="16">
        <v>0</v>
      </c>
      <c r="G253" s="15">
        <v>2</v>
      </c>
      <c r="H253" s="17">
        <v>28800</v>
      </c>
      <c r="I253" s="312">
        <v>1</v>
      </c>
      <c r="J253" s="313">
        <v>1</v>
      </c>
      <c r="K253" s="411">
        <v>1</v>
      </c>
      <c r="L253" s="428">
        <v>0</v>
      </c>
      <c r="M253" s="1" t="s">
        <v>662</v>
      </c>
      <c r="O253"/>
      <c r="P253"/>
      <c r="Q253"/>
    </row>
    <row r="254" spans="1:17" s="1" customFormat="1" ht="18.25" customHeight="1" outlineLevel="2">
      <c r="A254" s="571"/>
      <c r="B254" s="5" t="s">
        <v>2</v>
      </c>
      <c r="C254" s="6" t="s">
        <v>273</v>
      </c>
      <c r="D254" s="7" t="s">
        <v>477</v>
      </c>
      <c r="E254" s="8">
        <v>0</v>
      </c>
      <c r="F254" s="9">
        <v>0</v>
      </c>
      <c r="G254" s="8">
        <v>4</v>
      </c>
      <c r="H254" s="10">
        <v>30083</v>
      </c>
      <c r="I254" s="311">
        <v>1</v>
      </c>
      <c r="J254" s="406">
        <v>1</v>
      </c>
      <c r="K254" s="410">
        <v>1</v>
      </c>
      <c r="L254" s="427"/>
      <c r="O254"/>
      <c r="P254"/>
      <c r="Q254"/>
    </row>
    <row r="255" spans="1:17" s="1" customFormat="1" ht="18.25" customHeight="1" outlineLevel="1">
      <c r="A255" s="571"/>
      <c r="B255" s="12" t="s">
        <v>8</v>
      </c>
      <c r="C255" s="13" t="s">
        <v>353</v>
      </c>
      <c r="D255" s="14">
        <v>1</v>
      </c>
      <c r="E255" s="15">
        <v>0</v>
      </c>
      <c r="F255" s="16">
        <v>0</v>
      </c>
      <c r="G255" s="15">
        <v>4</v>
      </c>
      <c r="H255" s="17">
        <v>30083</v>
      </c>
      <c r="I255" s="312">
        <v>1</v>
      </c>
      <c r="J255" s="313">
        <v>1</v>
      </c>
      <c r="K255" s="411">
        <v>1</v>
      </c>
      <c r="L255" s="428">
        <v>0</v>
      </c>
      <c r="M255" s="1" t="s">
        <v>662</v>
      </c>
      <c r="O255"/>
      <c r="P255"/>
      <c r="Q255"/>
    </row>
    <row r="256" spans="1:17" s="1" customFormat="1" ht="18.25" customHeight="1" outlineLevel="2">
      <c r="A256" s="571"/>
      <c r="B256" s="5" t="s">
        <v>2</v>
      </c>
      <c r="C256" s="6" t="s">
        <v>123</v>
      </c>
      <c r="D256" s="7" t="s">
        <v>219</v>
      </c>
      <c r="E256" s="8">
        <v>0</v>
      </c>
      <c r="F256" s="9">
        <v>0</v>
      </c>
      <c r="G256" s="8">
        <v>0</v>
      </c>
      <c r="H256" s="10">
        <v>0</v>
      </c>
      <c r="I256" s="311">
        <v>0</v>
      </c>
      <c r="J256" s="406">
        <v>0</v>
      </c>
      <c r="K256" s="410">
        <v>0</v>
      </c>
      <c r="L256" s="427"/>
      <c r="O256"/>
      <c r="P256"/>
      <c r="Q256"/>
    </row>
    <row r="257" spans="1:17" s="1" customFormat="1" ht="18.25" customHeight="1" outlineLevel="2">
      <c r="A257" s="571"/>
      <c r="B257" s="5" t="s">
        <v>249</v>
      </c>
      <c r="C257" s="6" t="s">
        <v>517</v>
      </c>
      <c r="D257" s="7" t="s">
        <v>187</v>
      </c>
      <c r="E257" s="8">
        <v>0</v>
      </c>
      <c r="F257" s="9">
        <v>0</v>
      </c>
      <c r="G257" s="8">
        <v>1</v>
      </c>
      <c r="H257" s="10">
        <v>22306</v>
      </c>
      <c r="I257" s="311">
        <v>1</v>
      </c>
      <c r="J257" s="406">
        <v>1</v>
      </c>
      <c r="K257" s="410">
        <v>0</v>
      </c>
      <c r="L257" s="427"/>
      <c r="O257"/>
      <c r="P257"/>
      <c r="Q257"/>
    </row>
    <row r="258" spans="1:17" s="1" customFormat="1" ht="18.25" customHeight="1" outlineLevel="2">
      <c r="A258" s="571"/>
      <c r="B258" s="5" t="s">
        <v>249</v>
      </c>
      <c r="C258" s="6" t="s">
        <v>722</v>
      </c>
      <c r="D258" s="7" t="s">
        <v>187</v>
      </c>
      <c r="E258" s="8">
        <v>0</v>
      </c>
      <c r="F258" s="9">
        <v>0</v>
      </c>
      <c r="G258" s="8">
        <v>1</v>
      </c>
      <c r="H258" s="10">
        <v>29379</v>
      </c>
      <c r="I258" s="311">
        <v>1</v>
      </c>
      <c r="J258" s="406">
        <v>1</v>
      </c>
      <c r="K258" s="410">
        <v>1</v>
      </c>
      <c r="L258" s="427"/>
      <c r="O258"/>
      <c r="P258"/>
      <c r="Q258"/>
    </row>
    <row r="259" spans="1:17" s="1" customFormat="1" ht="18.25" customHeight="1" outlineLevel="2">
      <c r="A259" s="571"/>
      <c r="B259" s="5" t="s">
        <v>249</v>
      </c>
      <c r="C259" s="6" t="s">
        <v>374</v>
      </c>
      <c r="D259" s="7" t="s">
        <v>187</v>
      </c>
      <c r="E259" s="8">
        <v>0</v>
      </c>
      <c r="F259" s="9">
        <v>0</v>
      </c>
      <c r="G259" s="8">
        <v>0</v>
      </c>
      <c r="H259" s="10">
        <v>0</v>
      </c>
      <c r="I259" s="311">
        <v>0</v>
      </c>
      <c r="J259" s="406">
        <v>0</v>
      </c>
      <c r="K259" s="410">
        <v>0</v>
      </c>
      <c r="L259" s="427"/>
      <c r="O259"/>
      <c r="P259"/>
      <c r="Q259"/>
    </row>
    <row r="260" spans="1:17" s="1" customFormat="1" ht="18.25" customHeight="1" outlineLevel="2">
      <c r="A260" s="571"/>
      <c r="B260" s="5" t="s">
        <v>2</v>
      </c>
      <c r="C260" s="39" t="s">
        <v>638</v>
      </c>
      <c r="D260" s="7" t="s">
        <v>187</v>
      </c>
      <c r="E260" s="8">
        <v>0</v>
      </c>
      <c r="F260" s="9">
        <v>0</v>
      </c>
      <c r="G260" s="8">
        <v>1</v>
      </c>
      <c r="H260" s="10">
        <v>15254</v>
      </c>
      <c r="I260" s="311">
        <v>1</v>
      </c>
      <c r="J260" s="406">
        <v>1</v>
      </c>
      <c r="K260" s="410">
        <v>0</v>
      </c>
      <c r="L260" s="427"/>
      <c r="O260"/>
      <c r="P260"/>
      <c r="Q260"/>
    </row>
    <row r="261" spans="1:17" s="1" customFormat="1" ht="18.25" customHeight="1" outlineLevel="1">
      <c r="A261" s="571"/>
      <c r="B261" s="12" t="s">
        <v>8</v>
      </c>
      <c r="C261" s="13" t="s">
        <v>212</v>
      </c>
      <c r="D261" s="14">
        <v>5</v>
      </c>
      <c r="E261" s="15">
        <v>0</v>
      </c>
      <c r="F261" s="16">
        <v>0</v>
      </c>
      <c r="G261" s="15">
        <v>3</v>
      </c>
      <c r="H261" s="17">
        <v>66939</v>
      </c>
      <c r="I261" s="312">
        <v>3</v>
      </c>
      <c r="J261" s="313">
        <v>3</v>
      </c>
      <c r="K261" s="411">
        <v>1</v>
      </c>
      <c r="L261" s="428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71"/>
      <c r="B262" s="5" t="s">
        <v>8</v>
      </c>
      <c r="C262" s="6" t="s">
        <v>124</v>
      </c>
      <c r="D262" s="7" t="s">
        <v>46</v>
      </c>
      <c r="E262" s="8">
        <v>0</v>
      </c>
      <c r="F262" s="9">
        <v>0</v>
      </c>
      <c r="G262" s="8">
        <v>0</v>
      </c>
      <c r="H262" s="10">
        <v>0</v>
      </c>
      <c r="I262" s="311">
        <v>0</v>
      </c>
      <c r="J262" s="406">
        <v>0</v>
      </c>
      <c r="K262" s="410">
        <v>0</v>
      </c>
      <c r="L262" s="427"/>
      <c r="O262"/>
      <c r="P262"/>
      <c r="Q262"/>
    </row>
    <row r="263" spans="1:17" s="1" customFormat="1" ht="18.25" customHeight="1" outlineLevel="2">
      <c r="A263" s="571"/>
      <c r="B263" s="5" t="s">
        <v>8</v>
      </c>
      <c r="C263" s="39" t="s">
        <v>878</v>
      </c>
      <c r="D263" s="23" t="s">
        <v>16</v>
      </c>
      <c r="E263" s="8">
        <v>0</v>
      </c>
      <c r="F263" s="9">
        <v>0</v>
      </c>
      <c r="G263" s="8">
        <v>1</v>
      </c>
      <c r="H263" s="10">
        <v>10569</v>
      </c>
      <c r="I263" s="311">
        <v>1</v>
      </c>
      <c r="J263" s="406">
        <v>1</v>
      </c>
      <c r="K263" s="410">
        <v>0</v>
      </c>
      <c r="L263" s="427"/>
      <c r="O263"/>
      <c r="P263"/>
      <c r="Q263"/>
    </row>
    <row r="264" spans="1:17" s="1" customFormat="1" ht="18.25" customHeight="1" outlineLevel="2">
      <c r="A264" s="571"/>
      <c r="B264" s="5" t="s">
        <v>8</v>
      </c>
      <c r="C264" s="39" t="s">
        <v>684</v>
      </c>
      <c r="D264" s="23" t="s">
        <v>16</v>
      </c>
      <c r="E264" s="8">
        <v>0</v>
      </c>
      <c r="F264" s="9">
        <v>0</v>
      </c>
      <c r="G264" s="8">
        <v>3</v>
      </c>
      <c r="H264" s="10">
        <v>21823</v>
      </c>
      <c r="I264" s="311">
        <v>1</v>
      </c>
      <c r="J264" s="406">
        <v>1</v>
      </c>
      <c r="K264" s="410">
        <v>0</v>
      </c>
      <c r="L264" s="427"/>
      <c r="O264"/>
      <c r="P264"/>
      <c r="Q264"/>
    </row>
    <row r="265" spans="1:17" s="1" customFormat="1" ht="18.25" customHeight="1" outlineLevel="2">
      <c r="A265" s="571"/>
      <c r="B265" s="5" t="s">
        <v>8</v>
      </c>
      <c r="C265" s="39" t="s">
        <v>649</v>
      </c>
      <c r="D265" s="23" t="s">
        <v>16</v>
      </c>
      <c r="E265" s="8">
        <v>0</v>
      </c>
      <c r="F265" s="9">
        <v>0</v>
      </c>
      <c r="G265" s="8">
        <v>1</v>
      </c>
      <c r="H265" s="10">
        <v>29117</v>
      </c>
      <c r="I265" s="311">
        <v>1</v>
      </c>
      <c r="J265" s="406">
        <v>1</v>
      </c>
      <c r="K265" s="410">
        <v>1</v>
      </c>
      <c r="L265" s="427"/>
      <c r="O265"/>
      <c r="P265"/>
      <c r="Q265"/>
    </row>
    <row r="266" spans="1:17" s="1" customFormat="1" ht="18.25" customHeight="1" outlineLevel="1">
      <c r="A266" s="571"/>
      <c r="B266" s="12" t="s">
        <v>8</v>
      </c>
      <c r="C266" s="13" t="s">
        <v>124</v>
      </c>
      <c r="D266" s="14">
        <v>4</v>
      </c>
      <c r="E266" s="15">
        <v>0</v>
      </c>
      <c r="F266" s="16">
        <v>0</v>
      </c>
      <c r="G266" s="15">
        <v>5</v>
      </c>
      <c r="H266" s="17">
        <v>61509</v>
      </c>
      <c r="I266" s="312">
        <v>3</v>
      </c>
      <c r="J266" s="313">
        <v>3</v>
      </c>
      <c r="K266" s="411">
        <v>1</v>
      </c>
      <c r="L266" s="428">
        <v>0</v>
      </c>
      <c r="M266" s="1" t="s">
        <v>50</v>
      </c>
      <c r="O266"/>
      <c r="P266"/>
      <c r="Q266"/>
    </row>
    <row r="267" spans="1:17" s="1" customFormat="1" ht="18.25" customHeight="1" outlineLevel="2">
      <c r="A267" s="571"/>
      <c r="B267" s="5" t="s">
        <v>8</v>
      </c>
      <c r="C267" s="6" t="s">
        <v>125</v>
      </c>
      <c r="D267" s="7" t="s">
        <v>19</v>
      </c>
      <c r="E267" s="8">
        <v>0</v>
      </c>
      <c r="F267" s="9">
        <v>0</v>
      </c>
      <c r="G267" s="8">
        <v>0</v>
      </c>
      <c r="H267" s="10">
        <v>0</v>
      </c>
      <c r="I267" s="311">
        <v>0</v>
      </c>
      <c r="J267" s="406">
        <v>0</v>
      </c>
      <c r="K267" s="410">
        <v>0</v>
      </c>
      <c r="L267" s="427"/>
      <c r="O267"/>
      <c r="P267"/>
      <c r="Q267"/>
    </row>
    <row r="268" spans="1:17" s="1" customFormat="1" ht="18.25" customHeight="1" outlineLevel="2">
      <c r="A268" s="571"/>
      <c r="B268" s="5" t="s">
        <v>8</v>
      </c>
      <c r="C268" s="6" t="s">
        <v>126</v>
      </c>
      <c r="D268" s="7" t="s">
        <v>16</v>
      </c>
      <c r="E268" s="8">
        <v>0</v>
      </c>
      <c r="F268" s="9">
        <v>0</v>
      </c>
      <c r="G268" s="8">
        <v>2</v>
      </c>
      <c r="H268" s="10">
        <v>10662</v>
      </c>
      <c r="I268" s="311">
        <v>1</v>
      </c>
      <c r="J268" s="406">
        <v>1</v>
      </c>
      <c r="K268" s="410">
        <v>0</v>
      </c>
      <c r="L268" s="427"/>
      <c r="O268"/>
      <c r="P268"/>
      <c r="Q268"/>
    </row>
    <row r="269" spans="1:17" s="1" customFormat="1" ht="18.25" customHeight="1" outlineLevel="2">
      <c r="A269" s="571"/>
      <c r="B269" s="5" t="s">
        <v>8</v>
      </c>
      <c r="C269" s="6" t="s">
        <v>692</v>
      </c>
      <c r="D269" s="7" t="s">
        <v>16</v>
      </c>
      <c r="E269" s="8">
        <v>0</v>
      </c>
      <c r="F269" s="9">
        <v>0</v>
      </c>
      <c r="G269" s="8">
        <v>1</v>
      </c>
      <c r="H269" s="10">
        <v>5563</v>
      </c>
      <c r="I269" s="311">
        <v>1</v>
      </c>
      <c r="J269" s="406">
        <v>0</v>
      </c>
      <c r="K269" s="410">
        <v>0</v>
      </c>
      <c r="L269" s="427"/>
      <c r="O269"/>
      <c r="P269"/>
      <c r="Q269"/>
    </row>
    <row r="270" spans="1:17" s="1" customFormat="1" ht="18.25" customHeight="1" outlineLevel="1">
      <c r="A270" s="571"/>
      <c r="B270" s="12" t="s">
        <v>8</v>
      </c>
      <c r="C270" s="13" t="s">
        <v>125</v>
      </c>
      <c r="D270" s="14">
        <v>3</v>
      </c>
      <c r="E270" s="15">
        <v>0</v>
      </c>
      <c r="F270" s="16">
        <v>0</v>
      </c>
      <c r="G270" s="15">
        <v>3</v>
      </c>
      <c r="H270" s="17">
        <v>16225</v>
      </c>
      <c r="I270" s="312">
        <v>2</v>
      </c>
      <c r="J270" s="313">
        <v>1</v>
      </c>
      <c r="K270" s="411">
        <v>0</v>
      </c>
      <c r="L270" s="428">
        <v>0</v>
      </c>
      <c r="M270" s="1" t="s">
        <v>168</v>
      </c>
      <c r="O270"/>
      <c r="P270"/>
      <c r="Q270"/>
    </row>
    <row r="271" spans="1:17" s="1" customFormat="1" ht="18.25" customHeight="1" outlineLevel="2">
      <c r="A271" s="571"/>
      <c r="B271" s="5" t="s">
        <v>8</v>
      </c>
      <c r="C271" s="39" t="s">
        <v>812</v>
      </c>
      <c r="D271" s="23" t="s">
        <v>219</v>
      </c>
      <c r="E271" s="42">
        <v>0</v>
      </c>
      <c r="F271" s="43">
        <v>0</v>
      </c>
      <c r="G271" s="42">
        <v>7</v>
      </c>
      <c r="H271" s="44">
        <v>142905</v>
      </c>
      <c r="I271" s="311">
        <v>1</v>
      </c>
      <c r="J271" s="406">
        <v>1</v>
      </c>
      <c r="K271" s="410">
        <v>1</v>
      </c>
      <c r="L271" s="427"/>
      <c r="O271"/>
      <c r="P271"/>
      <c r="Q271"/>
    </row>
    <row r="272" spans="1:17" s="1" customFormat="1" ht="18.25" customHeight="1" outlineLevel="2">
      <c r="A272" s="571"/>
      <c r="B272" s="5" t="s">
        <v>2</v>
      </c>
      <c r="C272" s="39" t="s">
        <v>803</v>
      </c>
      <c r="D272" s="23" t="s">
        <v>26</v>
      </c>
      <c r="E272" s="8">
        <v>0</v>
      </c>
      <c r="F272" s="9">
        <v>0</v>
      </c>
      <c r="G272" s="8">
        <v>0</v>
      </c>
      <c r="H272" s="10">
        <v>0</v>
      </c>
      <c r="I272" s="311">
        <v>0</v>
      </c>
      <c r="J272" s="406">
        <v>0</v>
      </c>
      <c r="K272" s="410">
        <v>0</v>
      </c>
      <c r="L272" s="427"/>
      <c r="O272"/>
      <c r="P272"/>
      <c r="Q272"/>
    </row>
    <row r="273" spans="1:17" s="1" customFormat="1" ht="18.25" customHeight="1" outlineLevel="2">
      <c r="A273" s="571"/>
      <c r="B273" s="5" t="s">
        <v>2</v>
      </c>
      <c r="C273" s="6" t="s">
        <v>377</v>
      </c>
      <c r="D273" s="7" t="s">
        <v>26</v>
      </c>
      <c r="E273" s="8">
        <v>0</v>
      </c>
      <c r="F273" s="9">
        <v>0</v>
      </c>
      <c r="G273" s="8">
        <v>2</v>
      </c>
      <c r="H273" s="10">
        <v>25524</v>
      </c>
      <c r="I273" s="311">
        <v>1</v>
      </c>
      <c r="J273" s="406">
        <v>1</v>
      </c>
      <c r="K273" s="410">
        <v>1</v>
      </c>
      <c r="L273" s="427"/>
      <c r="O273"/>
      <c r="P273"/>
      <c r="Q273"/>
    </row>
    <row r="274" spans="1:17" s="1" customFormat="1" ht="18.25" customHeight="1" outlineLevel="1">
      <c r="A274" s="571"/>
      <c r="B274" s="12" t="s">
        <v>8</v>
      </c>
      <c r="C274" s="13" t="s">
        <v>224</v>
      </c>
      <c r="D274" s="14">
        <v>3</v>
      </c>
      <c r="E274" s="15">
        <v>0</v>
      </c>
      <c r="F274" s="16">
        <v>0</v>
      </c>
      <c r="G274" s="15">
        <v>9</v>
      </c>
      <c r="H274" s="17">
        <v>168429</v>
      </c>
      <c r="I274" s="312">
        <v>2</v>
      </c>
      <c r="J274" s="313">
        <v>2</v>
      </c>
      <c r="K274" s="411">
        <v>2</v>
      </c>
      <c r="L274" s="428">
        <v>0</v>
      </c>
      <c r="M274" s="1" t="s">
        <v>50</v>
      </c>
      <c r="O274"/>
      <c r="P274"/>
      <c r="Q274"/>
    </row>
    <row r="275" spans="1:17" s="1" customFormat="1" ht="18.25" customHeight="1" outlineLevel="2">
      <c r="A275" s="571"/>
      <c r="B275" s="5" t="s">
        <v>8</v>
      </c>
      <c r="C275" s="18" t="s">
        <v>127</v>
      </c>
      <c r="D275" s="19" t="s">
        <v>39</v>
      </c>
      <c r="E275" s="8">
        <v>0</v>
      </c>
      <c r="F275" s="9">
        <v>0</v>
      </c>
      <c r="G275" s="8">
        <v>0</v>
      </c>
      <c r="H275" s="10">
        <v>0</v>
      </c>
      <c r="I275" s="311">
        <v>0</v>
      </c>
      <c r="J275" s="406">
        <v>0</v>
      </c>
      <c r="K275" s="410">
        <v>0</v>
      </c>
      <c r="L275" s="427"/>
      <c r="O275"/>
      <c r="P275"/>
      <c r="Q275"/>
    </row>
    <row r="276" spans="1:17" ht="18.25" customHeight="1" outlineLevel="2">
      <c r="B276" s="5" t="s">
        <v>8</v>
      </c>
      <c r="C276" s="6" t="s">
        <v>128</v>
      </c>
      <c r="D276" s="7" t="s">
        <v>16</v>
      </c>
      <c r="E276" s="8">
        <v>0</v>
      </c>
      <c r="F276" s="9">
        <v>0</v>
      </c>
      <c r="G276" s="8">
        <v>2</v>
      </c>
      <c r="H276" s="10">
        <v>5745</v>
      </c>
      <c r="I276" s="311">
        <v>1</v>
      </c>
      <c r="J276" s="406">
        <v>0</v>
      </c>
      <c r="K276" s="410">
        <v>0</v>
      </c>
      <c r="L276" s="427"/>
    </row>
    <row r="277" spans="1:17" s="66" customFormat="1" ht="18.25" customHeight="1" outlineLevel="1">
      <c r="A277" s="572"/>
      <c r="B277" s="47" t="s">
        <v>8</v>
      </c>
      <c r="C277" s="62" t="s">
        <v>127</v>
      </c>
      <c r="D277" s="26">
        <v>2</v>
      </c>
      <c r="E277" s="63">
        <v>0</v>
      </c>
      <c r="F277" s="64">
        <v>0</v>
      </c>
      <c r="G277" s="63">
        <v>2</v>
      </c>
      <c r="H277" s="65">
        <v>5745</v>
      </c>
      <c r="I277" s="317">
        <v>1</v>
      </c>
      <c r="J277" s="318">
        <v>0</v>
      </c>
      <c r="K277" s="413">
        <v>0</v>
      </c>
      <c r="L277" s="430">
        <v>0</v>
      </c>
      <c r="M277" s="250" t="s">
        <v>50</v>
      </c>
      <c r="N277" s="250"/>
    </row>
    <row r="278" spans="1:17" ht="18.25" customHeight="1" outlineLevel="2">
      <c r="B278" s="5" t="s">
        <v>8</v>
      </c>
      <c r="C278" s="6" t="s">
        <v>474</v>
      </c>
      <c r="D278" s="7" t="s">
        <v>238</v>
      </c>
      <c r="E278" s="8">
        <v>0</v>
      </c>
      <c r="F278" s="9">
        <v>0</v>
      </c>
      <c r="G278" s="8">
        <v>0</v>
      </c>
      <c r="H278" s="10">
        <v>0</v>
      </c>
      <c r="I278" s="311">
        <v>0</v>
      </c>
      <c r="J278" s="406">
        <v>0</v>
      </c>
      <c r="K278" s="410">
        <v>0</v>
      </c>
      <c r="L278" s="427"/>
    </row>
    <row r="279" spans="1:17" ht="18.25" customHeight="1" outlineLevel="2">
      <c r="B279" s="5" t="s">
        <v>8</v>
      </c>
      <c r="C279" s="39" t="s">
        <v>508</v>
      </c>
      <c r="D279" s="7" t="s">
        <v>187</v>
      </c>
      <c r="E279" s="8">
        <v>0</v>
      </c>
      <c r="F279" s="9">
        <v>0</v>
      </c>
      <c r="G279" s="8">
        <v>11</v>
      </c>
      <c r="H279" s="10">
        <v>327976</v>
      </c>
      <c r="I279" s="311">
        <v>1</v>
      </c>
      <c r="J279" s="406">
        <v>1</v>
      </c>
      <c r="K279" s="410">
        <v>1</v>
      </c>
      <c r="L279" s="427"/>
    </row>
    <row r="280" spans="1:17" s="66" customFormat="1" ht="18.25" customHeight="1" outlineLevel="1">
      <c r="A280" s="572"/>
      <c r="B280" s="47" t="s">
        <v>8</v>
      </c>
      <c r="C280" s="62" t="s">
        <v>474</v>
      </c>
      <c r="D280" s="26">
        <v>2</v>
      </c>
      <c r="E280" s="63">
        <v>0</v>
      </c>
      <c r="F280" s="64">
        <v>0</v>
      </c>
      <c r="G280" s="63">
        <v>11</v>
      </c>
      <c r="H280" s="65">
        <v>327976</v>
      </c>
      <c r="I280" s="317">
        <v>1</v>
      </c>
      <c r="J280" s="318">
        <v>1</v>
      </c>
      <c r="K280" s="413">
        <v>1</v>
      </c>
      <c r="L280" s="430">
        <v>0</v>
      </c>
      <c r="M280" s="250" t="s">
        <v>170</v>
      </c>
      <c r="N280" s="250"/>
    </row>
    <row r="281" spans="1:17" ht="18.25" customHeight="1" outlineLevel="2">
      <c r="B281" s="5" t="s">
        <v>8</v>
      </c>
      <c r="C281" s="6" t="s">
        <v>288</v>
      </c>
      <c r="D281" s="7" t="s">
        <v>235</v>
      </c>
      <c r="E281" s="8">
        <v>0</v>
      </c>
      <c r="F281" s="9">
        <v>0</v>
      </c>
      <c r="G281" s="8">
        <v>6</v>
      </c>
      <c r="H281" s="10">
        <v>37632</v>
      </c>
      <c r="I281" s="311">
        <v>1</v>
      </c>
      <c r="J281" s="406">
        <v>1</v>
      </c>
      <c r="K281" s="410">
        <v>1</v>
      </c>
      <c r="L281" s="427"/>
    </row>
    <row r="282" spans="1:17" s="66" customFormat="1" ht="18.25" customHeight="1" outlineLevel="1">
      <c r="A282" s="572"/>
      <c r="B282" s="47" t="s">
        <v>8</v>
      </c>
      <c r="C282" s="62" t="s">
        <v>288</v>
      </c>
      <c r="D282" s="26">
        <v>1</v>
      </c>
      <c r="E282" s="63">
        <v>0</v>
      </c>
      <c r="F282" s="64">
        <v>0</v>
      </c>
      <c r="G282" s="63">
        <v>6</v>
      </c>
      <c r="H282" s="65">
        <v>37632</v>
      </c>
      <c r="I282" s="317">
        <v>1</v>
      </c>
      <c r="J282" s="318">
        <v>1</v>
      </c>
      <c r="K282" s="413">
        <v>1</v>
      </c>
      <c r="L282" s="430">
        <v>0</v>
      </c>
      <c r="M282" s="250" t="s">
        <v>662</v>
      </c>
      <c r="N282" s="250"/>
    </row>
    <row r="283" spans="1:17" ht="18.25" customHeight="1" outlineLevel="2">
      <c r="B283" s="5" t="s">
        <v>8</v>
      </c>
      <c r="C283" s="6" t="s">
        <v>274</v>
      </c>
      <c r="D283" s="7" t="s">
        <v>24</v>
      </c>
      <c r="E283" s="8">
        <v>0</v>
      </c>
      <c r="F283" s="9">
        <v>0</v>
      </c>
      <c r="G283" s="8">
        <v>0</v>
      </c>
      <c r="H283" s="10">
        <v>0</v>
      </c>
      <c r="I283" s="311">
        <v>0</v>
      </c>
      <c r="J283" s="406">
        <v>0</v>
      </c>
      <c r="K283" s="410">
        <v>0</v>
      </c>
      <c r="L283" s="427"/>
    </row>
    <row r="284" spans="1:17" ht="18.25" customHeight="1" outlineLevel="2">
      <c r="B284" s="5" t="s">
        <v>8</v>
      </c>
      <c r="C284" s="6" t="s">
        <v>348</v>
      </c>
      <c r="D284" s="7" t="s">
        <v>16</v>
      </c>
      <c r="E284" s="8">
        <v>0</v>
      </c>
      <c r="F284" s="9">
        <v>0</v>
      </c>
      <c r="G284" s="8">
        <v>1</v>
      </c>
      <c r="H284" s="10">
        <v>3915</v>
      </c>
      <c r="I284" s="311">
        <v>1</v>
      </c>
      <c r="J284" s="406">
        <v>0</v>
      </c>
      <c r="K284" s="410">
        <v>0</v>
      </c>
      <c r="L284" s="427"/>
    </row>
    <row r="285" spans="1:17" s="66" customFormat="1" ht="18.25" customHeight="1" outlineLevel="1">
      <c r="A285" s="572"/>
      <c r="B285" s="47" t="s">
        <v>8</v>
      </c>
      <c r="C285" s="62" t="s">
        <v>368</v>
      </c>
      <c r="D285" s="26">
        <v>2</v>
      </c>
      <c r="E285" s="63">
        <v>0</v>
      </c>
      <c r="F285" s="64">
        <v>0</v>
      </c>
      <c r="G285" s="63">
        <v>1</v>
      </c>
      <c r="H285" s="65">
        <v>3915</v>
      </c>
      <c r="I285" s="317">
        <v>1</v>
      </c>
      <c r="J285" s="318">
        <v>0</v>
      </c>
      <c r="K285" s="413">
        <v>0</v>
      </c>
      <c r="L285" s="430">
        <v>0</v>
      </c>
      <c r="M285" s="250" t="s">
        <v>168</v>
      </c>
      <c r="N285" s="250"/>
    </row>
    <row r="286" spans="1:17" s="150" customFormat="1" ht="18.25" customHeight="1">
      <c r="A286" s="570" t="s">
        <v>828</v>
      </c>
      <c r="B286" s="949" t="s">
        <v>8</v>
      </c>
      <c r="C286" s="950"/>
      <c r="D286" s="146">
        <v>39</v>
      </c>
      <c r="E286" s="147">
        <v>0</v>
      </c>
      <c r="F286" s="148">
        <v>0</v>
      </c>
      <c r="G286" s="147">
        <v>68</v>
      </c>
      <c r="H286" s="149">
        <v>1302726</v>
      </c>
      <c r="I286" s="315">
        <v>28</v>
      </c>
      <c r="J286" s="316">
        <v>20</v>
      </c>
      <c r="K286" s="412">
        <v>13</v>
      </c>
      <c r="L286" s="429">
        <v>0</v>
      </c>
      <c r="M286" s="249"/>
      <c r="N286" s="249"/>
    </row>
    <row r="287" spans="1:17" ht="18.25" customHeight="1" outlineLevel="2">
      <c r="B287" s="5" t="s">
        <v>3</v>
      </c>
      <c r="C287" s="6" t="s">
        <v>129</v>
      </c>
      <c r="D287" s="7" t="s">
        <v>15</v>
      </c>
      <c r="E287" s="8">
        <v>0</v>
      </c>
      <c r="F287" s="9">
        <v>0</v>
      </c>
      <c r="G287" s="8">
        <v>0</v>
      </c>
      <c r="H287" s="10">
        <v>0</v>
      </c>
      <c r="I287" s="311">
        <v>0</v>
      </c>
      <c r="J287" s="406">
        <v>0</v>
      </c>
      <c r="K287" s="410">
        <v>0</v>
      </c>
      <c r="L287" s="427"/>
    </row>
    <row r="288" spans="1:17" ht="18.25" customHeight="1" outlineLevel="1">
      <c r="B288" s="12" t="s">
        <v>3</v>
      </c>
      <c r="C288" s="13" t="s">
        <v>129</v>
      </c>
      <c r="D288" s="14">
        <v>1</v>
      </c>
      <c r="E288" s="15">
        <v>0</v>
      </c>
      <c r="F288" s="16">
        <v>0</v>
      </c>
      <c r="G288" s="15">
        <v>0</v>
      </c>
      <c r="H288" s="17">
        <v>0</v>
      </c>
      <c r="I288" s="312">
        <v>0</v>
      </c>
      <c r="J288" s="313">
        <v>0</v>
      </c>
      <c r="K288" s="411">
        <v>0</v>
      </c>
      <c r="L288" s="428">
        <v>0</v>
      </c>
      <c r="M288" s="1" t="s">
        <v>166</v>
      </c>
    </row>
    <row r="289" spans="1:17" ht="18.25" customHeight="1" outlineLevel="2">
      <c r="B289" s="5" t="s">
        <v>3</v>
      </c>
      <c r="C289" s="6" t="s">
        <v>641</v>
      </c>
      <c r="D289" s="7" t="s">
        <v>24</v>
      </c>
      <c r="E289" s="8">
        <v>0</v>
      </c>
      <c r="F289" s="9">
        <v>0</v>
      </c>
      <c r="G289" s="8">
        <v>0</v>
      </c>
      <c r="H289" s="10">
        <v>0</v>
      </c>
      <c r="I289" s="311">
        <v>0</v>
      </c>
      <c r="J289" s="406">
        <v>0</v>
      </c>
      <c r="K289" s="410">
        <v>0</v>
      </c>
      <c r="L289" s="427"/>
    </row>
    <row r="290" spans="1:17" ht="18.25" customHeight="1" outlineLevel="2">
      <c r="B290" s="5" t="s">
        <v>3</v>
      </c>
      <c r="C290" s="6" t="s">
        <v>792</v>
      </c>
      <c r="D290" s="7" t="s">
        <v>16</v>
      </c>
      <c r="E290" s="8">
        <v>0</v>
      </c>
      <c r="F290" s="9">
        <v>0</v>
      </c>
      <c r="G290" s="8">
        <v>1</v>
      </c>
      <c r="H290" s="10">
        <v>5833</v>
      </c>
      <c r="I290" s="311">
        <v>1</v>
      </c>
      <c r="J290" s="406">
        <v>0</v>
      </c>
      <c r="K290" s="410">
        <v>0</v>
      </c>
      <c r="L290" s="427"/>
    </row>
    <row r="291" spans="1:17" s="1" customFormat="1" ht="18.25" customHeight="1" outlineLevel="1">
      <c r="A291" s="571"/>
      <c r="B291" s="12" t="s">
        <v>3</v>
      </c>
      <c r="C291" s="13" t="s">
        <v>641</v>
      </c>
      <c r="D291" s="14">
        <v>2</v>
      </c>
      <c r="E291" s="15">
        <v>0</v>
      </c>
      <c r="F291" s="16">
        <v>0</v>
      </c>
      <c r="G291" s="15">
        <v>1</v>
      </c>
      <c r="H291" s="17">
        <v>5833</v>
      </c>
      <c r="I291" s="312">
        <v>1</v>
      </c>
      <c r="J291" s="313">
        <v>0</v>
      </c>
      <c r="K291" s="411">
        <v>0</v>
      </c>
      <c r="L291" s="428">
        <v>0</v>
      </c>
      <c r="M291" s="1" t="s">
        <v>168</v>
      </c>
      <c r="O291"/>
      <c r="P291"/>
      <c r="Q291"/>
    </row>
    <row r="292" spans="1:17" s="1" customFormat="1" ht="18.25" customHeight="1" outlineLevel="2">
      <c r="A292" s="571"/>
      <c r="B292" s="5" t="s">
        <v>3</v>
      </c>
      <c r="C292" s="39" t="s">
        <v>717</v>
      </c>
      <c r="D292" s="40" t="s">
        <v>188</v>
      </c>
      <c r="E292" s="8">
        <v>0</v>
      </c>
      <c r="F292" s="9">
        <v>0</v>
      </c>
      <c r="G292" s="8">
        <v>3</v>
      </c>
      <c r="H292" s="10">
        <v>45942</v>
      </c>
      <c r="I292" s="311">
        <v>1</v>
      </c>
      <c r="J292" s="406">
        <v>1</v>
      </c>
      <c r="K292" s="410">
        <v>1</v>
      </c>
      <c r="L292" s="427"/>
      <c r="O292"/>
      <c r="P292"/>
      <c r="Q292"/>
    </row>
    <row r="293" spans="1:17" s="1" customFormat="1" ht="18.25" customHeight="1" outlineLevel="1">
      <c r="A293" s="571"/>
      <c r="B293" s="12" t="s">
        <v>3</v>
      </c>
      <c r="C293" s="25" t="s">
        <v>717</v>
      </c>
      <c r="D293" s="26">
        <v>1</v>
      </c>
      <c r="E293" s="15">
        <v>0</v>
      </c>
      <c r="F293" s="16">
        <v>0</v>
      </c>
      <c r="G293" s="15">
        <v>3</v>
      </c>
      <c r="H293" s="17">
        <v>45942</v>
      </c>
      <c r="I293" s="312">
        <v>1</v>
      </c>
      <c r="J293" s="313">
        <v>1</v>
      </c>
      <c r="K293" s="411">
        <v>1</v>
      </c>
      <c r="L293" s="428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71"/>
      <c r="B294" s="5" t="s">
        <v>3</v>
      </c>
      <c r="C294" s="39" t="s">
        <v>800</v>
      </c>
      <c r="D294" s="40" t="s">
        <v>365</v>
      </c>
      <c r="E294" s="8">
        <v>0</v>
      </c>
      <c r="F294" s="9">
        <v>0</v>
      </c>
      <c r="G294" s="8">
        <v>0</v>
      </c>
      <c r="H294" s="10">
        <v>0</v>
      </c>
      <c r="I294" s="311">
        <v>0</v>
      </c>
      <c r="J294" s="406">
        <v>0</v>
      </c>
      <c r="K294" s="410">
        <v>0</v>
      </c>
      <c r="L294" s="427"/>
      <c r="O294"/>
      <c r="P294"/>
      <c r="Q294"/>
    </row>
    <row r="295" spans="1:17" s="1" customFormat="1" ht="18.25" customHeight="1" outlineLevel="1">
      <c r="A295" s="571"/>
      <c r="B295" s="12" t="s">
        <v>3</v>
      </c>
      <c r="C295" s="25" t="s">
        <v>800</v>
      </c>
      <c r="D295" s="26">
        <v>1</v>
      </c>
      <c r="E295" s="15">
        <v>0</v>
      </c>
      <c r="F295" s="16">
        <v>0</v>
      </c>
      <c r="G295" s="15">
        <v>0</v>
      </c>
      <c r="H295" s="17">
        <v>0</v>
      </c>
      <c r="I295" s="312">
        <v>0</v>
      </c>
      <c r="J295" s="313">
        <v>0</v>
      </c>
      <c r="K295" s="411">
        <v>0</v>
      </c>
      <c r="L295" s="428">
        <v>0</v>
      </c>
      <c r="M295" s="1" t="s">
        <v>663</v>
      </c>
      <c r="O295"/>
      <c r="P295"/>
      <c r="Q295"/>
    </row>
    <row r="296" spans="1:17" s="1" customFormat="1" ht="18.25" customHeight="1" outlineLevel="2">
      <c r="A296" s="571"/>
      <c r="B296" s="5" t="s">
        <v>3</v>
      </c>
      <c r="C296" s="39" t="s">
        <v>130</v>
      </c>
      <c r="D296" s="40" t="s">
        <v>39</v>
      </c>
      <c r="E296" s="8">
        <v>0</v>
      </c>
      <c r="F296" s="9">
        <v>0</v>
      </c>
      <c r="G296" s="8">
        <v>4</v>
      </c>
      <c r="H296" s="10">
        <v>48329</v>
      </c>
      <c r="I296" s="311">
        <v>1</v>
      </c>
      <c r="J296" s="406">
        <v>1</v>
      </c>
      <c r="K296" s="410">
        <v>1</v>
      </c>
      <c r="L296" s="427"/>
      <c r="O296"/>
      <c r="P296"/>
      <c r="Q296"/>
    </row>
    <row r="297" spans="1:17" s="1" customFormat="1" ht="18.25" customHeight="1" outlineLevel="2">
      <c r="A297" s="571"/>
      <c r="B297" s="5" t="s">
        <v>3</v>
      </c>
      <c r="C297" s="6" t="s">
        <v>291</v>
      </c>
      <c r="D297" s="7" t="s">
        <v>16</v>
      </c>
      <c r="E297" s="8">
        <v>0</v>
      </c>
      <c r="F297" s="9">
        <v>0</v>
      </c>
      <c r="G297" s="8">
        <v>1</v>
      </c>
      <c r="H297" s="10">
        <v>18470</v>
      </c>
      <c r="I297" s="311">
        <v>1</v>
      </c>
      <c r="J297" s="406">
        <v>1</v>
      </c>
      <c r="K297" s="410">
        <v>0</v>
      </c>
      <c r="L297" s="427"/>
      <c r="O297"/>
      <c r="P297"/>
      <c r="Q297"/>
    </row>
    <row r="298" spans="1:17" s="1" customFormat="1" ht="18.25" customHeight="1" outlineLevel="2">
      <c r="A298" s="571"/>
      <c r="B298" s="5" t="s">
        <v>3</v>
      </c>
      <c r="C298" s="6" t="s">
        <v>645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1">
        <v>0</v>
      </c>
      <c r="J298" s="406">
        <v>0</v>
      </c>
      <c r="K298" s="410">
        <v>0</v>
      </c>
      <c r="L298" s="427"/>
      <c r="O298"/>
      <c r="P298"/>
      <c r="Q298"/>
    </row>
    <row r="299" spans="1:17" s="1" customFormat="1" ht="18.25" customHeight="1" outlineLevel="1">
      <c r="A299" s="571"/>
      <c r="B299" s="12" t="s">
        <v>3</v>
      </c>
      <c r="C299" s="25" t="s">
        <v>130</v>
      </c>
      <c r="D299" s="26">
        <v>3</v>
      </c>
      <c r="E299" s="15">
        <v>0</v>
      </c>
      <c r="F299" s="16">
        <v>0</v>
      </c>
      <c r="G299" s="15">
        <v>5</v>
      </c>
      <c r="H299" s="17">
        <v>66799</v>
      </c>
      <c r="I299" s="312">
        <v>2</v>
      </c>
      <c r="J299" s="313">
        <v>2</v>
      </c>
      <c r="K299" s="411">
        <v>1</v>
      </c>
      <c r="L299" s="428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71"/>
      <c r="B300" s="5" t="s">
        <v>3</v>
      </c>
      <c r="C300" s="6" t="s">
        <v>131</v>
      </c>
      <c r="D300" s="19" t="s">
        <v>39</v>
      </c>
      <c r="E300" s="8">
        <v>0</v>
      </c>
      <c r="F300" s="9">
        <v>0</v>
      </c>
      <c r="G300" s="8">
        <v>0</v>
      </c>
      <c r="H300" s="10">
        <v>0</v>
      </c>
      <c r="I300" s="311">
        <v>0</v>
      </c>
      <c r="J300" s="406">
        <v>0</v>
      </c>
      <c r="K300" s="410">
        <v>0</v>
      </c>
      <c r="L300" s="427"/>
      <c r="O300"/>
      <c r="P300"/>
      <c r="Q300"/>
    </row>
    <row r="301" spans="1:17" s="1" customFormat="1" ht="18.25" customHeight="1" outlineLevel="2">
      <c r="A301" s="571"/>
      <c r="B301" s="5" t="s">
        <v>3</v>
      </c>
      <c r="C301" s="6" t="s">
        <v>906</v>
      </c>
      <c r="D301" s="7" t="s">
        <v>16</v>
      </c>
      <c r="E301" s="8">
        <v>0</v>
      </c>
      <c r="F301" s="9">
        <v>0</v>
      </c>
      <c r="G301" s="8">
        <v>3</v>
      </c>
      <c r="H301" s="10">
        <v>36495</v>
      </c>
      <c r="I301" s="311">
        <v>1</v>
      </c>
      <c r="J301" s="406">
        <v>1</v>
      </c>
      <c r="K301" s="410">
        <v>1</v>
      </c>
      <c r="L301" s="427"/>
      <c r="O301"/>
      <c r="P301"/>
      <c r="Q301"/>
    </row>
    <row r="302" spans="1:17" s="1" customFormat="1" ht="18.25" customHeight="1" outlineLevel="2">
      <c r="A302" s="571"/>
      <c r="B302" s="5" t="s">
        <v>3</v>
      </c>
      <c r="C302" s="6" t="s">
        <v>138</v>
      </c>
      <c r="D302" s="7" t="s">
        <v>16</v>
      </c>
      <c r="E302" s="8">
        <v>2</v>
      </c>
      <c r="F302" s="9">
        <v>6248</v>
      </c>
      <c r="G302" s="8">
        <v>6</v>
      </c>
      <c r="H302" s="10">
        <v>60154</v>
      </c>
      <c r="I302" s="311">
        <v>1</v>
      </c>
      <c r="J302" s="406">
        <v>1</v>
      </c>
      <c r="K302" s="410">
        <v>1</v>
      </c>
      <c r="L302" s="427"/>
      <c r="O302"/>
      <c r="P302"/>
      <c r="Q302"/>
    </row>
    <row r="303" spans="1:17" s="1" customFormat="1" ht="18.25" customHeight="1" outlineLevel="2">
      <c r="A303" s="571"/>
      <c r="B303" s="5" t="s">
        <v>3</v>
      </c>
      <c r="C303" s="6" t="s">
        <v>282</v>
      </c>
      <c r="D303" s="7" t="s">
        <v>16</v>
      </c>
      <c r="E303" s="8">
        <v>0</v>
      </c>
      <c r="F303" s="9">
        <v>12000</v>
      </c>
      <c r="G303" s="8">
        <v>0</v>
      </c>
      <c r="H303" s="10">
        <v>12000</v>
      </c>
      <c r="I303" s="311">
        <v>0</v>
      </c>
      <c r="J303" s="406">
        <v>1</v>
      </c>
      <c r="K303" s="410">
        <v>0</v>
      </c>
      <c r="L303" s="427"/>
      <c r="O303"/>
      <c r="P303"/>
      <c r="Q303"/>
    </row>
    <row r="304" spans="1:17" s="1" customFormat="1" ht="18.25" customHeight="1" outlineLevel="1">
      <c r="A304" s="571"/>
      <c r="B304" s="12" t="s">
        <v>3</v>
      </c>
      <c r="C304" s="13" t="s">
        <v>131</v>
      </c>
      <c r="D304" s="14">
        <v>4</v>
      </c>
      <c r="E304" s="15">
        <v>2</v>
      </c>
      <c r="F304" s="16">
        <v>18248</v>
      </c>
      <c r="G304" s="15">
        <v>9</v>
      </c>
      <c r="H304" s="17">
        <v>108649</v>
      </c>
      <c r="I304" s="312">
        <v>2</v>
      </c>
      <c r="J304" s="313">
        <v>3</v>
      </c>
      <c r="K304" s="411">
        <v>2</v>
      </c>
      <c r="L304" s="428">
        <v>0</v>
      </c>
      <c r="M304" s="1" t="s">
        <v>50</v>
      </c>
      <c r="O304"/>
      <c r="P304"/>
      <c r="Q304"/>
    </row>
    <row r="305" spans="1:17" s="1" customFormat="1" ht="18.25" customHeight="1" outlineLevel="2">
      <c r="A305" s="571"/>
      <c r="B305" s="5" t="s">
        <v>3</v>
      </c>
      <c r="C305" s="39" t="s">
        <v>710</v>
      </c>
      <c r="D305" s="40" t="s">
        <v>365</v>
      </c>
      <c r="E305" s="8">
        <v>0</v>
      </c>
      <c r="F305" s="9">
        <v>0</v>
      </c>
      <c r="G305" s="8">
        <v>2</v>
      </c>
      <c r="H305" s="10">
        <v>30802</v>
      </c>
      <c r="I305" s="311">
        <v>1</v>
      </c>
      <c r="J305" s="406">
        <v>1</v>
      </c>
      <c r="K305" s="410">
        <v>1</v>
      </c>
      <c r="L305" s="427"/>
      <c r="O305"/>
      <c r="P305"/>
      <c r="Q305"/>
    </row>
    <row r="306" spans="1:17" s="1" customFormat="1" ht="18.25" customHeight="1" outlineLevel="1">
      <c r="A306" s="571"/>
      <c r="B306" s="12" t="s">
        <v>3</v>
      </c>
      <c r="C306" s="25" t="s">
        <v>710</v>
      </c>
      <c r="D306" s="26">
        <v>1</v>
      </c>
      <c r="E306" s="15">
        <v>0</v>
      </c>
      <c r="F306" s="16">
        <v>0</v>
      </c>
      <c r="G306" s="15">
        <v>2</v>
      </c>
      <c r="H306" s="17">
        <v>30802</v>
      </c>
      <c r="I306" s="312">
        <v>1</v>
      </c>
      <c r="J306" s="313">
        <v>1</v>
      </c>
      <c r="K306" s="411">
        <v>1</v>
      </c>
      <c r="L306" s="428">
        <v>0</v>
      </c>
      <c r="M306" s="1" t="s">
        <v>663</v>
      </c>
      <c r="O306"/>
      <c r="P306"/>
      <c r="Q306"/>
    </row>
    <row r="307" spans="1:17" s="1" customFormat="1" ht="18" customHeight="1" outlineLevel="2">
      <c r="A307" s="571"/>
      <c r="B307" s="5" t="s">
        <v>3</v>
      </c>
      <c r="C307" s="6" t="s">
        <v>339</v>
      </c>
      <c r="D307" s="19" t="s">
        <v>24</v>
      </c>
      <c r="E307" s="8">
        <v>0</v>
      </c>
      <c r="F307" s="9">
        <v>0</v>
      </c>
      <c r="G307" s="8">
        <v>0</v>
      </c>
      <c r="H307" s="10">
        <v>0</v>
      </c>
      <c r="I307" s="311">
        <v>0</v>
      </c>
      <c r="J307" s="406">
        <v>0</v>
      </c>
      <c r="K307" s="410">
        <v>0</v>
      </c>
      <c r="L307" s="427"/>
      <c r="O307"/>
      <c r="P307"/>
      <c r="Q307"/>
    </row>
    <row r="308" spans="1:17" s="1" customFormat="1" ht="18.25" customHeight="1" outlineLevel="2">
      <c r="A308" s="571"/>
      <c r="B308" s="5" t="s">
        <v>3</v>
      </c>
      <c r="C308" s="6" t="s">
        <v>615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311">
        <v>0</v>
      </c>
      <c r="J308" s="406">
        <v>0</v>
      </c>
      <c r="K308" s="410">
        <v>0</v>
      </c>
      <c r="L308" s="427"/>
      <c r="O308"/>
      <c r="P308"/>
      <c r="Q308"/>
    </row>
    <row r="309" spans="1:17" s="1" customFormat="1" ht="18.25" customHeight="1" outlineLevel="1">
      <c r="A309" s="571"/>
      <c r="B309" s="12" t="s">
        <v>3</v>
      </c>
      <c r="C309" s="13" t="s">
        <v>339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2">
        <v>0</v>
      </c>
      <c r="J309" s="313">
        <v>0</v>
      </c>
      <c r="K309" s="411">
        <v>0</v>
      </c>
      <c r="L309" s="428">
        <v>0</v>
      </c>
      <c r="M309" s="1" t="s">
        <v>168</v>
      </c>
      <c r="O309"/>
      <c r="P309"/>
      <c r="Q309"/>
    </row>
    <row r="310" spans="1:17" s="1" customFormat="1" ht="18.25" customHeight="1" outlineLevel="2">
      <c r="A310" s="571"/>
      <c r="B310" s="5" t="s">
        <v>3</v>
      </c>
      <c r="C310" s="11" t="s">
        <v>202</v>
      </c>
      <c r="D310" s="7" t="s">
        <v>21</v>
      </c>
      <c r="E310" s="8">
        <v>0</v>
      </c>
      <c r="F310" s="9">
        <v>0</v>
      </c>
      <c r="G310" s="8">
        <v>0</v>
      </c>
      <c r="H310" s="10">
        <v>0</v>
      </c>
      <c r="I310" s="311">
        <v>0</v>
      </c>
      <c r="J310" s="406">
        <v>0</v>
      </c>
      <c r="K310" s="410">
        <v>0</v>
      </c>
      <c r="L310" s="427"/>
      <c r="O310"/>
      <c r="P310"/>
      <c r="Q310"/>
    </row>
    <row r="311" spans="1:17" s="1" customFormat="1" ht="18.25" customHeight="1" outlineLevel="2">
      <c r="A311" s="571"/>
      <c r="B311" s="5" t="s">
        <v>3</v>
      </c>
      <c r="C311" s="11" t="s">
        <v>352</v>
      </c>
      <c r="D311" s="7" t="s">
        <v>16</v>
      </c>
      <c r="E311" s="8">
        <v>0</v>
      </c>
      <c r="F311" s="9">
        <v>0</v>
      </c>
      <c r="G311" s="8">
        <v>7</v>
      </c>
      <c r="H311" s="10">
        <v>54978</v>
      </c>
      <c r="I311" s="311">
        <v>1</v>
      </c>
      <c r="J311" s="406">
        <v>1</v>
      </c>
      <c r="K311" s="410">
        <v>1</v>
      </c>
      <c r="L311" s="427"/>
      <c r="O311"/>
      <c r="P311"/>
      <c r="Q311"/>
    </row>
    <row r="312" spans="1:17" s="1" customFormat="1" ht="18.25" customHeight="1" outlineLevel="1">
      <c r="A312" s="571"/>
      <c r="B312" s="12" t="s">
        <v>3</v>
      </c>
      <c r="C312" s="13" t="s">
        <v>490</v>
      </c>
      <c r="D312" s="14">
        <v>2</v>
      </c>
      <c r="E312" s="15">
        <v>0</v>
      </c>
      <c r="F312" s="16">
        <v>0</v>
      </c>
      <c r="G312" s="15">
        <v>7</v>
      </c>
      <c r="H312" s="17">
        <v>54978</v>
      </c>
      <c r="I312" s="312">
        <v>1</v>
      </c>
      <c r="J312" s="313">
        <v>1</v>
      </c>
      <c r="K312" s="411">
        <v>1</v>
      </c>
      <c r="L312" s="428">
        <v>0</v>
      </c>
      <c r="M312" s="1" t="s">
        <v>170</v>
      </c>
      <c r="O312"/>
      <c r="P312"/>
      <c r="Q312"/>
    </row>
    <row r="313" spans="1:17" s="1" customFormat="1" ht="18.25" customHeight="1" outlineLevel="2">
      <c r="A313" s="571"/>
      <c r="B313" s="5" t="s">
        <v>3</v>
      </c>
      <c r="C313" s="11" t="s">
        <v>222</v>
      </c>
      <c r="D313" s="7" t="s">
        <v>24</v>
      </c>
      <c r="E313" s="8">
        <v>0</v>
      </c>
      <c r="F313" s="9">
        <v>0</v>
      </c>
      <c r="G313" s="8">
        <v>0</v>
      </c>
      <c r="H313" s="10">
        <v>0</v>
      </c>
      <c r="I313" s="311">
        <v>0</v>
      </c>
      <c r="J313" s="406">
        <v>0</v>
      </c>
      <c r="K313" s="410">
        <v>0</v>
      </c>
      <c r="L313" s="427"/>
      <c r="O313"/>
      <c r="P313"/>
      <c r="Q313"/>
    </row>
    <row r="314" spans="1:17" s="1" customFormat="1" ht="18.25" customHeight="1" outlineLevel="2">
      <c r="A314" s="571"/>
      <c r="B314" s="5" t="s">
        <v>3</v>
      </c>
      <c r="C314" s="11" t="s">
        <v>471</v>
      </c>
      <c r="D314" s="7" t="s">
        <v>16</v>
      </c>
      <c r="E314" s="8">
        <v>0</v>
      </c>
      <c r="F314" s="9">
        <v>0</v>
      </c>
      <c r="G314" s="8">
        <v>0</v>
      </c>
      <c r="H314" s="10">
        <v>0</v>
      </c>
      <c r="I314" s="311">
        <v>0</v>
      </c>
      <c r="J314" s="406">
        <v>0</v>
      </c>
      <c r="K314" s="410">
        <v>0</v>
      </c>
      <c r="L314" s="427"/>
      <c r="O314"/>
      <c r="P314"/>
      <c r="Q314"/>
    </row>
    <row r="315" spans="1:17" s="1" customFormat="1" ht="18.25" customHeight="1" outlineLevel="1">
      <c r="A315" s="571"/>
      <c r="B315" s="12" t="s">
        <v>3</v>
      </c>
      <c r="C315" s="13" t="s">
        <v>476</v>
      </c>
      <c r="D315" s="14">
        <v>2</v>
      </c>
      <c r="E315" s="15">
        <v>0</v>
      </c>
      <c r="F315" s="16">
        <v>0</v>
      </c>
      <c r="G315" s="15">
        <v>0</v>
      </c>
      <c r="H315" s="17">
        <v>0</v>
      </c>
      <c r="I315" s="312">
        <v>0</v>
      </c>
      <c r="J315" s="313">
        <v>0</v>
      </c>
      <c r="K315" s="411">
        <v>0</v>
      </c>
      <c r="L315" s="428">
        <v>0</v>
      </c>
      <c r="M315" s="1" t="s">
        <v>168</v>
      </c>
      <c r="O315"/>
      <c r="P315"/>
      <c r="Q315"/>
    </row>
    <row r="316" spans="1:17" s="1" customFormat="1" ht="18.25" customHeight="1" outlineLevel="2">
      <c r="A316" s="571"/>
      <c r="B316" s="5" t="s">
        <v>3</v>
      </c>
      <c r="C316" s="6" t="s">
        <v>308</v>
      </c>
      <c r="D316" s="7" t="s">
        <v>24</v>
      </c>
      <c r="E316" s="8">
        <v>0</v>
      </c>
      <c r="F316" s="9">
        <v>0</v>
      </c>
      <c r="G316" s="8">
        <v>1</v>
      </c>
      <c r="H316" s="10">
        <v>5700</v>
      </c>
      <c r="I316" s="311">
        <v>1</v>
      </c>
      <c r="J316" s="406">
        <v>0</v>
      </c>
      <c r="K316" s="410">
        <v>0</v>
      </c>
      <c r="L316" s="427"/>
      <c r="O316"/>
      <c r="P316"/>
      <c r="Q316"/>
    </row>
    <row r="317" spans="1:17" s="1" customFormat="1" ht="18.25" customHeight="1" outlineLevel="2">
      <c r="A317" s="571"/>
      <c r="B317" s="5" t="s">
        <v>3</v>
      </c>
      <c r="C317" s="38" t="s">
        <v>525</v>
      </c>
      <c r="D317" s="24" t="s">
        <v>16</v>
      </c>
      <c r="E317" s="8">
        <v>0</v>
      </c>
      <c r="F317" s="9">
        <v>0</v>
      </c>
      <c r="G317" s="8">
        <v>1</v>
      </c>
      <c r="H317" s="10">
        <v>19945</v>
      </c>
      <c r="I317" s="311">
        <v>1</v>
      </c>
      <c r="J317" s="406">
        <v>1</v>
      </c>
      <c r="K317" s="410">
        <v>0</v>
      </c>
      <c r="L317" s="427"/>
      <c r="O317"/>
      <c r="P317"/>
      <c r="Q317"/>
    </row>
    <row r="318" spans="1:17" s="1" customFormat="1" ht="18.25" customHeight="1" outlineLevel="1">
      <c r="A318" s="571"/>
      <c r="B318" s="12" t="s">
        <v>3</v>
      </c>
      <c r="C318" s="13" t="s">
        <v>308</v>
      </c>
      <c r="D318" s="14">
        <v>2</v>
      </c>
      <c r="E318" s="15">
        <v>0</v>
      </c>
      <c r="F318" s="16">
        <v>0</v>
      </c>
      <c r="G318" s="15">
        <v>2</v>
      </c>
      <c r="H318" s="17">
        <v>25645</v>
      </c>
      <c r="I318" s="312">
        <v>2</v>
      </c>
      <c r="J318" s="313">
        <v>1</v>
      </c>
      <c r="K318" s="411">
        <v>0</v>
      </c>
      <c r="L318" s="428">
        <v>0</v>
      </c>
      <c r="M318" s="1" t="s">
        <v>168</v>
      </c>
      <c r="O318"/>
      <c r="P318"/>
      <c r="Q318"/>
    </row>
    <row r="319" spans="1:17" s="1" customFormat="1" ht="18.25" customHeight="1" outlineLevel="2">
      <c r="A319" s="571"/>
      <c r="B319" s="5" t="s">
        <v>3</v>
      </c>
      <c r="C319" s="18" t="s">
        <v>136</v>
      </c>
      <c r="D319" s="7" t="s">
        <v>21</v>
      </c>
      <c r="E319" s="8">
        <v>0</v>
      </c>
      <c r="F319" s="9">
        <v>0</v>
      </c>
      <c r="G319" s="8">
        <v>5</v>
      </c>
      <c r="H319" s="10">
        <v>41315</v>
      </c>
      <c r="I319" s="311">
        <v>1</v>
      </c>
      <c r="J319" s="406">
        <v>1</v>
      </c>
      <c r="K319" s="410">
        <v>1</v>
      </c>
      <c r="L319" s="427"/>
      <c r="O319"/>
      <c r="P319"/>
      <c r="Q319"/>
    </row>
    <row r="320" spans="1:17" s="1" customFormat="1" ht="18.25" customHeight="1" outlineLevel="2">
      <c r="A320" s="571"/>
      <c r="B320" s="5" t="s">
        <v>3</v>
      </c>
      <c r="C320" s="18" t="s">
        <v>137</v>
      </c>
      <c r="D320" s="7" t="s">
        <v>187</v>
      </c>
      <c r="E320" s="8">
        <v>0</v>
      </c>
      <c r="F320" s="9">
        <v>0</v>
      </c>
      <c r="G320" s="8">
        <v>1</v>
      </c>
      <c r="H320" s="10">
        <v>25642</v>
      </c>
      <c r="I320" s="311">
        <v>1</v>
      </c>
      <c r="J320" s="406">
        <v>1</v>
      </c>
      <c r="K320" s="410">
        <v>1</v>
      </c>
      <c r="L320" s="427"/>
      <c r="O320"/>
      <c r="P320"/>
      <c r="Q320"/>
    </row>
    <row r="321" spans="1:17" s="1" customFormat="1" ht="18.25" customHeight="1" outlineLevel="1">
      <c r="A321" s="571"/>
      <c r="B321" s="12" t="s">
        <v>3</v>
      </c>
      <c r="C321" s="13" t="s">
        <v>136</v>
      </c>
      <c r="D321" s="14">
        <v>2</v>
      </c>
      <c r="E321" s="15">
        <v>0</v>
      </c>
      <c r="F321" s="16">
        <v>0</v>
      </c>
      <c r="G321" s="15">
        <v>6</v>
      </c>
      <c r="H321" s="17">
        <v>66957</v>
      </c>
      <c r="I321" s="312">
        <v>2</v>
      </c>
      <c r="J321" s="313">
        <v>2</v>
      </c>
      <c r="K321" s="411">
        <v>2</v>
      </c>
      <c r="L321" s="428">
        <v>0</v>
      </c>
      <c r="M321" s="1" t="s">
        <v>170</v>
      </c>
      <c r="O321"/>
      <c r="P321"/>
      <c r="Q321"/>
    </row>
    <row r="322" spans="1:17" s="1" customFormat="1" ht="18.25" customHeight="1" outlineLevel="2">
      <c r="A322" s="571"/>
      <c r="B322" s="5" t="s">
        <v>3</v>
      </c>
      <c r="C322" s="6" t="s">
        <v>226</v>
      </c>
      <c r="D322" s="7" t="s">
        <v>238</v>
      </c>
      <c r="E322" s="8">
        <v>0</v>
      </c>
      <c r="F322" s="9">
        <v>0</v>
      </c>
      <c r="G322" s="8">
        <v>0</v>
      </c>
      <c r="H322" s="10">
        <v>0</v>
      </c>
      <c r="I322" s="311">
        <v>0</v>
      </c>
      <c r="J322" s="406">
        <v>0</v>
      </c>
      <c r="K322" s="410">
        <v>0</v>
      </c>
      <c r="L322" s="427"/>
      <c r="O322"/>
      <c r="P322"/>
      <c r="Q322"/>
    </row>
    <row r="323" spans="1:17" s="1" customFormat="1" ht="18.25" customHeight="1" outlineLevel="2">
      <c r="A323" s="571"/>
      <c r="B323" s="5" t="s">
        <v>3</v>
      </c>
      <c r="C323" s="6" t="s">
        <v>341</v>
      </c>
      <c r="D323" s="7" t="s">
        <v>16</v>
      </c>
      <c r="E323" s="8">
        <v>0</v>
      </c>
      <c r="F323" s="9">
        <v>0</v>
      </c>
      <c r="G323" s="8">
        <v>3</v>
      </c>
      <c r="H323" s="10">
        <v>36339</v>
      </c>
      <c r="I323" s="311">
        <v>1</v>
      </c>
      <c r="J323" s="406">
        <v>1</v>
      </c>
      <c r="K323" s="410">
        <v>1</v>
      </c>
      <c r="L323" s="427"/>
      <c r="O323"/>
      <c r="P323"/>
      <c r="Q323"/>
    </row>
    <row r="324" spans="1:17" s="1" customFormat="1" ht="18.25" customHeight="1" outlineLevel="1">
      <c r="A324" s="571"/>
      <c r="B324" s="12" t="s">
        <v>3</v>
      </c>
      <c r="C324" s="13" t="s">
        <v>246</v>
      </c>
      <c r="D324" s="14">
        <v>2</v>
      </c>
      <c r="E324" s="15">
        <v>0</v>
      </c>
      <c r="F324" s="16">
        <v>0</v>
      </c>
      <c r="G324" s="15">
        <v>3</v>
      </c>
      <c r="H324" s="17">
        <v>36339</v>
      </c>
      <c r="I324" s="312">
        <v>1</v>
      </c>
      <c r="J324" s="313">
        <v>1</v>
      </c>
      <c r="K324" s="411">
        <v>1</v>
      </c>
      <c r="L324" s="428">
        <v>0</v>
      </c>
      <c r="M324" s="1" t="s">
        <v>170</v>
      </c>
      <c r="O324"/>
      <c r="P324"/>
      <c r="Q324"/>
    </row>
    <row r="325" spans="1:17" s="1" customFormat="1" ht="18.25" customHeight="1" outlineLevel="2">
      <c r="A325" s="571"/>
      <c r="B325" s="5" t="s">
        <v>3</v>
      </c>
      <c r="C325" s="6" t="s">
        <v>139</v>
      </c>
      <c r="D325" s="7" t="s">
        <v>39</v>
      </c>
      <c r="E325" s="8">
        <v>0</v>
      </c>
      <c r="F325" s="9">
        <v>0</v>
      </c>
      <c r="G325" s="8">
        <v>1</v>
      </c>
      <c r="H325" s="10">
        <v>4557</v>
      </c>
      <c r="I325" s="311">
        <v>1</v>
      </c>
      <c r="J325" s="406">
        <v>0</v>
      </c>
      <c r="K325" s="410">
        <v>0</v>
      </c>
      <c r="L325" s="427"/>
      <c r="O325"/>
      <c r="P325"/>
      <c r="Q325"/>
    </row>
    <row r="326" spans="1:17" s="1" customFormat="1" ht="18.25" customHeight="1" outlineLevel="2">
      <c r="A326" s="571"/>
      <c r="B326" s="5" t="s">
        <v>3</v>
      </c>
      <c r="C326" s="11" t="s">
        <v>143</v>
      </c>
      <c r="D326" s="7" t="s">
        <v>16</v>
      </c>
      <c r="E326" s="8">
        <v>0</v>
      </c>
      <c r="F326" s="9">
        <v>0</v>
      </c>
      <c r="G326" s="8">
        <v>1</v>
      </c>
      <c r="H326" s="10">
        <v>9020</v>
      </c>
      <c r="I326" s="311">
        <v>1</v>
      </c>
      <c r="J326" s="406">
        <v>0</v>
      </c>
      <c r="K326" s="410">
        <v>0</v>
      </c>
      <c r="L326" s="427"/>
      <c r="O326"/>
      <c r="P326"/>
      <c r="Q326"/>
    </row>
    <row r="327" spans="1:17" s="1" customFormat="1" ht="18.25" customHeight="1" outlineLevel="2">
      <c r="A327" s="571"/>
      <c r="B327" s="5" t="s">
        <v>3</v>
      </c>
      <c r="C327" s="11" t="s">
        <v>140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11">
        <v>0</v>
      </c>
      <c r="J327" s="406">
        <v>0</v>
      </c>
      <c r="K327" s="410">
        <v>0</v>
      </c>
      <c r="L327" s="427"/>
      <c r="O327"/>
      <c r="P327"/>
      <c r="Q327"/>
    </row>
    <row r="328" spans="1:17" s="1" customFormat="1" ht="18.25" customHeight="1" outlineLevel="1">
      <c r="A328" s="571"/>
      <c r="B328" s="12" t="s">
        <v>3</v>
      </c>
      <c r="C328" s="13" t="s">
        <v>139</v>
      </c>
      <c r="D328" s="14">
        <v>3</v>
      </c>
      <c r="E328" s="15">
        <v>0</v>
      </c>
      <c r="F328" s="16">
        <v>0</v>
      </c>
      <c r="G328" s="15">
        <v>2</v>
      </c>
      <c r="H328" s="17">
        <v>13577</v>
      </c>
      <c r="I328" s="312">
        <v>2</v>
      </c>
      <c r="J328" s="313">
        <v>0</v>
      </c>
      <c r="K328" s="411">
        <v>0</v>
      </c>
      <c r="L328" s="428">
        <v>0</v>
      </c>
      <c r="M328" s="1" t="s">
        <v>50</v>
      </c>
      <c r="O328"/>
      <c r="P328"/>
      <c r="Q328"/>
    </row>
    <row r="329" spans="1:17" s="1" customFormat="1" ht="18.25" customHeight="1" outlineLevel="2">
      <c r="A329" s="571"/>
      <c r="B329" s="5" t="s">
        <v>3</v>
      </c>
      <c r="C329" s="18" t="s">
        <v>141</v>
      </c>
      <c r="D329" s="23" t="s">
        <v>21</v>
      </c>
      <c r="E329" s="8">
        <v>0.5</v>
      </c>
      <c r="F329" s="9">
        <v>25016</v>
      </c>
      <c r="G329" s="8">
        <v>0.5</v>
      </c>
      <c r="H329" s="10">
        <v>25016</v>
      </c>
      <c r="I329" s="311">
        <v>1</v>
      </c>
      <c r="J329" s="406">
        <v>1</v>
      </c>
      <c r="K329" s="410">
        <v>1</v>
      </c>
      <c r="L329" s="427"/>
      <c r="O329"/>
      <c r="P329"/>
      <c r="Q329"/>
    </row>
    <row r="330" spans="1:17" s="1" customFormat="1" ht="18.25" customHeight="1" outlineLevel="2">
      <c r="A330" s="571"/>
      <c r="B330" s="5" t="s">
        <v>3</v>
      </c>
      <c r="C330" s="39" t="s">
        <v>529</v>
      </c>
      <c r="D330" s="23" t="s">
        <v>187</v>
      </c>
      <c r="E330" s="8">
        <v>0</v>
      </c>
      <c r="F330" s="9">
        <v>0</v>
      </c>
      <c r="G330" s="8">
        <v>0</v>
      </c>
      <c r="H330" s="10">
        <v>0</v>
      </c>
      <c r="I330" s="314">
        <v>0</v>
      </c>
      <c r="J330" s="424">
        <v>0</v>
      </c>
      <c r="K330" s="416">
        <v>0</v>
      </c>
      <c r="L330" s="434"/>
      <c r="O330"/>
      <c r="P330"/>
      <c r="Q330"/>
    </row>
    <row r="331" spans="1:17" s="1" customFormat="1" ht="18.25" customHeight="1" outlineLevel="1">
      <c r="A331" s="571"/>
      <c r="B331" s="12" t="s">
        <v>3</v>
      </c>
      <c r="C331" s="13" t="s">
        <v>142</v>
      </c>
      <c r="D331" s="14">
        <v>2</v>
      </c>
      <c r="E331" s="15">
        <v>0.5</v>
      </c>
      <c r="F331" s="16">
        <v>25016</v>
      </c>
      <c r="G331" s="15">
        <v>0.5</v>
      </c>
      <c r="H331" s="17">
        <v>25016</v>
      </c>
      <c r="I331" s="312">
        <v>1</v>
      </c>
      <c r="J331" s="313">
        <v>1</v>
      </c>
      <c r="K331" s="411">
        <v>1</v>
      </c>
      <c r="L331" s="428">
        <v>0</v>
      </c>
      <c r="M331" s="1" t="s">
        <v>170</v>
      </c>
      <c r="O331"/>
      <c r="P331"/>
      <c r="Q331"/>
    </row>
    <row r="332" spans="1:17" s="1" customFormat="1" ht="18.25" customHeight="1" outlineLevel="2">
      <c r="A332" s="571"/>
      <c r="B332" s="5" t="s">
        <v>3</v>
      </c>
      <c r="C332" s="18" t="s">
        <v>275</v>
      </c>
      <c r="D332" s="23" t="s">
        <v>19</v>
      </c>
      <c r="E332" s="8">
        <v>0.5</v>
      </c>
      <c r="F332" s="9">
        <v>52259</v>
      </c>
      <c r="G332" s="8">
        <v>1.5</v>
      </c>
      <c r="H332" s="10">
        <v>61222</v>
      </c>
      <c r="I332" s="311">
        <v>1</v>
      </c>
      <c r="J332" s="406">
        <v>1</v>
      </c>
      <c r="K332" s="410">
        <v>1</v>
      </c>
      <c r="L332" s="427"/>
      <c r="O332"/>
      <c r="P332"/>
      <c r="Q332"/>
    </row>
    <row r="333" spans="1:17" s="1" customFormat="1" ht="18.25" customHeight="1" outlineLevel="2">
      <c r="A333" s="571"/>
      <c r="B333" s="5" t="s">
        <v>3</v>
      </c>
      <c r="C333" s="39" t="s">
        <v>206</v>
      </c>
      <c r="D333" s="23" t="s">
        <v>187</v>
      </c>
      <c r="E333" s="8">
        <v>0</v>
      </c>
      <c r="F333" s="9">
        <v>0</v>
      </c>
      <c r="G333" s="8">
        <v>0</v>
      </c>
      <c r="H333" s="10">
        <v>500</v>
      </c>
      <c r="I333" s="311">
        <v>0</v>
      </c>
      <c r="J333" s="406">
        <v>0</v>
      </c>
      <c r="K333" s="410">
        <v>0</v>
      </c>
      <c r="L333" s="427"/>
      <c r="O333"/>
      <c r="P333"/>
      <c r="Q333"/>
    </row>
    <row r="334" spans="1:17" s="1" customFormat="1" ht="18.25" customHeight="1" outlineLevel="1">
      <c r="A334" s="571"/>
      <c r="B334" s="12" t="s">
        <v>3</v>
      </c>
      <c r="C334" s="13" t="s">
        <v>275</v>
      </c>
      <c r="D334" s="14">
        <v>2</v>
      </c>
      <c r="E334" s="15">
        <v>0.5</v>
      </c>
      <c r="F334" s="16">
        <v>52259</v>
      </c>
      <c r="G334" s="15">
        <v>1.5</v>
      </c>
      <c r="H334" s="17">
        <v>61722</v>
      </c>
      <c r="I334" s="312">
        <v>1</v>
      </c>
      <c r="J334" s="313">
        <v>1</v>
      </c>
      <c r="K334" s="411">
        <v>1</v>
      </c>
      <c r="L334" s="428">
        <v>1</v>
      </c>
      <c r="M334" s="1" t="s">
        <v>168</v>
      </c>
      <c r="O334"/>
      <c r="P334"/>
      <c r="Q334"/>
    </row>
    <row r="335" spans="1:17" s="1" customFormat="1" ht="18.25" customHeight="1" outlineLevel="2">
      <c r="A335" s="571"/>
      <c r="B335" s="5" t="s">
        <v>3</v>
      </c>
      <c r="C335" s="18" t="s">
        <v>298</v>
      </c>
      <c r="D335" s="7" t="s">
        <v>492</v>
      </c>
      <c r="E335" s="8">
        <v>0</v>
      </c>
      <c r="F335" s="9">
        <v>0</v>
      </c>
      <c r="G335" s="8">
        <v>3</v>
      </c>
      <c r="H335" s="10">
        <v>13729</v>
      </c>
      <c r="I335" s="311">
        <v>1</v>
      </c>
      <c r="J335" s="406">
        <v>0</v>
      </c>
      <c r="K335" s="410">
        <v>0</v>
      </c>
      <c r="L335" s="427"/>
      <c r="O335"/>
      <c r="P335"/>
      <c r="Q335"/>
    </row>
    <row r="336" spans="1:17" s="1" customFormat="1" ht="18.25" customHeight="1" outlineLevel="1">
      <c r="A336" s="571"/>
      <c r="B336" s="12" t="s">
        <v>3</v>
      </c>
      <c r="C336" s="13" t="s">
        <v>298</v>
      </c>
      <c r="D336" s="14">
        <v>1</v>
      </c>
      <c r="E336" s="15">
        <v>0</v>
      </c>
      <c r="F336" s="16">
        <v>0</v>
      </c>
      <c r="G336" s="15">
        <v>3</v>
      </c>
      <c r="H336" s="17">
        <v>13729</v>
      </c>
      <c r="I336" s="312">
        <v>1</v>
      </c>
      <c r="J336" s="313">
        <v>0</v>
      </c>
      <c r="K336" s="411">
        <v>0</v>
      </c>
      <c r="L336" s="428">
        <v>0</v>
      </c>
      <c r="M336" s="1" t="s">
        <v>351</v>
      </c>
      <c r="O336"/>
      <c r="P336"/>
      <c r="Q336"/>
    </row>
    <row r="337" spans="1:17" s="1" customFormat="1" ht="18.25" customHeight="1" outlineLevel="2">
      <c r="A337" s="571"/>
      <c r="B337" s="5" t="s">
        <v>3</v>
      </c>
      <c r="C337" s="6" t="s">
        <v>144</v>
      </c>
      <c r="D337" s="7" t="s">
        <v>46</v>
      </c>
      <c r="E337" s="8">
        <v>0</v>
      </c>
      <c r="F337" s="9">
        <v>0</v>
      </c>
      <c r="G337" s="8">
        <v>0</v>
      </c>
      <c r="H337" s="10">
        <v>0</v>
      </c>
      <c r="I337" s="311">
        <v>0</v>
      </c>
      <c r="J337" s="406">
        <v>0</v>
      </c>
      <c r="K337" s="410">
        <v>0</v>
      </c>
      <c r="L337" s="427"/>
      <c r="O337"/>
      <c r="P337"/>
      <c r="Q337"/>
    </row>
    <row r="338" spans="1:17" s="1" customFormat="1" ht="18.25" customHeight="1" outlineLevel="2">
      <c r="A338" s="571"/>
      <c r="B338" s="5" t="s">
        <v>3</v>
      </c>
      <c r="C338" s="18" t="s">
        <v>145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11">
        <v>0</v>
      </c>
      <c r="J338" s="406">
        <v>0</v>
      </c>
      <c r="K338" s="410">
        <v>0</v>
      </c>
      <c r="L338" s="427"/>
      <c r="O338"/>
      <c r="P338"/>
      <c r="Q338"/>
    </row>
    <row r="339" spans="1:17" s="1" customFormat="1" ht="18.25" customHeight="1" outlineLevel="1">
      <c r="A339" s="571"/>
      <c r="B339" s="12" t="s">
        <v>3</v>
      </c>
      <c r="C339" s="13" t="s">
        <v>144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2">
        <v>0</v>
      </c>
      <c r="J339" s="313">
        <v>0</v>
      </c>
      <c r="K339" s="411">
        <v>0</v>
      </c>
      <c r="L339" s="428">
        <v>0</v>
      </c>
      <c r="M339" s="1" t="s">
        <v>50</v>
      </c>
      <c r="O339"/>
      <c r="P339"/>
      <c r="Q339"/>
    </row>
    <row r="340" spans="1:17" s="1" customFormat="1" ht="18.25" customHeight="1" outlineLevel="2">
      <c r="A340" s="571"/>
      <c r="B340" s="5" t="s">
        <v>3</v>
      </c>
      <c r="C340" s="18" t="s">
        <v>146</v>
      </c>
      <c r="D340" s="23" t="s">
        <v>19</v>
      </c>
      <c r="E340" s="8">
        <v>1</v>
      </c>
      <c r="F340" s="9">
        <v>16380</v>
      </c>
      <c r="G340" s="8">
        <v>6</v>
      </c>
      <c r="H340" s="10">
        <v>82720</v>
      </c>
      <c r="I340" s="311">
        <v>1</v>
      </c>
      <c r="J340" s="406">
        <v>1</v>
      </c>
      <c r="K340" s="410">
        <v>1</v>
      </c>
      <c r="L340" s="427"/>
      <c r="O340"/>
      <c r="P340"/>
      <c r="Q340"/>
    </row>
    <row r="341" spans="1:17" s="1" customFormat="1" ht="18.25" customHeight="1" outlineLevel="2">
      <c r="A341" s="571"/>
      <c r="B341" s="41" t="s">
        <v>3</v>
      </c>
      <c r="C341" s="39" t="s">
        <v>724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11">
        <v>0</v>
      </c>
      <c r="J341" s="406">
        <v>0</v>
      </c>
      <c r="K341" s="410">
        <v>0</v>
      </c>
      <c r="L341" s="427"/>
      <c r="O341"/>
      <c r="P341"/>
      <c r="Q341"/>
    </row>
    <row r="342" spans="1:17" s="1" customFormat="1" ht="18.25" customHeight="1" outlineLevel="1">
      <c r="A342" s="571"/>
      <c r="B342" s="12" t="s">
        <v>3</v>
      </c>
      <c r="C342" s="13" t="s">
        <v>147</v>
      </c>
      <c r="D342" s="14">
        <v>2</v>
      </c>
      <c r="E342" s="15">
        <v>1</v>
      </c>
      <c r="F342" s="16">
        <v>16380</v>
      </c>
      <c r="G342" s="15">
        <v>6</v>
      </c>
      <c r="H342" s="17">
        <v>82720</v>
      </c>
      <c r="I342" s="312">
        <v>1</v>
      </c>
      <c r="J342" s="313">
        <v>1</v>
      </c>
      <c r="K342" s="411">
        <v>1</v>
      </c>
      <c r="L342" s="428">
        <v>1</v>
      </c>
      <c r="M342" s="1" t="s">
        <v>168</v>
      </c>
      <c r="O342"/>
      <c r="P342"/>
      <c r="Q342"/>
    </row>
    <row r="343" spans="1:17" s="1" customFormat="1" ht="18.25" customHeight="1" outlineLevel="2">
      <c r="A343" s="571"/>
      <c r="B343" s="5" t="s">
        <v>3</v>
      </c>
      <c r="C343" s="18" t="s">
        <v>132</v>
      </c>
      <c r="D343" s="7" t="s">
        <v>24</v>
      </c>
      <c r="E343" s="8">
        <v>0</v>
      </c>
      <c r="F343" s="9">
        <v>0</v>
      </c>
      <c r="G343" s="8">
        <v>0</v>
      </c>
      <c r="H343" s="10">
        <v>0</v>
      </c>
      <c r="I343" s="311">
        <v>0</v>
      </c>
      <c r="J343" s="406">
        <v>0</v>
      </c>
      <c r="K343" s="410">
        <v>0</v>
      </c>
      <c r="L343" s="427"/>
      <c r="O343"/>
      <c r="P343"/>
      <c r="Q343"/>
    </row>
    <row r="344" spans="1:17" s="1" customFormat="1" ht="18.25" customHeight="1" outlineLevel="2">
      <c r="A344" s="571"/>
      <c r="B344" s="41" t="s">
        <v>3</v>
      </c>
      <c r="C344" s="39" t="s">
        <v>364</v>
      </c>
      <c r="D344" s="23" t="s">
        <v>16</v>
      </c>
      <c r="E344" s="8">
        <v>0</v>
      </c>
      <c r="F344" s="9">
        <v>0</v>
      </c>
      <c r="G344" s="8">
        <v>1</v>
      </c>
      <c r="H344" s="10">
        <v>21268</v>
      </c>
      <c r="I344" s="311">
        <v>1</v>
      </c>
      <c r="J344" s="406">
        <v>1</v>
      </c>
      <c r="K344" s="410">
        <v>0</v>
      </c>
      <c r="L344" s="427"/>
      <c r="O344"/>
      <c r="P344"/>
      <c r="Q344"/>
    </row>
    <row r="345" spans="1:17" s="1" customFormat="1" ht="18.25" customHeight="1" outlineLevel="2">
      <c r="A345" s="571"/>
      <c r="B345" s="5" t="s">
        <v>3</v>
      </c>
      <c r="C345" s="18" t="s">
        <v>355</v>
      </c>
      <c r="D345" s="7" t="s">
        <v>16</v>
      </c>
      <c r="E345" s="8">
        <v>0</v>
      </c>
      <c r="F345" s="9">
        <v>0</v>
      </c>
      <c r="G345" s="8">
        <v>0</v>
      </c>
      <c r="H345" s="10">
        <v>0</v>
      </c>
      <c r="I345" s="311">
        <v>0</v>
      </c>
      <c r="J345" s="406">
        <v>0</v>
      </c>
      <c r="K345" s="410">
        <v>0</v>
      </c>
      <c r="L345" s="427"/>
      <c r="O345"/>
      <c r="P345"/>
      <c r="Q345"/>
    </row>
    <row r="346" spans="1:17" s="1" customFormat="1" ht="18.25" customHeight="1" outlineLevel="1">
      <c r="A346" s="571"/>
      <c r="B346" s="12" t="s">
        <v>3</v>
      </c>
      <c r="C346" s="62" t="s">
        <v>132</v>
      </c>
      <c r="D346" s="14">
        <v>3</v>
      </c>
      <c r="E346" s="15">
        <v>0</v>
      </c>
      <c r="F346" s="16">
        <v>0</v>
      </c>
      <c r="G346" s="15">
        <v>1</v>
      </c>
      <c r="H346" s="17">
        <v>21268</v>
      </c>
      <c r="I346" s="312">
        <v>1</v>
      </c>
      <c r="J346" s="313">
        <v>1</v>
      </c>
      <c r="K346" s="411">
        <v>0</v>
      </c>
      <c r="L346" s="428">
        <v>0</v>
      </c>
      <c r="M346" s="1" t="s">
        <v>168</v>
      </c>
      <c r="O346"/>
      <c r="P346"/>
      <c r="Q346"/>
    </row>
    <row r="347" spans="1:17" s="1" customFormat="1" ht="18.25" customHeight="1" outlineLevel="2">
      <c r="A347" s="571"/>
      <c r="B347" s="5" t="s">
        <v>3</v>
      </c>
      <c r="C347" s="6" t="s">
        <v>133</v>
      </c>
      <c r="D347" s="7" t="s">
        <v>39</v>
      </c>
      <c r="E347" s="8">
        <v>0</v>
      </c>
      <c r="F347" s="9">
        <v>0</v>
      </c>
      <c r="G347" s="8">
        <v>0</v>
      </c>
      <c r="H347" s="10">
        <v>0</v>
      </c>
      <c r="I347" s="311">
        <v>0</v>
      </c>
      <c r="J347" s="406">
        <v>0</v>
      </c>
      <c r="K347" s="410">
        <v>0</v>
      </c>
      <c r="L347" s="427"/>
      <c r="O347"/>
      <c r="P347"/>
      <c r="Q347"/>
    </row>
    <row r="348" spans="1:17" s="1" customFormat="1" ht="18.25" customHeight="1" outlineLevel="2">
      <c r="A348" s="571"/>
      <c r="B348" s="5" t="s">
        <v>3</v>
      </c>
      <c r="C348" s="18" t="s">
        <v>134</v>
      </c>
      <c r="D348" s="7" t="s">
        <v>16</v>
      </c>
      <c r="E348" s="8">
        <v>0</v>
      </c>
      <c r="F348" s="9">
        <v>0</v>
      </c>
      <c r="G348" s="8">
        <v>1</v>
      </c>
      <c r="H348" s="10">
        <v>98356</v>
      </c>
      <c r="I348" s="311">
        <v>1</v>
      </c>
      <c r="J348" s="406">
        <v>1</v>
      </c>
      <c r="K348" s="410">
        <v>1</v>
      </c>
      <c r="L348" s="427"/>
      <c r="O348"/>
      <c r="P348"/>
      <c r="Q348"/>
    </row>
    <row r="349" spans="1:17" s="1" customFormat="1" ht="18.25" customHeight="1" outlineLevel="1">
      <c r="A349" s="571"/>
      <c r="B349" s="12" t="s">
        <v>3</v>
      </c>
      <c r="C349" s="62" t="s">
        <v>133</v>
      </c>
      <c r="D349" s="14">
        <v>2</v>
      </c>
      <c r="E349" s="15">
        <v>0</v>
      </c>
      <c r="F349" s="16">
        <v>0</v>
      </c>
      <c r="G349" s="15">
        <v>1</v>
      </c>
      <c r="H349" s="17">
        <v>98356</v>
      </c>
      <c r="I349" s="312">
        <v>1</v>
      </c>
      <c r="J349" s="313">
        <v>1</v>
      </c>
      <c r="K349" s="411">
        <v>1</v>
      </c>
      <c r="L349" s="428">
        <v>0</v>
      </c>
      <c r="M349" s="1" t="s">
        <v>50</v>
      </c>
      <c r="O349"/>
      <c r="P349"/>
      <c r="Q349"/>
    </row>
    <row r="350" spans="1:17" s="1" customFormat="1" ht="18.25" customHeight="1" outlineLevel="2">
      <c r="A350" s="571"/>
      <c r="B350" s="5" t="s">
        <v>3</v>
      </c>
      <c r="C350" s="6" t="s">
        <v>335</v>
      </c>
      <c r="D350" s="7" t="s">
        <v>168</v>
      </c>
      <c r="E350" s="8">
        <v>0</v>
      </c>
      <c r="F350" s="9">
        <v>0</v>
      </c>
      <c r="G350" s="8">
        <v>0</v>
      </c>
      <c r="H350" s="10">
        <v>0</v>
      </c>
      <c r="I350" s="311">
        <v>0</v>
      </c>
      <c r="J350" s="406">
        <v>0</v>
      </c>
      <c r="K350" s="410">
        <v>0</v>
      </c>
      <c r="L350" s="427"/>
      <c r="O350"/>
      <c r="P350"/>
      <c r="Q350"/>
    </row>
    <row r="351" spans="1:17" s="1" customFormat="1" ht="18.25" customHeight="1" outlineLevel="2">
      <c r="A351" s="571"/>
      <c r="B351" s="5" t="s">
        <v>3</v>
      </c>
      <c r="C351" s="6" t="s">
        <v>738</v>
      </c>
      <c r="D351" s="7" t="s">
        <v>26</v>
      </c>
      <c r="E351" s="8">
        <v>0</v>
      </c>
      <c r="F351" s="9">
        <v>0</v>
      </c>
      <c r="G351" s="8">
        <v>0</v>
      </c>
      <c r="H351" s="10">
        <v>0</v>
      </c>
      <c r="I351" s="311">
        <v>0</v>
      </c>
      <c r="J351" s="406">
        <v>0</v>
      </c>
      <c r="K351" s="410">
        <v>0</v>
      </c>
      <c r="L351" s="427"/>
      <c r="O351"/>
      <c r="P351"/>
      <c r="Q351"/>
    </row>
    <row r="352" spans="1:17" ht="18.25" customHeight="1" outlineLevel="1">
      <c r="B352" s="12" t="s">
        <v>3</v>
      </c>
      <c r="C352" s="62" t="s">
        <v>335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2">
        <v>0</v>
      </c>
      <c r="J352" s="313">
        <v>0</v>
      </c>
      <c r="K352" s="411">
        <v>0</v>
      </c>
      <c r="L352" s="428">
        <v>0</v>
      </c>
      <c r="M352" s="1" t="s">
        <v>168</v>
      </c>
    </row>
    <row r="353" spans="1:17" ht="18.25" customHeight="1" outlineLevel="2">
      <c r="B353" s="5" t="s">
        <v>3</v>
      </c>
      <c r="C353" s="6" t="s">
        <v>135</v>
      </c>
      <c r="D353" s="7" t="s">
        <v>19</v>
      </c>
      <c r="E353" s="8">
        <v>0</v>
      </c>
      <c r="F353" s="9">
        <v>0</v>
      </c>
      <c r="G353" s="8">
        <v>2</v>
      </c>
      <c r="H353" s="10">
        <v>6000</v>
      </c>
      <c r="I353" s="311">
        <v>1</v>
      </c>
      <c r="J353" s="406">
        <v>0</v>
      </c>
      <c r="K353" s="410">
        <v>0</v>
      </c>
      <c r="L353" s="427"/>
    </row>
    <row r="354" spans="1:17" ht="18.25" customHeight="1" outlineLevel="2">
      <c r="B354" s="5" t="s">
        <v>3</v>
      </c>
      <c r="C354" s="6" t="s">
        <v>494</v>
      </c>
      <c r="D354" s="23" t="s">
        <v>16</v>
      </c>
      <c r="E354" s="8">
        <v>0</v>
      </c>
      <c r="F354" s="9">
        <v>0</v>
      </c>
      <c r="G354" s="8">
        <v>0</v>
      </c>
      <c r="H354" s="10">
        <v>0</v>
      </c>
      <c r="I354" s="311">
        <v>0</v>
      </c>
      <c r="J354" s="406">
        <v>0</v>
      </c>
      <c r="K354" s="410">
        <v>0</v>
      </c>
      <c r="L354" s="427"/>
    </row>
    <row r="355" spans="1:17" ht="18.25" customHeight="1" outlineLevel="1">
      <c r="B355" s="12" t="s">
        <v>3</v>
      </c>
      <c r="C355" s="62" t="s">
        <v>135</v>
      </c>
      <c r="D355" s="14">
        <v>2</v>
      </c>
      <c r="E355" s="15">
        <v>0</v>
      </c>
      <c r="F355" s="16">
        <v>0</v>
      </c>
      <c r="G355" s="15">
        <v>2</v>
      </c>
      <c r="H355" s="17">
        <v>6000</v>
      </c>
      <c r="I355" s="312">
        <v>1</v>
      </c>
      <c r="J355" s="313">
        <v>0</v>
      </c>
      <c r="K355" s="411">
        <v>0</v>
      </c>
      <c r="L355" s="428">
        <v>0</v>
      </c>
      <c r="M355" s="1" t="s">
        <v>168</v>
      </c>
    </row>
    <row r="356" spans="1:17" s="150" customFormat="1" ht="18.25" customHeight="1">
      <c r="A356" s="570" t="s">
        <v>829</v>
      </c>
      <c r="B356" s="949" t="s">
        <v>9</v>
      </c>
      <c r="C356" s="950"/>
      <c r="D356" s="146">
        <v>46</v>
      </c>
      <c r="E356" s="151">
        <v>4</v>
      </c>
      <c r="F356" s="149">
        <v>111903</v>
      </c>
      <c r="G356" s="147">
        <v>55</v>
      </c>
      <c r="H356" s="153">
        <v>764332</v>
      </c>
      <c r="I356" s="315">
        <v>22</v>
      </c>
      <c r="J356" s="316">
        <v>17</v>
      </c>
      <c r="K356" s="412">
        <v>13</v>
      </c>
      <c r="L356" s="429">
        <v>2</v>
      </c>
      <c r="M356" s="249"/>
      <c r="N356" s="249"/>
    </row>
    <row r="357" spans="1:17" ht="18.25" customHeight="1" outlineLevel="2">
      <c r="B357" s="5" t="s">
        <v>265</v>
      </c>
      <c r="C357" s="6" t="s">
        <v>80</v>
      </c>
      <c r="D357" s="7" t="s">
        <v>53</v>
      </c>
      <c r="E357" s="8">
        <v>0</v>
      </c>
      <c r="F357" s="9">
        <v>0</v>
      </c>
      <c r="G357" s="8">
        <v>2</v>
      </c>
      <c r="H357" s="10">
        <v>11712</v>
      </c>
      <c r="I357" s="311">
        <v>1</v>
      </c>
      <c r="J357" s="406">
        <v>0</v>
      </c>
      <c r="K357" s="410">
        <v>0</v>
      </c>
      <c r="L357" s="427"/>
    </row>
    <row r="358" spans="1:17" ht="18.25" customHeight="1" outlineLevel="2">
      <c r="B358" s="5" t="s">
        <v>265</v>
      </c>
      <c r="C358" s="18" t="s">
        <v>86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11">
        <v>0</v>
      </c>
      <c r="J358" s="406">
        <v>0</v>
      </c>
      <c r="K358" s="410">
        <v>0</v>
      </c>
      <c r="L358" s="427"/>
    </row>
    <row r="359" spans="1:17" ht="18.25" customHeight="1" outlineLevel="2">
      <c r="B359" s="5" t="s">
        <v>265</v>
      </c>
      <c r="C359" s="18" t="s">
        <v>81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1">
        <v>0</v>
      </c>
      <c r="J359" s="406">
        <v>0</v>
      </c>
      <c r="K359" s="410">
        <v>0</v>
      </c>
      <c r="L359" s="427"/>
    </row>
    <row r="360" spans="1:17" ht="18.25" customHeight="1" outlineLevel="1">
      <c r="B360" s="12" t="s">
        <v>265</v>
      </c>
      <c r="C360" s="13" t="s">
        <v>84</v>
      </c>
      <c r="D360" s="14">
        <v>3</v>
      </c>
      <c r="E360" s="15">
        <v>0</v>
      </c>
      <c r="F360" s="16">
        <v>0</v>
      </c>
      <c r="G360" s="15">
        <v>2</v>
      </c>
      <c r="H360" s="17">
        <v>11712</v>
      </c>
      <c r="I360" s="312">
        <v>1</v>
      </c>
      <c r="J360" s="313">
        <v>0</v>
      </c>
      <c r="K360" s="411">
        <v>0</v>
      </c>
      <c r="L360" s="428">
        <v>0</v>
      </c>
      <c r="M360" s="1" t="s">
        <v>166</v>
      </c>
    </row>
    <row r="361" spans="1:17" ht="18.25" customHeight="1" outlineLevel="2">
      <c r="B361" s="5" t="s">
        <v>265</v>
      </c>
      <c r="C361" s="6" t="s">
        <v>570</v>
      </c>
      <c r="D361" s="7" t="s">
        <v>235</v>
      </c>
      <c r="E361" s="8">
        <v>0</v>
      </c>
      <c r="F361" s="9">
        <v>0</v>
      </c>
      <c r="G361" s="8">
        <v>7</v>
      </c>
      <c r="H361" s="10">
        <v>91576</v>
      </c>
      <c r="I361" s="311">
        <v>1</v>
      </c>
      <c r="J361" s="406">
        <v>1</v>
      </c>
      <c r="K361" s="410">
        <v>1</v>
      </c>
      <c r="L361" s="427"/>
    </row>
    <row r="362" spans="1:17" ht="18.25" customHeight="1" outlineLevel="1">
      <c r="B362" s="12" t="s">
        <v>265</v>
      </c>
      <c r="C362" s="13" t="s">
        <v>570</v>
      </c>
      <c r="D362" s="14">
        <v>1</v>
      </c>
      <c r="E362" s="15">
        <v>0</v>
      </c>
      <c r="F362" s="16">
        <v>0</v>
      </c>
      <c r="G362" s="15">
        <v>7</v>
      </c>
      <c r="H362" s="17">
        <v>91576</v>
      </c>
      <c r="I362" s="312">
        <v>1</v>
      </c>
      <c r="J362" s="313">
        <v>1</v>
      </c>
      <c r="K362" s="411">
        <v>1</v>
      </c>
      <c r="L362" s="428">
        <v>0</v>
      </c>
      <c r="M362" s="1" t="s">
        <v>662</v>
      </c>
    </row>
    <row r="363" spans="1:17" ht="18" customHeight="1" outlineLevel="2">
      <c r="B363" s="5" t="s">
        <v>265</v>
      </c>
      <c r="C363" s="18" t="s">
        <v>82</v>
      </c>
      <c r="D363" s="7" t="s">
        <v>21</v>
      </c>
      <c r="E363" s="8">
        <v>0</v>
      </c>
      <c r="F363" s="9">
        <v>0</v>
      </c>
      <c r="G363" s="8">
        <v>7</v>
      </c>
      <c r="H363" s="10">
        <v>65208</v>
      </c>
      <c r="I363" s="311">
        <v>1</v>
      </c>
      <c r="J363" s="406">
        <v>1</v>
      </c>
      <c r="K363" s="410">
        <v>1</v>
      </c>
      <c r="L363" s="427"/>
    </row>
    <row r="364" spans="1:17" ht="18.25" customHeight="1" outlineLevel="2">
      <c r="B364" s="5" t="s">
        <v>266</v>
      </c>
      <c r="C364" s="18" t="s">
        <v>340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11">
        <v>0</v>
      </c>
      <c r="J364" s="406">
        <v>0</v>
      </c>
      <c r="K364" s="410">
        <v>0</v>
      </c>
      <c r="L364" s="427"/>
    </row>
    <row r="365" spans="1:17" s="1" customFormat="1" ht="18.25" customHeight="1" outlineLevel="2">
      <c r="A365" s="571"/>
      <c r="B365" s="5" t="s">
        <v>266</v>
      </c>
      <c r="C365" s="18" t="s">
        <v>556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1">
        <v>0</v>
      </c>
      <c r="J365" s="406">
        <v>0</v>
      </c>
      <c r="K365" s="410">
        <v>0</v>
      </c>
      <c r="L365" s="427"/>
      <c r="O365"/>
      <c r="P365"/>
      <c r="Q365"/>
    </row>
    <row r="366" spans="1:17" s="1" customFormat="1" ht="18.25" customHeight="1" outlineLevel="1">
      <c r="A366" s="571"/>
      <c r="B366" s="12" t="s">
        <v>265</v>
      </c>
      <c r="C366" s="13" t="s">
        <v>82</v>
      </c>
      <c r="D366" s="14">
        <v>3</v>
      </c>
      <c r="E366" s="15">
        <v>0</v>
      </c>
      <c r="F366" s="16">
        <v>0</v>
      </c>
      <c r="G366" s="15">
        <v>7</v>
      </c>
      <c r="H366" s="17">
        <v>65208</v>
      </c>
      <c r="I366" s="312">
        <v>1</v>
      </c>
      <c r="J366" s="313">
        <v>1</v>
      </c>
      <c r="K366" s="411">
        <v>1</v>
      </c>
      <c r="L366" s="428">
        <v>0</v>
      </c>
      <c r="M366" s="1" t="s">
        <v>170</v>
      </c>
      <c r="O366"/>
      <c r="P366"/>
      <c r="Q366"/>
    </row>
    <row r="367" spans="1:17" s="1" customFormat="1" ht="18.25" customHeight="1" outlineLevel="2">
      <c r="A367" s="571"/>
      <c r="B367" s="5" t="s">
        <v>265</v>
      </c>
      <c r="C367" s="6" t="s">
        <v>85</v>
      </c>
      <c r="D367" s="7" t="s">
        <v>24</v>
      </c>
      <c r="E367" s="8">
        <v>0</v>
      </c>
      <c r="F367" s="9">
        <v>0</v>
      </c>
      <c r="G367" s="8">
        <v>4</v>
      </c>
      <c r="H367" s="10">
        <v>43339</v>
      </c>
      <c r="I367" s="311">
        <v>1</v>
      </c>
      <c r="J367" s="406">
        <v>1</v>
      </c>
      <c r="K367" s="410">
        <v>1</v>
      </c>
      <c r="L367" s="427"/>
      <c r="O367"/>
      <c r="P367"/>
      <c r="Q367"/>
    </row>
    <row r="368" spans="1:17" s="1" customFormat="1" ht="18.25" customHeight="1" outlineLevel="2">
      <c r="A368" s="571"/>
      <c r="B368" s="5" t="s">
        <v>265</v>
      </c>
      <c r="C368" s="6" t="s">
        <v>228</v>
      </c>
      <c r="D368" s="7" t="s">
        <v>16</v>
      </c>
      <c r="E368" s="8">
        <v>0</v>
      </c>
      <c r="F368" s="9">
        <v>0</v>
      </c>
      <c r="G368" s="8">
        <v>2</v>
      </c>
      <c r="H368" s="10">
        <v>1650</v>
      </c>
      <c r="I368" s="311">
        <v>1</v>
      </c>
      <c r="J368" s="406">
        <v>0</v>
      </c>
      <c r="K368" s="410">
        <v>0</v>
      </c>
      <c r="L368" s="427"/>
      <c r="O368"/>
      <c r="P368"/>
      <c r="Q368"/>
    </row>
    <row r="369" spans="1:17" s="1" customFormat="1" ht="18.25" customHeight="1" outlineLevel="1">
      <c r="A369" s="571"/>
      <c r="B369" s="12" t="s">
        <v>265</v>
      </c>
      <c r="C369" s="13" t="s">
        <v>85</v>
      </c>
      <c r="D369" s="14">
        <v>2</v>
      </c>
      <c r="E369" s="15">
        <v>0</v>
      </c>
      <c r="F369" s="16">
        <v>0</v>
      </c>
      <c r="G369" s="15">
        <v>6</v>
      </c>
      <c r="H369" s="17">
        <v>44989</v>
      </c>
      <c r="I369" s="312">
        <v>2</v>
      </c>
      <c r="J369" s="313">
        <v>1</v>
      </c>
      <c r="K369" s="411">
        <v>1</v>
      </c>
      <c r="L369" s="428">
        <v>1</v>
      </c>
      <c r="M369" s="1" t="s">
        <v>168</v>
      </c>
      <c r="O369"/>
      <c r="P369"/>
      <c r="Q369"/>
    </row>
    <row r="370" spans="1:17" s="1" customFormat="1" ht="18.25" customHeight="1" outlineLevel="2">
      <c r="A370" s="571"/>
      <c r="B370" s="5" t="s">
        <v>265</v>
      </c>
      <c r="C370" s="6" t="s">
        <v>83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11">
        <v>0</v>
      </c>
      <c r="J370" s="406">
        <v>0</v>
      </c>
      <c r="K370" s="410">
        <v>0</v>
      </c>
      <c r="L370" s="427"/>
      <c r="O370"/>
      <c r="P370"/>
      <c r="Q370"/>
    </row>
    <row r="371" spans="1:17" s="1" customFormat="1" ht="18.25" customHeight="1" outlineLevel="2">
      <c r="A371" s="571"/>
      <c r="B371" s="5" t="s">
        <v>265</v>
      </c>
      <c r="C371" s="6" t="s">
        <v>199</v>
      </c>
      <c r="D371" s="7" t="s">
        <v>16</v>
      </c>
      <c r="E371" s="8">
        <v>0</v>
      </c>
      <c r="F371" s="9">
        <v>0</v>
      </c>
      <c r="G371" s="8">
        <v>4</v>
      </c>
      <c r="H371" s="10">
        <v>69281</v>
      </c>
      <c r="I371" s="311">
        <v>1</v>
      </c>
      <c r="J371" s="406">
        <v>1</v>
      </c>
      <c r="K371" s="410">
        <v>1</v>
      </c>
      <c r="L371" s="427"/>
      <c r="O371"/>
      <c r="P371"/>
      <c r="Q371"/>
    </row>
    <row r="372" spans="1:17" s="1" customFormat="1" ht="18.25" customHeight="1" outlineLevel="1">
      <c r="A372" s="571"/>
      <c r="B372" s="12" t="s">
        <v>265</v>
      </c>
      <c r="C372" s="13" t="s">
        <v>83</v>
      </c>
      <c r="D372" s="14">
        <v>2</v>
      </c>
      <c r="E372" s="15">
        <v>0</v>
      </c>
      <c r="F372" s="16">
        <v>0</v>
      </c>
      <c r="G372" s="15">
        <v>4</v>
      </c>
      <c r="H372" s="17">
        <v>69281</v>
      </c>
      <c r="I372" s="312">
        <v>1</v>
      </c>
      <c r="J372" s="313">
        <v>1</v>
      </c>
      <c r="K372" s="411">
        <v>1</v>
      </c>
      <c r="L372" s="428">
        <v>1</v>
      </c>
      <c r="M372" s="1" t="s">
        <v>168</v>
      </c>
      <c r="O372"/>
      <c r="P372"/>
      <c r="Q372"/>
    </row>
    <row r="373" spans="1:17" s="1" customFormat="1" ht="18.25" customHeight="1" outlineLevel="2">
      <c r="A373" s="571"/>
      <c r="B373" s="5" t="s">
        <v>265</v>
      </c>
      <c r="C373" s="6" t="s">
        <v>213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11">
        <v>0</v>
      </c>
      <c r="J373" s="406">
        <v>0</v>
      </c>
      <c r="K373" s="410">
        <v>0</v>
      </c>
      <c r="L373" s="427"/>
      <c r="O373"/>
      <c r="P373"/>
      <c r="Q373"/>
    </row>
    <row r="374" spans="1:17" s="1" customFormat="1" ht="18.25" customHeight="1" outlineLevel="2">
      <c r="A374" s="571"/>
      <c r="B374" s="5" t="s">
        <v>265</v>
      </c>
      <c r="C374" s="39" t="s">
        <v>497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11">
        <v>0</v>
      </c>
      <c r="J374" s="406">
        <v>0</v>
      </c>
      <c r="K374" s="410">
        <v>0</v>
      </c>
      <c r="L374" s="427"/>
      <c r="O374"/>
      <c r="P374"/>
      <c r="Q374"/>
    </row>
    <row r="375" spans="1:17" s="1" customFormat="1" ht="18.25" customHeight="1" outlineLevel="2">
      <c r="A375" s="571"/>
      <c r="B375" s="5" t="s">
        <v>265</v>
      </c>
      <c r="C375" s="39" t="s">
        <v>614</v>
      </c>
      <c r="D375" s="7" t="s">
        <v>16</v>
      </c>
      <c r="E375" s="8">
        <v>0</v>
      </c>
      <c r="F375" s="9">
        <v>0</v>
      </c>
      <c r="G375" s="8">
        <v>1</v>
      </c>
      <c r="H375" s="10">
        <v>9447</v>
      </c>
      <c r="I375" s="311">
        <v>1</v>
      </c>
      <c r="J375" s="406">
        <v>0</v>
      </c>
      <c r="K375" s="410">
        <v>0</v>
      </c>
      <c r="L375" s="427"/>
      <c r="O375"/>
      <c r="P375"/>
      <c r="Q375"/>
    </row>
    <row r="376" spans="1:17" s="1" customFormat="1" ht="18.25" customHeight="1" outlineLevel="2">
      <c r="A376" s="571"/>
      <c r="B376" s="5" t="s">
        <v>265</v>
      </c>
      <c r="C376" s="6" t="s">
        <v>320</v>
      </c>
      <c r="D376" s="7" t="s">
        <v>187</v>
      </c>
      <c r="E376" s="8">
        <v>0</v>
      </c>
      <c r="F376" s="9">
        <v>0</v>
      </c>
      <c r="G376" s="8">
        <v>2</v>
      </c>
      <c r="H376" s="10">
        <v>57620</v>
      </c>
      <c r="I376" s="311">
        <v>1</v>
      </c>
      <c r="J376" s="406">
        <v>1</v>
      </c>
      <c r="K376" s="410">
        <v>1</v>
      </c>
      <c r="L376" s="427"/>
      <c r="O376"/>
      <c r="P376"/>
      <c r="Q376"/>
    </row>
    <row r="377" spans="1:17" s="1" customFormat="1" ht="18.25" customHeight="1" outlineLevel="1">
      <c r="A377" s="571"/>
      <c r="B377" s="12" t="s">
        <v>265</v>
      </c>
      <c r="C377" s="13" t="s">
        <v>239</v>
      </c>
      <c r="D377" s="14">
        <v>4</v>
      </c>
      <c r="E377" s="15">
        <v>0</v>
      </c>
      <c r="F377" s="16">
        <v>0</v>
      </c>
      <c r="G377" s="15">
        <v>3</v>
      </c>
      <c r="H377" s="17">
        <v>67067</v>
      </c>
      <c r="I377" s="312">
        <v>2</v>
      </c>
      <c r="J377" s="313">
        <v>1</v>
      </c>
      <c r="K377" s="411">
        <v>1</v>
      </c>
      <c r="L377" s="428">
        <v>0</v>
      </c>
      <c r="M377" s="1" t="s">
        <v>50</v>
      </c>
      <c r="O377"/>
      <c r="P377"/>
      <c r="Q377"/>
    </row>
    <row r="378" spans="1:17" s="1" customFormat="1" ht="18.25" customHeight="1" outlineLevel="2">
      <c r="A378" s="571"/>
      <c r="B378" s="5" t="s">
        <v>265</v>
      </c>
      <c r="C378" s="6" t="s">
        <v>793</v>
      </c>
      <c r="D378" s="19" t="s">
        <v>24</v>
      </c>
      <c r="E378" s="8">
        <v>0</v>
      </c>
      <c r="F378" s="9">
        <v>0</v>
      </c>
      <c r="G378" s="8">
        <v>5</v>
      </c>
      <c r="H378" s="10">
        <v>30688</v>
      </c>
      <c r="I378" s="311">
        <v>1</v>
      </c>
      <c r="J378" s="406">
        <v>1</v>
      </c>
      <c r="K378" s="410">
        <v>1</v>
      </c>
      <c r="L378" s="427"/>
      <c r="O378"/>
      <c r="P378"/>
      <c r="Q378"/>
    </row>
    <row r="379" spans="1:17" s="1" customFormat="1" ht="18.25" customHeight="1" outlineLevel="2">
      <c r="A379" s="571"/>
      <c r="B379" s="5" t="s">
        <v>265</v>
      </c>
      <c r="C379" s="6" t="s">
        <v>735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311">
        <v>0</v>
      </c>
      <c r="J379" s="406">
        <v>0</v>
      </c>
      <c r="K379" s="410">
        <v>0</v>
      </c>
      <c r="L379" s="427"/>
      <c r="O379"/>
      <c r="P379"/>
      <c r="Q379"/>
    </row>
    <row r="380" spans="1:17" s="1" customFormat="1" ht="18.25" customHeight="1" outlineLevel="1">
      <c r="A380" s="571"/>
      <c r="B380" s="12" t="s">
        <v>265</v>
      </c>
      <c r="C380" s="13" t="s">
        <v>292</v>
      </c>
      <c r="D380" s="14">
        <v>2</v>
      </c>
      <c r="E380" s="15">
        <v>0</v>
      </c>
      <c r="F380" s="16">
        <v>0</v>
      </c>
      <c r="G380" s="15">
        <v>5</v>
      </c>
      <c r="H380" s="17">
        <v>30688</v>
      </c>
      <c r="I380" s="312">
        <v>1</v>
      </c>
      <c r="J380" s="313">
        <v>1</v>
      </c>
      <c r="K380" s="411">
        <v>1</v>
      </c>
      <c r="L380" s="428">
        <v>1</v>
      </c>
      <c r="M380" s="1" t="s">
        <v>168</v>
      </c>
      <c r="O380"/>
      <c r="P380"/>
      <c r="Q380"/>
    </row>
    <row r="381" spans="1:17" ht="18.25" customHeight="1" outlineLevel="2">
      <c r="B381" s="5" t="s">
        <v>265</v>
      </c>
      <c r="C381" s="6" t="s">
        <v>87</v>
      </c>
      <c r="D381" s="7" t="s">
        <v>21</v>
      </c>
      <c r="E381" s="8">
        <v>0</v>
      </c>
      <c r="F381" s="9">
        <v>0</v>
      </c>
      <c r="G381" s="8">
        <v>4</v>
      </c>
      <c r="H381" s="10">
        <v>29650</v>
      </c>
      <c r="I381" s="311">
        <v>1</v>
      </c>
      <c r="J381" s="406">
        <v>1</v>
      </c>
      <c r="K381" s="410">
        <v>1</v>
      </c>
      <c r="L381" s="427"/>
    </row>
    <row r="382" spans="1:17" ht="18.25" customHeight="1" outlineLevel="2">
      <c r="B382" s="5" t="s">
        <v>265</v>
      </c>
      <c r="C382" s="6" t="s">
        <v>88</v>
      </c>
      <c r="D382" s="7" t="s">
        <v>16</v>
      </c>
      <c r="E382" s="8">
        <v>0</v>
      </c>
      <c r="F382" s="9">
        <v>0</v>
      </c>
      <c r="G382" s="8">
        <v>1</v>
      </c>
      <c r="H382" s="10">
        <v>14348</v>
      </c>
      <c r="I382" s="311">
        <v>1</v>
      </c>
      <c r="J382" s="406">
        <v>1</v>
      </c>
      <c r="K382" s="410">
        <v>0</v>
      </c>
      <c r="L382" s="427"/>
    </row>
    <row r="383" spans="1:17" ht="18.25" customHeight="1" outlineLevel="1">
      <c r="B383" s="12" t="s">
        <v>265</v>
      </c>
      <c r="C383" s="13" t="s">
        <v>87</v>
      </c>
      <c r="D383" s="14">
        <v>2</v>
      </c>
      <c r="E383" s="15">
        <v>0</v>
      </c>
      <c r="F383" s="16">
        <v>0</v>
      </c>
      <c r="G383" s="15">
        <v>5</v>
      </c>
      <c r="H383" s="17">
        <v>43998</v>
      </c>
      <c r="I383" s="312">
        <v>2</v>
      </c>
      <c r="J383" s="313">
        <v>2</v>
      </c>
      <c r="K383" s="411">
        <v>1</v>
      </c>
      <c r="L383" s="428">
        <v>0</v>
      </c>
      <c r="M383" s="1" t="s">
        <v>170</v>
      </c>
    </row>
    <row r="384" spans="1:17" s="150" customFormat="1" ht="18.25" customHeight="1">
      <c r="A384" s="570" t="s">
        <v>265</v>
      </c>
      <c r="B384" s="949" t="s">
        <v>265</v>
      </c>
      <c r="C384" s="950"/>
      <c r="D384" s="146">
        <v>19</v>
      </c>
      <c r="E384" s="151">
        <v>0</v>
      </c>
      <c r="F384" s="152">
        <v>0</v>
      </c>
      <c r="G384" s="147">
        <v>39</v>
      </c>
      <c r="H384" s="153">
        <v>424519</v>
      </c>
      <c r="I384" s="315">
        <v>11</v>
      </c>
      <c r="J384" s="316">
        <v>8</v>
      </c>
      <c r="K384" s="412">
        <v>7</v>
      </c>
      <c r="L384" s="429">
        <v>3</v>
      </c>
      <c r="M384" s="249"/>
      <c r="N384" s="249"/>
    </row>
    <row r="385" spans="1:17" ht="18.25" customHeight="1" outlineLevel="2">
      <c r="B385" s="5" t="s">
        <v>205</v>
      </c>
      <c r="C385" s="6" t="s">
        <v>96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11">
        <v>0</v>
      </c>
      <c r="J385" s="406">
        <v>0</v>
      </c>
      <c r="K385" s="410">
        <v>0</v>
      </c>
      <c r="L385" s="427"/>
    </row>
    <row r="386" spans="1:17" ht="18.25" customHeight="1" outlineLevel="2">
      <c r="B386" s="5" t="s">
        <v>204</v>
      </c>
      <c r="C386" s="6" t="s">
        <v>679</v>
      </c>
      <c r="D386" s="7" t="s">
        <v>38</v>
      </c>
      <c r="E386" s="8">
        <v>0</v>
      </c>
      <c r="F386" s="9">
        <v>0</v>
      </c>
      <c r="G386" s="8">
        <v>1</v>
      </c>
      <c r="H386" s="10">
        <v>13649</v>
      </c>
      <c r="I386" s="311">
        <v>1</v>
      </c>
      <c r="J386" s="406">
        <v>1</v>
      </c>
      <c r="K386" s="410">
        <v>0</v>
      </c>
      <c r="L386" s="427"/>
    </row>
    <row r="387" spans="1:17" ht="18.25" customHeight="1" outlineLevel="2">
      <c r="B387" s="5" t="s">
        <v>204</v>
      </c>
      <c r="C387" s="6" t="s">
        <v>97</v>
      </c>
      <c r="D387" s="23" t="s">
        <v>16</v>
      </c>
      <c r="E387" s="8">
        <v>0</v>
      </c>
      <c r="F387" s="9">
        <v>0</v>
      </c>
      <c r="G387" s="8">
        <v>2</v>
      </c>
      <c r="H387" s="10">
        <v>16328</v>
      </c>
      <c r="I387" s="311">
        <v>1</v>
      </c>
      <c r="J387" s="406">
        <v>1</v>
      </c>
      <c r="K387" s="410">
        <v>0</v>
      </c>
      <c r="L387" s="427"/>
    </row>
    <row r="388" spans="1:17" ht="18.25" customHeight="1" outlineLevel="1">
      <c r="B388" s="12" t="s">
        <v>204</v>
      </c>
      <c r="C388" s="13" t="s">
        <v>99</v>
      </c>
      <c r="D388" s="14">
        <v>3</v>
      </c>
      <c r="E388" s="15">
        <v>0</v>
      </c>
      <c r="F388" s="16">
        <v>0</v>
      </c>
      <c r="G388" s="15">
        <v>3</v>
      </c>
      <c r="H388" s="17">
        <v>29977</v>
      </c>
      <c r="I388" s="312">
        <v>2</v>
      </c>
      <c r="J388" s="313">
        <v>2</v>
      </c>
      <c r="K388" s="411">
        <v>0</v>
      </c>
      <c r="L388" s="428">
        <v>0</v>
      </c>
      <c r="M388" s="1" t="s">
        <v>166</v>
      </c>
    </row>
    <row r="389" spans="1:17" ht="18.25" customHeight="1" outlineLevel="2">
      <c r="B389" s="5" t="s">
        <v>205</v>
      </c>
      <c r="C389" s="6" t="s">
        <v>177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11">
        <v>0</v>
      </c>
      <c r="J389" s="406">
        <v>0</v>
      </c>
      <c r="K389" s="410">
        <v>0</v>
      </c>
      <c r="L389" s="427"/>
    </row>
    <row r="390" spans="1:17" ht="18.25" customHeight="1" outlineLevel="2">
      <c r="B390" s="5" t="s">
        <v>204</v>
      </c>
      <c r="C390" s="6" t="s">
        <v>178</v>
      </c>
      <c r="D390" s="7" t="s">
        <v>26</v>
      </c>
      <c r="E390" s="8">
        <v>0</v>
      </c>
      <c r="F390" s="9">
        <v>0</v>
      </c>
      <c r="G390" s="8">
        <v>3</v>
      </c>
      <c r="H390" s="10">
        <v>90576</v>
      </c>
      <c r="I390" s="311">
        <v>1</v>
      </c>
      <c r="J390" s="406">
        <v>1</v>
      </c>
      <c r="K390" s="410">
        <v>1</v>
      </c>
      <c r="L390" s="427"/>
    </row>
    <row r="391" spans="1:17" ht="18.25" customHeight="1" outlineLevel="1">
      <c r="B391" s="12" t="s">
        <v>204</v>
      </c>
      <c r="C391" s="13" t="s">
        <v>177</v>
      </c>
      <c r="D391" s="14">
        <v>2</v>
      </c>
      <c r="E391" s="15">
        <v>0</v>
      </c>
      <c r="F391" s="16">
        <v>0</v>
      </c>
      <c r="G391" s="15">
        <v>3</v>
      </c>
      <c r="H391" s="17">
        <v>90576</v>
      </c>
      <c r="I391" s="312">
        <v>1</v>
      </c>
      <c r="J391" s="313">
        <v>1</v>
      </c>
      <c r="K391" s="411">
        <v>1</v>
      </c>
      <c r="L391" s="428">
        <v>0</v>
      </c>
      <c r="M391" s="1" t="s">
        <v>50</v>
      </c>
    </row>
    <row r="392" spans="1:17" ht="18.25" customHeight="1" outlineLevel="2">
      <c r="B392" s="5" t="s">
        <v>205</v>
      </c>
      <c r="C392" s="6" t="s">
        <v>315</v>
      </c>
      <c r="D392" s="19" t="s">
        <v>21</v>
      </c>
      <c r="E392" s="8">
        <v>0</v>
      </c>
      <c r="F392" s="9">
        <v>0</v>
      </c>
      <c r="G392" s="8">
        <v>18</v>
      </c>
      <c r="H392" s="10">
        <v>332203</v>
      </c>
      <c r="I392" s="311">
        <v>1</v>
      </c>
      <c r="J392" s="406">
        <v>1</v>
      </c>
      <c r="K392" s="410">
        <v>1</v>
      </c>
      <c r="L392" s="427"/>
    </row>
    <row r="393" spans="1:17" ht="18.25" customHeight="1" outlineLevel="2">
      <c r="B393" s="5" t="s">
        <v>204</v>
      </c>
      <c r="C393" s="39" t="s">
        <v>728</v>
      </c>
      <c r="D393" s="7" t="s">
        <v>38</v>
      </c>
      <c r="E393" s="8">
        <v>0</v>
      </c>
      <c r="F393" s="9">
        <v>0</v>
      </c>
      <c r="G393" s="8">
        <v>2</v>
      </c>
      <c r="H393" s="10">
        <v>6097</v>
      </c>
      <c r="I393" s="311">
        <v>1</v>
      </c>
      <c r="J393" s="406">
        <v>0</v>
      </c>
      <c r="K393" s="410">
        <v>0</v>
      </c>
      <c r="L393" s="427"/>
    </row>
    <row r="394" spans="1:17" ht="18.25" customHeight="1" outlineLevel="2">
      <c r="B394" s="5" t="s">
        <v>204</v>
      </c>
      <c r="C394" s="75" t="s">
        <v>891</v>
      </c>
      <c r="D394" s="45"/>
      <c r="E394" s="8">
        <v>0</v>
      </c>
      <c r="F394" s="9">
        <v>0</v>
      </c>
      <c r="G394" s="8">
        <v>1</v>
      </c>
      <c r="H394" s="10">
        <v>2827</v>
      </c>
      <c r="I394" s="319"/>
      <c r="J394" s="408"/>
      <c r="K394" s="415"/>
      <c r="L394" s="427"/>
    </row>
    <row r="395" spans="1:17" ht="18.25" customHeight="1" outlineLevel="1">
      <c r="B395" s="12" t="s">
        <v>204</v>
      </c>
      <c r="C395" s="13" t="s">
        <v>315</v>
      </c>
      <c r="D395" s="14">
        <v>2</v>
      </c>
      <c r="E395" s="15">
        <v>0</v>
      </c>
      <c r="F395" s="16">
        <v>0</v>
      </c>
      <c r="G395" s="15">
        <v>21</v>
      </c>
      <c r="H395" s="17">
        <v>341127</v>
      </c>
      <c r="I395" s="312">
        <v>2</v>
      </c>
      <c r="J395" s="313">
        <v>1</v>
      </c>
      <c r="K395" s="411">
        <v>1</v>
      </c>
      <c r="L395" s="428">
        <v>0</v>
      </c>
      <c r="M395" s="1" t="s">
        <v>170</v>
      </c>
    </row>
    <row r="396" spans="1:17" s="1" customFormat="1" ht="18.25" customHeight="1" outlineLevel="2">
      <c r="A396" s="571"/>
      <c r="B396" s="5" t="s">
        <v>205</v>
      </c>
      <c r="C396" s="6" t="s">
        <v>797</v>
      </c>
      <c r="D396" s="19" t="s">
        <v>924</v>
      </c>
      <c r="E396" s="8">
        <v>0</v>
      </c>
      <c r="F396" s="9">
        <v>0</v>
      </c>
      <c r="G396" s="8">
        <v>7</v>
      </c>
      <c r="H396" s="10">
        <v>92018</v>
      </c>
      <c r="I396" s="311">
        <v>1</v>
      </c>
      <c r="J396" s="406">
        <v>1</v>
      </c>
      <c r="K396" s="410">
        <v>1</v>
      </c>
      <c r="L396" s="427"/>
      <c r="O396"/>
      <c r="P396"/>
      <c r="Q396"/>
    </row>
    <row r="397" spans="1:17" s="1" customFormat="1" ht="18.25" customHeight="1" outlineLevel="1">
      <c r="A397" s="571"/>
      <c r="B397" s="12" t="s">
        <v>204</v>
      </c>
      <c r="C397" s="13" t="s">
        <v>797</v>
      </c>
      <c r="D397" s="14">
        <v>1</v>
      </c>
      <c r="E397" s="15">
        <v>0</v>
      </c>
      <c r="F397" s="16">
        <v>0</v>
      </c>
      <c r="G397" s="15">
        <v>7</v>
      </c>
      <c r="H397" s="17">
        <v>92018</v>
      </c>
      <c r="I397" s="312">
        <v>1</v>
      </c>
      <c r="J397" s="313">
        <v>1</v>
      </c>
      <c r="K397" s="411">
        <v>1</v>
      </c>
      <c r="L397" s="428">
        <v>0</v>
      </c>
      <c r="M397" s="1" t="s">
        <v>26</v>
      </c>
      <c r="O397"/>
      <c r="P397"/>
      <c r="Q397"/>
    </row>
    <row r="398" spans="1:17" s="1" customFormat="1" ht="18.25" customHeight="1" outlineLevel="2">
      <c r="A398" s="571"/>
      <c r="B398" s="5" t="s">
        <v>205</v>
      </c>
      <c r="C398" s="6" t="s">
        <v>853</v>
      </c>
      <c r="D398" s="19" t="s">
        <v>21</v>
      </c>
      <c r="E398" s="8">
        <v>0</v>
      </c>
      <c r="F398" s="9">
        <v>0</v>
      </c>
      <c r="G398" s="8">
        <v>2</v>
      </c>
      <c r="H398" s="10">
        <v>17424</v>
      </c>
      <c r="I398" s="311">
        <v>1</v>
      </c>
      <c r="J398" s="406">
        <v>0</v>
      </c>
      <c r="K398" s="410">
        <v>0</v>
      </c>
      <c r="L398" s="427"/>
      <c r="O398"/>
      <c r="P398"/>
      <c r="Q398"/>
    </row>
    <row r="399" spans="1:17" s="1" customFormat="1" ht="18.25" customHeight="1" outlineLevel="1">
      <c r="A399" s="571"/>
      <c r="B399" s="12" t="s">
        <v>204</v>
      </c>
      <c r="C399" s="13" t="s">
        <v>853</v>
      </c>
      <c r="D399" s="14">
        <v>1</v>
      </c>
      <c r="E399" s="15">
        <v>0</v>
      </c>
      <c r="F399" s="16">
        <v>0</v>
      </c>
      <c r="G399" s="15">
        <v>2</v>
      </c>
      <c r="H399" s="17">
        <v>17424</v>
      </c>
      <c r="I399" s="312">
        <v>1</v>
      </c>
      <c r="J399" s="313">
        <v>0</v>
      </c>
      <c r="K399" s="411">
        <v>0</v>
      </c>
      <c r="L399" s="428">
        <v>0</v>
      </c>
      <c r="M399" s="1" t="s">
        <v>170</v>
      </c>
      <c r="O399"/>
      <c r="P399"/>
      <c r="Q399"/>
    </row>
    <row r="400" spans="1:17" s="1" customFormat="1" ht="18.25" customHeight="1" outlineLevel="2">
      <c r="A400" s="571"/>
      <c r="B400" s="5" t="s">
        <v>204</v>
      </c>
      <c r="C400" s="18" t="s">
        <v>98</v>
      </c>
      <c r="D400" s="23" t="s">
        <v>21</v>
      </c>
      <c r="E400" s="8">
        <v>0</v>
      </c>
      <c r="F400" s="9">
        <v>0</v>
      </c>
      <c r="G400" s="8">
        <v>5</v>
      </c>
      <c r="H400" s="10">
        <v>50790</v>
      </c>
      <c r="I400" s="311">
        <v>1</v>
      </c>
      <c r="J400" s="406">
        <v>1</v>
      </c>
      <c r="K400" s="410">
        <v>1</v>
      </c>
      <c r="L400" s="427"/>
      <c r="O400"/>
      <c r="P400"/>
      <c r="Q400"/>
    </row>
    <row r="401" spans="1:17" s="1" customFormat="1" ht="18.25" customHeight="1" outlineLevel="2">
      <c r="A401" s="571"/>
      <c r="B401" s="5" t="s">
        <v>204</v>
      </c>
      <c r="C401" s="18" t="s">
        <v>198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11">
        <v>0</v>
      </c>
      <c r="J401" s="406">
        <v>0</v>
      </c>
      <c r="K401" s="410">
        <v>0</v>
      </c>
      <c r="L401" s="427"/>
      <c r="O401"/>
      <c r="P401"/>
      <c r="Q401"/>
    </row>
    <row r="402" spans="1:17" s="1" customFormat="1" ht="18.25" customHeight="1" outlineLevel="2">
      <c r="A402" s="571"/>
      <c r="B402" s="5" t="s">
        <v>204</v>
      </c>
      <c r="C402" s="18" t="s">
        <v>729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11">
        <v>0</v>
      </c>
      <c r="J402" s="406">
        <v>0</v>
      </c>
      <c r="K402" s="410">
        <v>0</v>
      </c>
      <c r="L402" s="427"/>
      <c r="O402"/>
      <c r="P402"/>
      <c r="Q402"/>
    </row>
    <row r="403" spans="1:17" s="1" customFormat="1" ht="18.25" customHeight="1" outlineLevel="1">
      <c r="A403" s="571"/>
      <c r="B403" s="12" t="s">
        <v>204</v>
      </c>
      <c r="C403" s="13" t="s">
        <v>98</v>
      </c>
      <c r="D403" s="14">
        <v>3</v>
      </c>
      <c r="E403" s="15">
        <v>0</v>
      </c>
      <c r="F403" s="16">
        <v>0</v>
      </c>
      <c r="G403" s="15">
        <v>5</v>
      </c>
      <c r="H403" s="17">
        <v>50790</v>
      </c>
      <c r="I403" s="312">
        <v>1</v>
      </c>
      <c r="J403" s="313">
        <v>1</v>
      </c>
      <c r="K403" s="411">
        <v>1</v>
      </c>
      <c r="L403" s="428">
        <v>0</v>
      </c>
      <c r="M403" s="1" t="s">
        <v>170</v>
      </c>
      <c r="O403"/>
      <c r="P403"/>
      <c r="Q403"/>
    </row>
    <row r="404" spans="1:17" s="1" customFormat="1" ht="18.25" customHeight="1" outlineLevel="2">
      <c r="A404" s="571"/>
      <c r="B404" s="5" t="s">
        <v>204</v>
      </c>
      <c r="C404" s="18" t="s">
        <v>346</v>
      </c>
      <c r="D404" s="23" t="s">
        <v>24</v>
      </c>
      <c r="E404" s="8">
        <v>0</v>
      </c>
      <c r="F404" s="9">
        <v>0</v>
      </c>
      <c r="G404" s="8">
        <v>5</v>
      </c>
      <c r="H404" s="10">
        <v>75085</v>
      </c>
      <c r="I404" s="311">
        <v>1</v>
      </c>
      <c r="J404" s="406">
        <v>1</v>
      </c>
      <c r="K404" s="410">
        <v>1</v>
      </c>
      <c r="L404" s="427"/>
      <c r="O404"/>
      <c r="P404"/>
      <c r="Q404"/>
    </row>
    <row r="405" spans="1:17" s="1" customFormat="1" ht="18.25" customHeight="1" outlineLevel="2">
      <c r="A405" s="571"/>
      <c r="B405" s="5" t="s">
        <v>204</v>
      </c>
      <c r="C405" s="18" t="s">
        <v>739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11">
        <v>0</v>
      </c>
      <c r="J405" s="406">
        <v>0</v>
      </c>
      <c r="K405" s="410">
        <v>0</v>
      </c>
      <c r="L405" s="427"/>
      <c r="O405"/>
      <c r="P405"/>
      <c r="Q405"/>
    </row>
    <row r="406" spans="1:17" s="1" customFormat="1" ht="18.25" customHeight="1" outlineLevel="1">
      <c r="A406" s="571"/>
      <c r="B406" s="12" t="s">
        <v>204</v>
      </c>
      <c r="C406" s="13" t="s">
        <v>346</v>
      </c>
      <c r="D406" s="14">
        <v>2</v>
      </c>
      <c r="E406" s="15">
        <v>0</v>
      </c>
      <c r="F406" s="16">
        <v>0</v>
      </c>
      <c r="G406" s="15">
        <v>5</v>
      </c>
      <c r="H406" s="17">
        <v>75085</v>
      </c>
      <c r="I406" s="312">
        <v>1</v>
      </c>
      <c r="J406" s="313">
        <v>1</v>
      </c>
      <c r="K406" s="411">
        <v>1</v>
      </c>
      <c r="L406" s="428">
        <v>1</v>
      </c>
      <c r="M406" s="1" t="s">
        <v>168</v>
      </c>
      <c r="O406"/>
      <c r="P406"/>
      <c r="Q406"/>
    </row>
    <row r="407" spans="1:17" s="1" customFormat="1" ht="18.25" customHeight="1" outlineLevel="2">
      <c r="A407" s="571"/>
      <c r="B407" s="5" t="s">
        <v>204</v>
      </c>
      <c r="C407" s="18" t="s">
        <v>100</v>
      </c>
      <c r="D407" s="7" t="s">
        <v>21</v>
      </c>
      <c r="E407" s="8">
        <v>0</v>
      </c>
      <c r="F407" s="9">
        <v>0</v>
      </c>
      <c r="G407" s="8">
        <v>0</v>
      </c>
      <c r="H407" s="10">
        <v>0</v>
      </c>
      <c r="I407" s="311">
        <v>0</v>
      </c>
      <c r="J407" s="406">
        <v>0</v>
      </c>
      <c r="K407" s="410">
        <v>0</v>
      </c>
      <c r="L407" s="427"/>
      <c r="O407"/>
      <c r="P407"/>
      <c r="Q407"/>
    </row>
    <row r="408" spans="1:17" s="1" customFormat="1" ht="18.25" customHeight="1" outlineLevel="2">
      <c r="A408" s="571"/>
      <c r="B408" s="5" t="s">
        <v>204</v>
      </c>
      <c r="C408" s="18" t="s">
        <v>334</v>
      </c>
      <c r="D408" s="7" t="s">
        <v>38</v>
      </c>
      <c r="E408" s="8">
        <v>0</v>
      </c>
      <c r="F408" s="9">
        <v>0</v>
      </c>
      <c r="G408" s="8">
        <v>2</v>
      </c>
      <c r="H408" s="10">
        <v>11352</v>
      </c>
      <c r="I408" s="311">
        <v>1</v>
      </c>
      <c r="J408" s="406">
        <v>1</v>
      </c>
      <c r="K408" s="410">
        <v>0</v>
      </c>
      <c r="L408" s="427"/>
      <c r="O408"/>
      <c r="P408"/>
      <c r="Q408"/>
    </row>
    <row r="409" spans="1:17" s="1" customFormat="1" ht="18.25" customHeight="1" outlineLevel="1">
      <c r="A409" s="571"/>
      <c r="B409" s="12" t="s">
        <v>204</v>
      </c>
      <c r="C409" s="13" t="s">
        <v>100</v>
      </c>
      <c r="D409" s="14">
        <v>2</v>
      </c>
      <c r="E409" s="15">
        <v>0</v>
      </c>
      <c r="F409" s="16">
        <v>0</v>
      </c>
      <c r="G409" s="15">
        <v>2</v>
      </c>
      <c r="H409" s="17">
        <v>11352</v>
      </c>
      <c r="I409" s="312">
        <v>1</v>
      </c>
      <c r="J409" s="313">
        <v>1</v>
      </c>
      <c r="K409" s="411">
        <v>0</v>
      </c>
      <c r="L409" s="428">
        <v>0</v>
      </c>
      <c r="M409" s="1" t="s">
        <v>170</v>
      </c>
      <c r="O409"/>
      <c r="P409"/>
      <c r="Q409"/>
    </row>
    <row r="410" spans="1:17" s="1" customFormat="1" ht="18.25" customHeight="1" outlineLevel="2">
      <c r="A410" s="571"/>
      <c r="B410" s="5" t="s">
        <v>204</v>
      </c>
      <c r="C410" s="18" t="s">
        <v>332</v>
      </c>
      <c r="D410" s="7" t="s">
        <v>188</v>
      </c>
      <c r="E410" s="8">
        <v>0</v>
      </c>
      <c r="F410" s="9">
        <v>0</v>
      </c>
      <c r="G410" s="8">
        <v>2</v>
      </c>
      <c r="H410" s="10">
        <v>44105</v>
      </c>
      <c r="I410" s="311">
        <v>1</v>
      </c>
      <c r="J410" s="406">
        <v>1</v>
      </c>
      <c r="K410" s="410">
        <v>1</v>
      </c>
      <c r="L410" s="427"/>
      <c r="O410"/>
      <c r="P410"/>
      <c r="Q410"/>
    </row>
    <row r="411" spans="1:17" s="1" customFormat="1" ht="18.25" customHeight="1" outlineLevel="2">
      <c r="A411" s="571"/>
      <c r="B411" s="5" t="s">
        <v>204</v>
      </c>
      <c r="C411" s="11" t="s">
        <v>633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11">
        <v>0</v>
      </c>
      <c r="J411" s="406">
        <v>0</v>
      </c>
      <c r="K411" s="410">
        <v>0</v>
      </c>
      <c r="L411" s="427"/>
      <c r="O411"/>
      <c r="P411"/>
      <c r="Q411"/>
    </row>
    <row r="412" spans="1:17" s="1" customFormat="1" ht="18.25" customHeight="1" outlineLevel="1">
      <c r="A412" s="571"/>
      <c r="B412" s="12" t="s">
        <v>204</v>
      </c>
      <c r="C412" s="13" t="s">
        <v>332</v>
      </c>
      <c r="D412" s="14">
        <v>2</v>
      </c>
      <c r="E412" s="15">
        <v>0</v>
      </c>
      <c r="F412" s="15">
        <v>0</v>
      </c>
      <c r="G412" s="15">
        <v>2</v>
      </c>
      <c r="H412" s="21">
        <v>44105</v>
      </c>
      <c r="I412" s="312">
        <v>1</v>
      </c>
      <c r="J412" s="313">
        <v>1</v>
      </c>
      <c r="K412" s="411">
        <v>1</v>
      </c>
      <c r="L412" s="428">
        <v>1</v>
      </c>
      <c r="M412" s="1" t="s">
        <v>168</v>
      </c>
      <c r="O412"/>
      <c r="P412"/>
      <c r="Q412"/>
    </row>
    <row r="413" spans="1:17" s="1" customFormat="1" ht="18.25" customHeight="1" outlineLevel="2">
      <c r="A413" s="571"/>
      <c r="B413" s="5" t="s">
        <v>204</v>
      </c>
      <c r="C413" s="18" t="s">
        <v>484</v>
      </c>
      <c r="D413" s="7" t="s">
        <v>238</v>
      </c>
      <c r="E413" s="8">
        <v>2</v>
      </c>
      <c r="F413" s="9">
        <v>6009</v>
      </c>
      <c r="G413" s="8">
        <v>4</v>
      </c>
      <c r="H413" s="10">
        <v>26053</v>
      </c>
      <c r="I413" s="311">
        <v>1</v>
      </c>
      <c r="J413" s="406">
        <v>1</v>
      </c>
      <c r="K413" s="410">
        <v>1</v>
      </c>
      <c r="L413" s="427"/>
      <c r="O413"/>
      <c r="P413"/>
      <c r="Q413"/>
    </row>
    <row r="414" spans="1:17" s="1" customFormat="1" ht="18.25" customHeight="1" outlineLevel="2">
      <c r="A414" s="571"/>
      <c r="B414" s="5" t="s">
        <v>204</v>
      </c>
      <c r="C414" s="50" t="s">
        <v>703</v>
      </c>
      <c r="D414" s="19" t="s">
        <v>38</v>
      </c>
      <c r="E414" s="8">
        <v>1</v>
      </c>
      <c r="F414" s="9">
        <v>5368</v>
      </c>
      <c r="G414" s="8">
        <v>1</v>
      </c>
      <c r="H414" s="10">
        <v>5368</v>
      </c>
      <c r="I414" s="311">
        <v>1</v>
      </c>
      <c r="J414" s="406">
        <v>0</v>
      </c>
      <c r="K414" s="410">
        <v>0</v>
      </c>
      <c r="L414" s="427"/>
      <c r="O414"/>
      <c r="P414"/>
      <c r="Q414"/>
    </row>
    <row r="415" spans="1:17" s="1" customFormat="1" ht="18.25" customHeight="1" outlineLevel="1">
      <c r="A415" s="571"/>
      <c r="B415" s="12" t="s">
        <v>204</v>
      </c>
      <c r="C415" s="13" t="s">
        <v>484</v>
      </c>
      <c r="D415" s="14">
        <v>2</v>
      </c>
      <c r="E415" s="15">
        <v>3</v>
      </c>
      <c r="F415" s="15">
        <v>11377</v>
      </c>
      <c r="G415" s="15">
        <v>5</v>
      </c>
      <c r="H415" s="21">
        <v>31421</v>
      </c>
      <c r="I415" s="312">
        <v>2</v>
      </c>
      <c r="J415" s="313">
        <v>1</v>
      </c>
      <c r="K415" s="411">
        <v>1</v>
      </c>
      <c r="L415" s="428">
        <v>0</v>
      </c>
      <c r="M415" s="1" t="s">
        <v>170</v>
      </c>
      <c r="O415"/>
      <c r="P415"/>
      <c r="Q415"/>
    </row>
    <row r="416" spans="1:17" s="1" customFormat="1" ht="18.25" customHeight="1" outlineLevel="2">
      <c r="A416" s="571"/>
      <c r="B416" s="5" t="s">
        <v>204</v>
      </c>
      <c r="C416" s="6" t="s">
        <v>101</v>
      </c>
      <c r="D416" s="7" t="s">
        <v>39</v>
      </c>
      <c r="E416" s="8">
        <v>0</v>
      </c>
      <c r="F416" s="9">
        <v>0</v>
      </c>
      <c r="G416" s="8">
        <v>0</v>
      </c>
      <c r="H416" s="10">
        <v>0</v>
      </c>
      <c r="I416" s="311">
        <v>0</v>
      </c>
      <c r="J416" s="406">
        <v>0</v>
      </c>
      <c r="K416" s="410">
        <v>0</v>
      </c>
      <c r="L416" s="427"/>
      <c r="O416"/>
      <c r="P416"/>
      <c r="Q416"/>
    </row>
    <row r="417" spans="1:17" s="1" customFormat="1" ht="18.25" customHeight="1" outlineLevel="2">
      <c r="A417" s="571"/>
      <c r="B417" s="5" t="s">
        <v>204</v>
      </c>
      <c r="C417" s="875" t="s">
        <v>895</v>
      </c>
      <c r="D417" s="40" t="s">
        <v>26</v>
      </c>
      <c r="E417" s="8">
        <v>0</v>
      </c>
      <c r="F417" s="9">
        <v>0</v>
      </c>
      <c r="G417" s="8">
        <v>0</v>
      </c>
      <c r="H417" s="10">
        <v>0</v>
      </c>
      <c r="I417" s="311">
        <v>0</v>
      </c>
      <c r="J417" s="406">
        <v>0</v>
      </c>
      <c r="K417" s="410">
        <v>0</v>
      </c>
      <c r="L417" s="432"/>
      <c r="O417"/>
      <c r="P417"/>
      <c r="Q417"/>
    </row>
    <row r="418" spans="1:17" s="1" customFormat="1" ht="18.25" customHeight="1" outlineLevel="2">
      <c r="A418" s="571"/>
      <c r="B418" s="5" t="s">
        <v>204</v>
      </c>
      <c r="C418" s="11" t="s">
        <v>232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11">
        <v>0</v>
      </c>
      <c r="J418" s="406">
        <v>0</v>
      </c>
      <c r="K418" s="410">
        <v>0</v>
      </c>
      <c r="L418" s="427"/>
      <c r="O418"/>
      <c r="P418"/>
      <c r="Q418"/>
    </row>
    <row r="419" spans="1:17" s="1" customFormat="1" ht="18.25" customHeight="1" outlineLevel="1">
      <c r="A419" s="571"/>
      <c r="B419" s="12" t="s">
        <v>204</v>
      </c>
      <c r="C419" s="13" t="s">
        <v>101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2">
        <v>0</v>
      </c>
      <c r="J419" s="313">
        <v>0</v>
      </c>
      <c r="K419" s="411">
        <v>0</v>
      </c>
      <c r="L419" s="428">
        <v>0</v>
      </c>
      <c r="M419" s="1" t="s">
        <v>50</v>
      </c>
      <c r="O419"/>
      <c r="P419"/>
      <c r="Q419"/>
    </row>
    <row r="420" spans="1:17" s="1" customFormat="1" ht="18.25" customHeight="1" outlineLevel="2">
      <c r="A420" s="571"/>
      <c r="B420" s="5" t="s">
        <v>204</v>
      </c>
      <c r="C420" s="11" t="s">
        <v>349</v>
      </c>
      <c r="D420" s="19" t="s">
        <v>24</v>
      </c>
      <c r="E420" s="8">
        <v>0</v>
      </c>
      <c r="F420" s="9">
        <v>0</v>
      </c>
      <c r="G420" s="8">
        <v>0.5</v>
      </c>
      <c r="H420" s="10">
        <v>16446</v>
      </c>
      <c r="I420" s="311">
        <v>1</v>
      </c>
      <c r="J420" s="406">
        <v>0</v>
      </c>
      <c r="K420" s="410">
        <v>0</v>
      </c>
      <c r="L420" s="427"/>
      <c r="O420"/>
      <c r="P420"/>
      <c r="Q420"/>
    </row>
    <row r="421" spans="1:17" s="1" customFormat="1" ht="18.25" customHeight="1" outlineLevel="2">
      <c r="A421" s="571"/>
      <c r="B421" s="5" t="s">
        <v>204</v>
      </c>
      <c r="C421" s="50" t="s">
        <v>259</v>
      </c>
      <c r="D421" s="19" t="s">
        <v>38</v>
      </c>
      <c r="E421" s="8">
        <v>0</v>
      </c>
      <c r="F421" s="9">
        <v>0</v>
      </c>
      <c r="G421" s="8">
        <v>1.5</v>
      </c>
      <c r="H421" s="10">
        <v>19196</v>
      </c>
      <c r="I421" s="311">
        <v>1</v>
      </c>
      <c r="J421" s="406">
        <v>1</v>
      </c>
      <c r="K421" s="410">
        <v>0</v>
      </c>
      <c r="L421" s="427"/>
      <c r="O421"/>
      <c r="P421"/>
      <c r="Q421"/>
    </row>
    <row r="422" spans="1:17" s="1" customFormat="1" ht="18.25" customHeight="1" outlineLevel="1">
      <c r="A422" s="571"/>
      <c r="B422" s="12" t="s">
        <v>204</v>
      </c>
      <c r="C422" s="13" t="s">
        <v>461</v>
      </c>
      <c r="D422" s="14">
        <v>2</v>
      </c>
      <c r="E422" s="15">
        <v>0</v>
      </c>
      <c r="F422" s="15">
        <v>0</v>
      </c>
      <c r="G422" s="15">
        <v>2</v>
      </c>
      <c r="H422" s="21">
        <v>35642</v>
      </c>
      <c r="I422" s="312">
        <v>2</v>
      </c>
      <c r="J422" s="313">
        <v>1</v>
      </c>
      <c r="K422" s="411">
        <v>0</v>
      </c>
      <c r="L422" s="428">
        <v>0</v>
      </c>
      <c r="M422" s="1" t="s">
        <v>168</v>
      </c>
      <c r="O422"/>
      <c r="P422"/>
      <c r="Q422"/>
    </row>
    <row r="423" spans="1:17" s="1" customFormat="1" ht="18.25" customHeight="1" outlineLevel="2">
      <c r="A423" s="571"/>
      <c r="B423" s="5" t="s">
        <v>204</v>
      </c>
      <c r="C423" s="18" t="s">
        <v>102</v>
      </c>
      <c r="D423" s="7" t="s">
        <v>39</v>
      </c>
      <c r="E423" s="8">
        <v>0</v>
      </c>
      <c r="F423" s="9">
        <v>0</v>
      </c>
      <c r="G423" s="8">
        <v>5</v>
      </c>
      <c r="H423" s="10">
        <v>77732</v>
      </c>
      <c r="I423" s="311">
        <v>1</v>
      </c>
      <c r="J423" s="406">
        <v>1</v>
      </c>
      <c r="K423" s="410">
        <v>1</v>
      </c>
      <c r="L423" s="427"/>
      <c r="O423"/>
      <c r="P423"/>
      <c r="Q423"/>
    </row>
    <row r="424" spans="1:17" s="1" customFormat="1" ht="18.25" customHeight="1" outlineLevel="2">
      <c r="A424" s="571"/>
      <c r="B424" s="5" t="s">
        <v>204</v>
      </c>
      <c r="C424" s="18" t="s">
        <v>770</v>
      </c>
      <c r="D424" s="7" t="s">
        <v>187</v>
      </c>
      <c r="E424" s="8">
        <v>0</v>
      </c>
      <c r="F424" s="9">
        <v>0</v>
      </c>
      <c r="G424" s="8">
        <v>2</v>
      </c>
      <c r="H424" s="10">
        <v>16515</v>
      </c>
      <c r="I424" s="311">
        <v>1</v>
      </c>
      <c r="J424" s="406">
        <v>1</v>
      </c>
      <c r="K424" s="410">
        <v>0</v>
      </c>
      <c r="L424" s="427"/>
      <c r="O424"/>
      <c r="P424"/>
      <c r="Q424"/>
    </row>
    <row r="425" spans="1:17" s="1" customFormat="1" ht="18.25" customHeight="1" outlineLevel="1">
      <c r="A425" s="571"/>
      <c r="B425" s="12" t="s">
        <v>204</v>
      </c>
      <c r="C425" s="13" t="s">
        <v>103</v>
      </c>
      <c r="D425" s="14">
        <v>2</v>
      </c>
      <c r="E425" s="15">
        <v>0</v>
      </c>
      <c r="F425" s="16">
        <v>0</v>
      </c>
      <c r="G425" s="15">
        <v>7</v>
      </c>
      <c r="H425" s="17">
        <v>94247</v>
      </c>
      <c r="I425" s="312">
        <v>2</v>
      </c>
      <c r="J425" s="313">
        <v>2</v>
      </c>
      <c r="K425" s="411">
        <v>1</v>
      </c>
      <c r="L425" s="428">
        <v>0</v>
      </c>
      <c r="M425" s="1" t="s">
        <v>50</v>
      </c>
      <c r="O425"/>
      <c r="P425"/>
      <c r="Q425"/>
    </row>
    <row r="426" spans="1:17" s="1" customFormat="1" ht="18.25" customHeight="1" outlineLevel="2">
      <c r="A426" s="571"/>
      <c r="B426" s="5" t="s">
        <v>204</v>
      </c>
      <c r="C426" s="6" t="s">
        <v>104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311">
        <v>0</v>
      </c>
      <c r="J426" s="406">
        <v>0</v>
      </c>
      <c r="K426" s="410">
        <v>0</v>
      </c>
      <c r="L426" s="427"/>
      <c r="O426"/>
      <c r="P426"/>
      <c r="Q426"/>
    </row>
    <row r="427" spans="1:17" s="1" customFormat="1" ht="18.25" customHeight="1" outlineLevel="2">
      <c r="A427" s="571"/>
      <c r="B427" s="5" t="s">
        <v>204</v>
      </c>
      <c r="C427" s="6" t="s">
        <v>467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11">
        <v>0</v>
      </c>
      <c r="J427" s="406">
        <v>0</v>
      </c>
      <c r="K427" s="410">
        <v>0</v>
      </c>
      <c r="L427" s="427"/>
      <c r="O427"/>
      <c r="P427"/>
      <c r="Q427"/>
    </row>
    <row r="428" spans="1:17" s="1" customFormat="1" ht="18.25" customHeight="1" outlineLevel="2">
      <c r="A428" s="571"/>
      <c r="B428" s="5" t="s">
        <v>204</v>
      </c>
      <c r="C428" s="6" t="s">
        <v>344</v>
      </c>
      <c r="D428" s="7" t="s">
        <v>38</v>
      </c>
      <c r="E428" s="8">
        <v>0</v>
      </c>
      <c r="F428" s="9">
        <v>0</v>
      </c>
      <c r="G428" s="8">
        <v>2</v>
      </c>
      <c r="H428" s="10">
        <v>18773</v>
      </c>
      <c r="I428" s="311">
        <v>1</v>
      </c>
      <c r="J428" s="406">
        <v>1</v>
      </c>
      <c r="K428" s="410">
        <v>0</v>
      </c>
      <c r="L428" s="427"/>
      <c r="O428"/>
      <c r="P428"/>
      <c r="Q428"/>
    </row>
    <row r="429" spans="1:17" s="1" customFormat="1" ht="18.25" customHeight="1" outlineLevel="1">
      <c r="A429" s="571"/>
      <c r="B429" s="12" t="s">
        <v>204</v>
      </c>
      <c r="C429" s="13" t="s">
        <v>106</v>
      </c>
      <c r="D429" s="14">
        <v>3</v>
      </c>
      <c r="E429" s="15">
        <v>0</v>
      </c>
      <c r="F429" s="16">
        <v>0</v>
      </c>
      <c r="G429" s="15">
        <v>2</v>
      </c>
      <c r="H429" s="17">
        <v>18773</v>
      </c>
      <c r="I429" s="312">
        <v>1</v>
      </c>
      <c r="J429" s="313">
        <v>1</v>
      </c>
      <c r="K429" s="411">
        <v>0</v>
      </c>
      <c r="L429" s="428">
        <v>0</v>
      </c>
      <c r="M429" s="1" t="s">
        <v>170</v>
      </c>
      <c r="O429"/>
      <c r="P429"/>
      <c r="Q429"/>
    </row>
    <row r="430" spans="1:17" s="1" customFormat="1" ht="18.25" customHeight="1" outlineLevel="2">
      <c r="A430" s="571"/>
      <c r="B430" s="5" t="s">
        <v>204</v>
      </c>
      <c r="C430" s="6" t="s">
        <v>105</v>
      </c>
      <c r="D430" s="7" t="s">
        <v>19</v>
      </c>
      <c r="E430" s="8">
        <v>1</v>
      </c>
      <c r="F430" s="9">
        <v>1095</v>
      </c>
      <c r="G430" s="8">
        <v>5</v>
      </c>
      <c r="H430" s="10">
        <v>39035</v>
      </c>
      <c r="I430" s="311">
        <v>1</v>
      </c>
      <c r="J430" s="406">
        <v>1</v>
      </c>
      <c r="K430" s="410">
        <v>1</v>
      </c>
      <c r="L430" s="427"/>
      <c r="O430"/>
      <c r="P430"/>
      <c r="Q430"/>
    </row>
    <row r="431" spans="1:17" s="1" customFormat="1" ht="18.25" customHeight="1" outlineLevel="2">
      <c r="A431" s="571"/>
      <c r="B431" s="5" t="s">
        <v>204</v>
      </c>
      <c r="C431" s="6" t="s">
        <v>354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11">
        <v>0</v>
      </c>
      <c r="J431" s="406">
        <v>0</v>
      </c>
      <c r="K431" s="410">
        <v>0</v>
      </c>
      <c r="L431" s="427"/>
      <c r="O431"/>
      <c r="P431"/>
      <c r="Q431"/>
    </row>
    <row r="432" spans="1:17" s="1" customFormat="1" ht="18.25" customHeight="1" outlineLevel="1">
      <c r="A432" s="571"/>
      <c r="B432" s="12" t="s">
        <v>204</v>
      </c>
      <c r="C432" s="13" t="s">
        <v>105</v>
      </c>
      <c r="D432" s="14">
        <v>2</v>
      </c>
      <c r="E432" s="15">
        <v>1</v>
      </c>
      <c r="F432" s="16">
        <v>1095</v>
      </c>
      <c r="G432" s="15">
        <v>5</v>
      </c>
      <c r="H432" s="17">
        <v>39035</v>
      </c>
      <c r="I432" s="312">
        <v>1</v>
      </c>
      <c r="J432" s="313">
        <v>1</v>
      </c>
      <c r="K432" s="411">
        <v>1</v>
      </c>
      <c r="L432" s="428">
        <v>1</v>
      </c>
      <c r="M432" s="1" t="s">
        <v>168</v>
      </c>
      <c r="O432"/>
      <c r="P432"/>
      <c r="Q432"/>
    </row>
    <row r="433" spans="1:17" s="1" customFormat="1" ht="18.25" customHeight="1" outlineLevel="2">
      <c r="A433" s="571"/>
      <c r="B433" s="5" t="s">
        <v>204</v>
      </c>
      <c r="C433" s="6" t="s">
        <v>505</v>
      </c>
      <c r="D433" s="7" t="s">
        <v>219</v>
      </c>
      <c r="E433" s="8">
        <v>0</v>
      </c>
      <c r="F433" s="9">
        <v>0</v>
      </c>
      <c r="G433" s="8">
        <v>5</v>
      </c>
      <c r="H433" s="10">
        <v>89255</v>
      </c>
      <c r="I433" s="311">
        <v>1</v>
      </c>
      <c r="J433" s="406">
        <v>1</v>
      </c>
      <c r="K433" s="410">
        <v>1</v>
      </c>
      <c r="L433" s="427"/>
      <c r="O433"/>
      <c r="P433"/>
      <c r="Q433"/>
    </row>
    <row r="434" spans="1:17" s="1" customFormat="1" ht="18.25" customHeight="1" outlineLevel="2">
      <c r="A434" s="571"/>
      <c r="B434" s="5" t="s">
        <v>204</v>
      </c>
      <c r="C434" s="6" t="s">
        <v>898</v>
      </c>
      <c r="D434" s="7" t="s">
        <v>38</v>
      </c>
      <c r="E434" s="8">
        <v>0</v>
      </c>
      <c r="F434" s="9">
        <v>0</v>
      </c>
      <c r="G434" s="8">
        <v>1</v>
      </c>
      <c r="H434" s="10">
        <v>7404</v>
      </c>
      <c r="I434" s="311">
        <v>1</v>
      </c>
      <c r="J434" s="406">
        <v>0</v>
      </c>
      <c r="K434" s="410">
        <v>0</v>
      </c>
      <c r="L434" s="427"/>
      <c r="O434"/>
      <c r="P434"/>
      <c r="Q434"/>
    </row>
    <row r="435" spans="1:17" s="1" customFormat="1" ht="18.25" customHeight="1" outlineLevel="1">
      <c r="A435" s="571"/>
      <c r="B435" s="12" t="s">
        <v>204</v>
      </c>
      <c r="C435" s="13" t="s">
        <v>89</v>
      </c>
      <c r="D435" s="14">
        <v>2</v>
      </c>
      <c r="E435" s="15">
        <v>0</v>
      </c>
      <c r="F435" s="16">
        <v>0</v>
      </c>
      <c r="G435" s="15">
        <v>6</v>
      </c>
      <c r="H435" s="17">
        <v>96659</v>
      </c>
      <c r="I435" s="312">
        <v>2</v>
      </c>
      <c r="J435" s="313">
        <v>1</v>
      </c>
      <c r="K435" s="411">
        <v>1</v>
      </c>
      <c r="L435" s="428">
        <v>0</v>
      </c>
      <c r="M435" s="1" t="s">
        <v>50</v>
      </c>
      <c r="O435"/>
      <c r="P435"/>
      <c r="Q435"/>
    </row>
    <row r="436" spans="1:17" s="1" customFormat="1" ht="18.25" customHeight="1" outlineLevel="2">
      <c r="A436" s="571"/>
      <c r="B436" s="5" t="s">
        <v>204</v>
      </c>
      <c r="C436" s="6" t="s">
        <v>488</v>
      </c>
      <c r="D436" s="7" t="s">
        <v>923</v>
      </c>
      <c r="E436" s="8">
        <v>0</v>
      </c>
      <c r="F436" s="9">
        <v>0</v>
      </c>
      <c r="G436" s="8">
        <v>12</v>
      </c>
      <c r="H436" s="10">
        <v>113390</v>
      </c>
      <c r="I436" s="311">
        <v>1</v>
      </c>
      <c r="J436" s="406">
        <v>1</v>
      </c>
      <c r="K436" s="410">
        <v>1</v>
      </c>
      <c r="L436" s="427"/>
      <c r="O436"/>
      <c r="P436"/>
      <c r="Q436"/>
    </row>
    <row r="437" spans="1:17" s="1" customFormat="1" ht="18.25" customHeight="1" outlineLevel="2">
      <c r="A437" s="571"/>
      <c r="B437" s="5" t="s">
        <v>204</v>
      </c>
      <c r="C437" s="6" t="s">
        <v>875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11">
        <v>0</v>
      </c>
      <c r="J437" s="406">
        <v>0</v>
      </c>
      <c r="K437" s="410">
        <v>0</v>
      </c>
      <c r="L437" s="427"/>
      <c r="O437"/>
      <c r="P437"/>
      <c r="Q437"/>
    </row>
    <row r="438" spans="1:17" s="1" customFormat="1" ht="18.25" customHeight="1" outlineLevel="2">
      <c r="A438" s="571"/>
      <c r="B438" s="5" t="s">
        <v>204</v>
      </c>
      <c r="C438" s="6" t="s">
        <v>808</v>
      </c>
      <c r="D438" s="7" t="s">
        <v>38</v>
      </c>
      <c r="E438" s="8">
        <v>0</v>
      </c>
      <c r="F438" s="9">
        <v>0</v>
      </c>
      <c r="G438" s="8">
        <v>1</v>
      </c>
      <c r="H438" s="10">
        <v>2363</v>
      </c>
      <c r="I438" s="311">
        <v>1</v>
      </c>
      <c r="J438" s="406">
        <v>0</v>
      </c>
      <c r="K438" s="410">
        <v>0</v>
      </c>
      <c r="L438" s="427"/>
      <c r="O438"/>
      <c r="P438"/>
      <c r="Q438"/>
    </row>
    <row r="439" spans="1:17" s="1" customFormat="1" ht="18.25" customHeight="1" outlineLevel="1">
      <c r="A439" s="571"/>
      <c r="B439" s="12" t="s">
        <v>204</v>
      </c>
      <c r="C439" s="13" t="s">
        <v>488</v>
      </c>
      <c r="D439" s="14">
        <v>3</v>
      </c>
      <c r="E439" s="15">
        <v>0</v>
      </c>
      <c r="F439" s="16">
        <v>0</v>
      </c>
      <c r="G439" s="15">
        <v>13</v>
      </c>
      <c r="H439" s="17">
        <v>115753</v>
      </c>
      <c r="I439" s="312">
        <v>2</v>
      </c>
      <c r="J439" s="313">
        <v>1</v>
      </c>
      <c r="K439" s="411">
        <v>1</v>
      </c>
      <c r="L439" s="428">
        <v>1</v>
      </c>
      <c r="M439" s="1" t="s">
        <v>168</v>
      </c>
      <c r="O439"/>
      <c r="P439"/>
      <c r="Q439"/>
    </row>
    <row r="440" spans="1:17" s="1" customFormat="1" ht="18.25" customHeight="1" outlineLevel="2">
      <c r="A440" s="571"/>
      <c r="B440" s="5" t="s">
        <v>204</v>
      </c>
      <c r="C440" s="6" t="s">
        <v>557</v>
      </c>
      <c r="D440" s="7" t="s">
        <v>168</v>
      </c>
      <c r="E440" s="8">
        <v>0</v>
      </c>
      <c r="F440" s="9">
        <v>0</v>
      </c>
      <c r="G440" s="8">
        <v>1</v>
      </c>
      <c r="H440" s="10">
        <v>20262</v>
      </c>
      <c r="I440" s="311">
        <v>1</v>
      </c>
      <c r="J440" s="406">
        <v>1</v>
      </c>
      <c r="K440" s="410">
        <v>0</v>
      </c>
      <c r="L440" s="427"/>
      <c r="O440"/>
      <c r="P440"/>
      <c r="Q440"/>
    </row>
    <row r="441" spans="1:17" s="1" customFormat="1" ht="18.25" customHeight="1" outlineLevel="2">
      <c r="A441" s="571"/>
      <c r="B441" s="5" t="s">
        <v>204</v>
      </c>
      <c r="C441" s="6" t="s">
        <v>732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11">
        <v>0</v>
      </c>
      <c r="J441" s="406">
        <v>0</v>
      </c>
      <c r="K441" s="410">
        <v>0</v>
      </c>
      <c r="L441" s="427"/>
      <c r="O441"/>
      <c r="P441"/>
      <c r="Q441"/>
    </row>
    <row r="442" spans="1:17" s="1" customFormat="1" ht="18.25" customHeight="1" outlineLevel="1">
      <c r="A442" s="571"/>
      <c r="B442" s="12" t="s">
        <v>204</v>
      </c>
      <c r="C442" s="13" t="s">
        <v>488</v>
      </c>
      <c r="D442" s="14">
        <v>2</v>
      </c>
      <c r="E442" s="15">
        <v>0</v>
      </c>
      <c r="F442" s="16">
        <v>0</v>
      </c>
      <c r="G442" s="15">
        <v>1</v>
      </c>
      <c r="H442" s="17">
        <v>20262</v>
      </c>
      <c r="I442" s="312">
        <v>1</v>
      </c>
      <c r="J442" s="313">
        <v>1</v>
      </c>
      <c r="K442" s="411">
        <v>0</v>
      </c>
      <c r="L442" s="428">
        <v>0</v>
      </c>
      <c r="M442" s="1" t="s">
        <v>168</v>
      </c>
      <c r="O442"/>
      <c r="P442"/>
      <c r="Q442"/>
    </row>
    <row r="443" spans="1:17" s="1" customFormat="1" ht="18.25" customHeight="1" outlineLevel="2">
      <c r="A443" s="571"/>
      <c r="B443" s="5" t="s">
        <v>204</v>
      </c>
      <c r="C443" s="39" t="s">
        <v>716</v>
      </c>
      <c r="D443" s="23" t="s">
        <v>168</v>
      </c>
      <c r="E443" s="8">
        <v>0</v>
      </c>
      <c r="F443" s="9">
        <v>0</v>
      </c>
      <c r="G443" s="8">
        <v>2</v>
      </c>
      <c r="H443" s="10">
        <v>7448</v>
      </c>
      <c r="I443" s="311">
        <v>1</v>
      </c>
      <c r="J443" s="406">
        <v>0</v>
      </c>
      <c r="K443" s="410">
        <v>0</v>
      </c>
      <c r="L443" s="427"/>
      <c r="O443"/>
      <c r="P443"/>
      <c r="Q443"/>
    </row>
    <row r="444" spans="1:17" s="1" customFormat="1" ht="18.25" customHeight="1" outlineLevel="2">
      <c r="A444" s="571"/>
      <c r="B444" s="5" t="s">
        <v>204</v>
      </c>
      <c r="C444" s="39" t="s">
        <v>380</v>
      </c>
      <c r="D444" s="23" t="s">
        <v>38</v>
      </c>
      <c r="E444" s="42">
        <v>0</v>
      </c>
      <c r="F444" s="43">
        <v>0</v>
      </c>
      <c r="G444" s="42">
        <v>0</v>
      </c>
      <c r="H444" s="44">
        <v>0</v>
      </c>
      <c r="I444" s="311">
        <v>0</v>
      </c>
      <c r="J444" s="406">
        <v>0</v>
      </c>
      <c r="K444" s="410">
        <v>0</v>
      </c>
      <c r="L444" s="427"/>
      <c r="O444"/>
      <c r="P444"/>
      <c r="Q444"/>
    </row>
    <row r="445" spans="1:17" ht="18.25" customHeight="1" outlineLevel="1">
      <c r="B445" s="12" t="s">
        <v>204</v>
      </c>
      <c r="C445" s="13" t="s">
        <v>278</v>
      </c>
      <c r="D445" s="14">
        <v>2</v>
      </c>
      <c r="E445" s="15">
        <v>0</v>
      </c>
      <c r="F445" s="16">
        <v>0</v>
      </c>
      <c r="G445" s="15">
        <v>2</v>
      </c>
      <c r="H445" s="17">
        <v>7448</v>
      </c>
      <c r="I445" s="312">
        <v>1</v>
      </c>
      <c r="J445" s="313">
        <v>0</v>
      </c>
      <c r="K445" s="411">
        <v>0</v>
      </c>
      <c r="L445" s="428">
        <v>0</v>
      </c>
      <c r="M445" s="1" t="s">
        <v>168</v>
      </c>
    </row>
    <row r="446" spans="1:17" s="150" customFormat="1" ht="18.25" customHeight="1">
      <c r="A446" s="570" t="s">
        <v>205</v>
      </c>
      <c r="B446" s="949" t="s">
        <v>205</v>
      </c>
      <c r="C446" s="950"/>
      <c r="D446" s="146">
        <v>41</v>
      </c>
      <c r="E446" s="151">
        <v>4</v>
      </c>
      <c r="F446" s="152">
        <v>12472</v>
      </c>
      <c r="G446" s="147">
        <v>93</v>
      </c>
      <c r="H446" s="153">
        <v>1211694</v>
      </c>
      <c r="I446" s="315">
        <v>25</v>
      </c>
      <c r="J446" s="316">
        <v>18</v>
      </c>
      <c r="K446" s="412">
        <v>11</v>
      </c>
      <c r="L446" s="429">
        <v>4</v>
      </c>
      <c r="M446" s="249"/>
      <c r="N446" s="249"/>
    </row>
    <row r="447" spans="1:17" ht="18.25" customHeight="1" outlineLevel="2">
      <c r="B447" s="5" t="s">
        <v>214</v>
      </c>
      <c r="C447" s="6" t="s">
        <v>68</v>
      </c>
      <c r="D447" s="7" t="s">
        <v>53</v>
      </c>
      <c r="E447" s="8">
        <v>0</v>
      </c>
      <c r="F447" s="9">
        <v>0</v>
      </c>
      <c r="G447" s="8">
        <v>1</v>
      </c>
      <c r="H447" s="10">
        <v>12407</v>
      </c>
      <c r="I447" s="311">
        <v>1</v>
      </c>
      <c r="J447" s="406">
        <v>0</v>
      </c>
      <c r="K447" s="410">
        <v>0</v>
      </c>
      <c r="L447" s="427"/>
    </row>
    <row r="448" spans="1:17" ht="18.25" customHeight="1" outlineLevel="1">
      <c r="B448" s="12" t="s">
        <v>216</v>
      </c>
      <c r="C448" s="13" t="s">
        <v>69</v>
      </c>
      <c r="D448" s="14">
        <v>1</v>
      </c>
      <c r="E448" s="15">
        <v>0</v>
      </c>
      <c r="F448" s="16">
        <v>0</v>
      </c>
      <c r="G448" s="15">
        <v>1</v>
      </c>
      <c r="H448" s="17">
        <v>12407</v>
      </c>
      <c r="I448" s="312">
        <v>1</v>
      </c>
      <c r="J448" s="313">
        <v>0</v>
      </c>
      <c r="K448" s="411">
        <v>0</v>
      </c>
      <c r="L448" s="428">
        <v>0</v>
      </c>
      <c r="M448" s="1" t="s">
        <v>166</v>
      </c>
    </row>
    <row r="449" spans="1:17" ht="18.25" customHeight="1" outlineLevel="2">
      <c r="B449" s="53" t="s">
        <v>216</v>
      </c>
      <c r="C449" s="55" t="s">
        <v>409</v>
      </c>
      <c r="D449" s="7" t="s">
        <v>50</v>
      </c>
      <c r="E449" s="59">
        <v>0</v>
      </c>
      <c r="F449" s="60">
        <v>0</v>
      </c>
      <c r="G449" s="59">
        <v>2</v>
      </c>
      <c r="H449" s="77">
        <v>15856</v>
      </c>
      <c r="I449" s="320">
        <v>1</v>
      </c>
      <c r="J449" s="406">
        <v>0</v>
      </c>
      <c r="K449" s="410">
        <v>0</v>
      </c>
      <c r="L449" s="427"/>
    </row>
    <row r="450" spans="1:17" ht="18.25" customHeight="1" outlineLevel="2">
      <c r="B450" s="53" t="s">
        <v>216</v>
      </c>
      <c r="C450" s="55" t="s">
        <v>411</v>
      </c>
      <c r="D450" s="7" t="s">
        <v>180</v>
      </c>
      <c r="E450" s="59">
        <v>0</v>
      </c>
      <c r="F450" s="60">
        <v>0</v>
      </c>
      <c r="G450" s="59">
        <v>5</v>
      </c>
      <c r="H450" s="77">
        <v>54471</v>
      </c>
      <c r="I450" s="320">
        <v>1</v>
      </c>
      <c r="J450" s="406">
        <v>1</v>
      </c>
      <c r="K450" s="410">
        <v>1</v>
      </c>
      <c r="L450" s="427"/>
    </row>
    <row r="451" spans="1:17" ht="18.25" customHeight="1" outlineLevel="2">
      <c r="B451" s="53" t="s">
        <v>216</v>
      </c>
      <c r="C451" s="55" t="s">
        <v>634</v>
      </c>
      <c r="D451" s="7" t="s">
        <v>180</v>
      </c>
      <c r="E451" s="59">
        <v>0</v>
      </c>
      <c r="F451" s="60">
        <v>0</v>
      </c>
      <c r="G451" s="59">
        <v>2</v>
      </c>
      <c r="H451" s="77">
        <v>35261</v>
      </c>
      <c r="I451" s="320">
        <v>1</v>
      </c>
      <c r="J451" s="406">
        <v>1</v>
      </c>
      <c r="K451" s="410">
        <v>1</v>
      </c>
      <c r="L451" s="427"/>
    </row>
    <row r="452" spans="1:17" ht="18.25" customHeight="1" outlineLevel="1">
      <c r="B452" s="68" t="s">
        <v>216</v>
      </c>
      <c r="C452" s="69" t="s">
        <v>409</v>
      </c>
      <c r="D452" s="26">
        <v>3</v>
      </c>
      <c r="E452" s="70">
        <v>0</v>
      </c>
      <c r="F452" s="71">
        <v>0</v>
      </c>
      <c r="G452" s="70">
        <v>9</v>
      </c>
      <c r="H452" s="78">
        <v>105588</v>
      </c>
      <c r="I452" s="321">
        <v>3</v>
      </c>
      <c r="J452" s="322">
        <v>2</v>
      </c>
      <c r="K452" s="323">
        <v>2</v>
      </c>
      <c r="L452" s="435">
        <v>0</v>
      </c>
      <c r="M452" s="1" t="s">
        <v>50</v>
      </c>
    </row>
    <row r="453" spans="1:17" ht="18.25" customHeight="1" outlineLevel="2">
      <c r="B453" s="53" t="s">
        <v>216</v>
      </c>
      <c r="C453" s="55" t="s">
        <v>410</v>
      </c>
      <c r="D453" s="528" t="s">
        <v>713</v>
      </c>
      <c r="E453" s="59">
        <v>0</v>
      </c>
      <c r="F453" s="60">
        <v>0</v>
      </c>
      <c r="G453" s="59">
        <v>0</v>
      </c>
      <c r="H453" s="77">
        <v>0</v>
      </c>
      <c r="I453" s="333"/>
      <c r="J453" s="408"/>
      <c r="K453" s="415"/>
      <c r="L453" s="436"/>
    </row>
    <row r="454" spans="1:17" ht="18.25" customHeight="1" outlineLevel="1">
      <c r="B454" s="68" t="s">
        <v>216</v>
      </c>
      <c r="C454" s="69" t="s">
        <v>410</v>
      </c>
      <c r="D454" s="527"/>
      <c r="E454" s="70">
        <v>0</v>
      </c>
      <c r="F454" s="71">
        <v>0</v>
      </c>
      <c r="G454" s="70">
        <v>0</v>
      </c>
      <c r="H454" s="78">
        <v>0</v>
      </c>
      <c r="I454" s="333"/>
      <c r="J454" s="504"/>
      <c r="K454" s="505"/>
      <c r="L454" s="506"/>
    </row>
    <row r="455" spans="1:17" ht="18.25" customHeight="1" outlineLevel="2">
      <c r="B455" s="54" t="s">
        <v>216</v>
      </c>
      <c r="C455" s="55" t="s">
        <v>412</v>
      </c>
      <c r="D455" s="7" t="s">
        <v>219</v>
      </c>
      <c r="E455" s="59">
        <v>1</v>
      </c>
      <c r="F455" s="60">
        <v>10428</v>
      </c>
      <c r="G455" s="59">
        <v>4</v>
      </c>
      <c r="H455" s="77">
        <v>60586</v>
      </c>
      <c r="I455" s="320">
        <v>1</v>
      </c>
      <c r="J455" s="406">
        <v>1</v>
      </c>
      <c r="K455" s="410">
        <v>1</v>
      </c>
      <c r="L455" s="427"/>
    </row>
    <row r="456" spans="1:17" ht="18.25" customHeight="1" outlineLevel="2">
      <c r="B456" s="54" t="s">
        <v>216</v>
      </c>
      <c r="C456" s="55" t="s">
        <v>755</v>
      </c>
      <c r="D456" s="7" t="s">
        <v>180</v>
      </c>
      <c r="E456" s="59">
        <v>0</v>
      </c>
      <c r="F456" s="60">
        <v>0</v>
      </c>
      <c r="G456" s="59">
        <v>1</v>
      </c>
      <c r="H456" s="77">
        <v>11470</v>
      </c>
      <c r="I456" s="320">
        <v>1</v>
      </c>
      <c r="J456" s="406">
        <v>1</v>
      </c>
      <c r="K456" s="410">
        <v>0</v>
      </c>
      <c r="L456" s="427"/>
    </row>
    <row r="457" spans="1:17" ht="18.25" customHeight="1" outlineLevel="2">
      <c r="B457" s="54" t="s">
        <v>216</v>
      </c>
      <c r="C457" s="55" t="s">
        <v>787</v>
      </c>
      <c r="D457" s="7" t="s">
        <v>180</v>
      </c>
      <c r="E457" s="59">
        <v>0</v>
      </c>
      <c r="F457" s="60">
        <v>0</v>
      </c>
      <c r="G457" s="59">
        <v>0</v>
      </c>
      <c r="H457" s="77">
        <v>0</v>
      </c>
      <c r="I457" s="320">
        <v>0</v>
      </c>
      <c r="J457" s="406">
        <v>0</v>
      </c>
      <c r="K457" s="410">
        <v>0</v>
      </c>
      <c r="L457" s="427"/>
    </row>
    <row r="458" spans="1:17" ht="18.25" customHeight="1" outlineLevel="1">
      <c r="B458" s="68" t="s">
        <v>216</v>
      </c>
      <c r="C458" s="62" t="s">
        <v>412</v>
      </c>
      <c r="D458" s="26">
        <v>3</v>
      </c>
      <c r="E458" s="70">
        <v>1</v>
      </c>
      <c r="F458" s="71">
        <v>10428</v>
      </c>
      <c r="G458" s="70">
        <v>5</v>
      </c>
      <c r="H458" s="78">
        <v>72056</v>
      </c>
      <c r="I458" s="321">
        <v>2</v>
      </c>
      <c r="J458" s="322">
        <v>2</v>
      </c>
      <c r="K458" s="323">
        <v>1</v>
      </c>
      <c r="L458" s="435">
        <v>0</v>
      </c>
      <c r="M458" s="1" t="s">
        <v>50</v>
      </c>
    </row>
    <row r="459" spans="1:17" ht="18.25" customHeight="1" outlineLevel="2">
      <c r="B459" s="54" t="s">
        <v>216</v>
      </c>
      <c r="C459" s="55" t="s">
        <v>413</v>
      </c>
      <c r="D459" s="7" t="s">
        <v>219</v>
      </c>
      <c r="E459" s="59">
        <v>0</v>
      </c>
      <c r="F459" s="60">
        <v>0</v>
      </c>
      <c r="G459" s="59">
        <v>4</v>
      </c>
      <c r="H459" s="77">
        <v>1141214</v>
      </c>
      <c r="I459" s="320">
        <v>1</v>
      </c>
      <c r="J459" s="406">
        <v>1</v>
      </c>
      <c r="K459" s="410">
        <v>1</v>
      </c>
      <c r="L459" s="427"/>
    </row>
    <row r="460" spans="1:17" ht="18.25" customHeight="1" outlineLevel="2">
      <c r="B460" s="54" t="s">
        <v>216</v>
      </c>
      <c r="C460" s="55" t="s">
        <v>788</v>
      </c>
      <c r="D460" s="7" t="s">
        <v>180</v>
      </c>
      <c r="E460" s="59">
        <v>0</v>
      </c>
      <c r="F460" s="60">
        <v>0</v>
      </c>
      <c r="G460" s="59">
        <v>0</v>
      </c>
      <c r="H460" s="77">
        <v>0</v>
      </c>
      <c r="I460" s="320">
        <v>0</v>
      </c>
      <c r="J460" s="406">
        <v>0</v>
      </c>
      <c r="K460" s="410">
        <v>0</v>
      </c>
      <c r="L460" s="427"/>
    </row>
    <row r="461" spans="1:17" s="1" customFormat="1" ht="18.25" customHeight="1" outlineLevel="1">
      <c r="A461" s="571"/>
      <c r="B461" s="68" t="s">
        <v>216</v>
      </c>
      <c r="C461" s="62" t="s">
        <v>413</v>
      </c>
      <c r="D461" s="26">
        <v>2</v>
      </c>
      <c r="E461" s="70">
        <v>0</v>
      </c>
      <c r="F461" s="71">
        <v>0</v>
      </c>
      <c r="G461" s="70">
        <v>4</v>
      </c>
      <c r="H461" s="78">
        <v>1141214</v>
      </c>
      <c r="I461" s="321">
        <v>1</v>
      </c>
      <c r="J461" s="322">
        <v>1</v>
      </c>
      <c r="K461" s="323">
        <v>1</v>
      </c>
      <c r="L461" s="435">
        <v>0</v>
      </c>
      <c r="M461" s="1" t="s">
        <v>50</v>
      </c>
      <c r="O461"/>
      <c r="P461"/>
      <c r="Q461"/>
    </row>
    <row r="462" spans="1:17" s="1" customFormat="1" ht="18.25" customHeight="1" outlineLevel="2">
      <c r="A462" s="571"/>
      <c r="B462" s="54" t="s">
        <v>216</v>
      </c>
      <c r="C462" s="55" t="s">
        <v>414</v>
      </c>
      <c r="D462" s="7" t="s">
        <v>170</v>
      </c>
      <c r="E462" s="59">
        <v>0</v>
      </c>
      <c r="F462" s="60">
        <v>0</v>
      </c>
      <c r="G462" s="59">
        <v>9</v>
      </c>
      <c r="H462" s="77">
        <v>137501</v>
      </c>
      <c r="I462" s="320">
        <v>1</v>
      </c>
      <c r="J462" s="406">
        <v>1</v>
      </c>
      <c r="K462" s="410">
        <v>1</v>
      </c>
      <c r="L462" s="427"/>
      <c r="O462"/>
      <c r="P462"/>
      <c r="Q462"/>
    </row>
    <row r="463" spans="1:17" s="1" customFormat="1" ht="18.25" customHeight="1" outlineLevel="2">
      <c r="A463" s="571"/>
      <c r="B463" s="54" t="s">
        <v>216</v>
      </c>
      <c r="C463" s="55" t="s">
        <v>676</v>
      </c>
      <c r="D463" s="7" t="s">
        <v>180</v>
      </c>
      <c r="E463" s="59">
        <v>0</v>
      </c>
      <c r="F463" s="60">
        <v>0</v>
      </c>
      <c r="G463" s="59">
        <v>0</v>
      </c>
      <c r="H463" s="77">
        <v>0</v>
      </c>
      <c r="I463" s="320">
        <v>0</v>
      </c>
      <c r="J463" s="406">
        <v>0</v>
      </c>
      <c r="K463" s="410">
        <v>0</v>
      </c>
      <c r="L463" s="427"/>
      <c r="O463"/>
      <c r="P463"/>
      <c r="Q463"/>
    </row>
    <row r="464" spans="1:17" s="1" customFormat="1" ht="18.25" customHeight="1" outlineLevel="1">
      <c r="A464" s="571"/>
      <c r="B464" s="68" t="s">
        <v>216</v>
      </c>
      <c r="C464" s="62" t="s">
        <v>414</v>
      </c>
      <c r="D464" s="26">
        <v>2</v>
      </c>
      <c r="E464" s="70">
        <v>0</v>
      </c>
      <c r="F464" s="70">
        <v>0</v>
      </c>
      <c r="G464" s="70">
        <v>9</v>
      </c>
      <c r="H464" s="80">
        <v>137501</v>
      </c>
      <c r="I464" s="321">
        <v>1</v>
      </c>
      <c r="J464" s="322">
        <v>1</v>
      </c>
      <c r="K464" s="323">
        <v>1</v>
      </c>
      <c r="L464" s="435">
        <v>0</v>
      </c>
      <c r="M464" s="1" t="s">
        <v>170</v>
      </c>
      <c r="O464"/>
      <c r="P464"/>
      <c r="Q464"/>
    </row>
    <row r="465" spans="1:17" s="1" customFormat="1" ht="18.25" customHeight="1" outlineLevel="2">
      <c r="A465" s="571"/>
      <c r="B465" s="54" t="s">
        <v>216</v>
      </c>
      <c r="C465" s="55" t="s">
        <v>415</v>
      </c>
      <c r="D465" s="7" t="s">
        <v>50</v>
      </c>
      <c r="E465" s="59">
        <v>0</v>
      </c>
      <c r="F465" s="60">
        <v>0</v>
      </c>
      <c r="G465" s="59">
        <v>0</v>
      </c>
      <c r="H465" s="77">
        <v>0</v>
      </c>
      <c r="I465" s="320">
        <v>0</v>
      </c>
      <c r="J465" s="406">
        <v>0</v>
      </c>
      <c r="K465" s="410">
        <v>0</v>
      </c>
      <c r="L465" s="427"/>
      <c r="O465"/>
      <c r="P465"/>
      <c r="Q465"/>
    </row>
    <row r="466" spans="1:17" s="1" customFormat="1" ht="18.25" customHeight="1" outlineLevel="2">
      <c r="A466" s="571"/>
      <c r="B466" s="54" t="s">
        <v>216</v>
      </c>
      <c r="C466" s="55" t="s">
        <v>417</v>
      </c>
      <c r="D466" s="7" t="s">
        <v>180</v>
      </c>
      <c r="E466" s="59">
        <v>0</v>
      </c>
      <c r="F466" s="60">
        <v>0</v>
      </c>
      <c r="G466" s="59">
        <v>1</v>
      </c>
      <c r="H466" s="77">
        <v>20231</v>
      </c>
      <c r="I466" s="320">
        <v>1</v>
      </c>
      <c r="J466" s="406">
        <v>1</v>
      </c>
      <c r="K466" s="410">
        <v>0</v>
      </c>
      <c r="L466" s="427"/>
      <c r="O466"/>
      <c r="P466"/>
      <c r="Q466"/>
    </row>
    <row r="467" spans="1:17" s="1" customFormat="1" ht="18.25" customHeight="1" outlineLevel="2">
      <c r="A467" s="571"/>
      <c r="B467" s="54" t="s">
        <v>216</v>
      </c>
      <c r="C467" s="55" t="s">
        <v>811</v>
      </c>
      <c r="D467" s="7" t="s">
        <v>180</v>
      </c>
      <c r="E467" s="59">
        <v>0</v>
      </c>
      <c r="F467" s="60">
        <v>0</v>
      </c>
      <c r="G467" s="59">
        <v>0</v>
      </c>
      <c r="H467" s="77">
        <v>0</v>
      </c>
      <c r="I467" s="320">
        <v>0</v>
      </c>
      <c r="J467" s="406">
        <v>0</v>
      </c>
      <c r="K467" s="410">
        <v>0</v>
      </c>
      <c r="L467" s="427"/>
      <c r="O467"/>
      <c r="P467"/>
      <c r="Q467"/>
    </row>
    <row r="468" spans="1:17" s="1" customFormat="1" ht="18.25" customHeight="1" outlineLevel="2">
      <c r="A468" s="571"/>
      <c r="B468" s="54" t="s">
        <v>216</v>
      </c>
      <c r="C468" s="55" t="s">
        <v>648</v>
      </c>
      <c r="D468" s="7" t="s">
        <v>180</v>
      </c>
      <c r="E468" s="59">
        <v>0</v>
      </c>
      <c r="F468" s="60">
        <v>0</v>
      </c>
      <c r="G468" s="59">
        <v>1</v>
      </c>
      <c r="H468" s="77">
        <v>10000</v>
      </c>
      <c r="I468" s="320">
        <v>1</v>
      </c>
      <c r="J468" s="406">
        <v>0</v>
      </c>
      <c r="K468" s="410">
        <v>0</v>
      </c>
      <c r="L468" s="427"/>
      <c r="O468"/>
      <c r="P468"/>
      <c r="Q468"/>
    </row>
    <row r="469" spans="1:17" s="1" customFormat="1" ht="18.25" customHeight="1" outlineLevel="2">
      <c r="A469" s="571"/>
      <c r="B469" s="54" t="s">
        <v>216</v>
      </c>
      <c r="C469" s="55" t="s">
        <v>416</v>
      </c>
      <c r="D469" s="7" t="s">
        <v>180</v>
      </c>
      <c r="E469" s="59">
        <v>0</v>
      </c>
      <c r="F469" s="60">
        <v>0</v>
      </c>
      <c r="G469" s="59">
        <v>1</v>
      </c>
      <c r="H469" s="77">
        <v>4394</v>
      </c>
      <c r="I469" s="320">
        <v>1</v>
      </c>
      <c r="J469" s="406">
        <v>0</v>
      </c>
      <c r="K469" s="410">
        <v>0</v>
      </c>
      <c r="L469" s="427"/>
      <c r="O469"/>
      <c r="P469"/>
      <c r="Q469"/>
    </row>
    <row r="470" spans="1:17" s="1" customFormat="1" ht="18.25" customHeight="1" outlineLevel="1">
      <c r="A470" s="571"/>
      <c r="B470" s="68" t="s">
        <v>216</v>
      </c>
      <c r="C470" s="62" t="s">
        <v>415</v>
      </c>
      <c r="D470" s="26">
        <v>5</v>
      </c>
      <c r="E470" s="70">
        <v>0</v>
      </c>
      <c r="F470" s="71">
        <v>0</v>
      </c>
      <c r="G470" s="70">
        <v>3</v>
      </c>
      <c r="H470" s="78">
        <v>34625</v>
      </c>
      <c r="I470" s="321">
        <v>3</v>
      </c>
      <c r="J470" s="322">
        <v>1</v>
      </c>
      <c r="K470" s="323">
        <v>0</v>
      </c>
      <c r="L470" s="435">
        <v>0</v>
      </c>
      <c r="M470" s="1" t="s">
        <v>50</v>
      </c>
      <c r="O470"/>
      <c r="P470"/>
      <c r="Q470"/>
    </row>
    <row r="471" spans="1:17" s="1" customFormat="1" ht="18.25" customHeight="1" outlineLevel="2">
      <c r="A471" s="571"/>
      <c r="B471" s="54" t="s">
        <v>216</v>
      </c>
      <c r="C471" s="55" t="s">
        <v>418</v>
      </c>
      <c r="D471" s="7" t="s">
        <v>365</v>
      </c>
      <c r="E471" s="59">
        <v>0</v>
      </c>
      <c r="F471" s="60">
        <v>0</v>
      </c>
      <c r="G471" s="59">
        <v>1</v>
      </c>
      <c r="H471" s="77">
        <v>25920</v>
      </c>
      <c r="I471" s="320">
        <v>1</v>
      </c>
      <c r="J471" s="406">
        <v>1</v>
      </c>
      <c r="K471" s="410">
        <v>1</v>
      </c>
      <c r="L471" s="427"/>
      <c r="O471"/>
      <c r="P471"/>
      <c r="Q471"/>
    </row>
    <row r="472" spans="1:17" s="1" customFormat="1" ht="18.25" customHeight="1" outlineLevel="1">
      <c r="A472" s="571"/>
      <c r="B472" s="68" t="s">
        <v>216</v>
      </c>
      <c r="C472" s="62" t="s">
        <v>887</v>
      </c>
      <c r="D472" s="26">
        <v>1</v>
      </c>
      <c r="E472" s="70">
        <v>0</v>
      </c>
      <c r="F472" s="71">
        <v>0</v>
      </c>
      <c r="G472" s="70">
        <v>1</v>
      </c>
      <c r="H472" s="78">
        <v>25920</v>
      </c>
      <c r="I472" s="321">
        <v>1</v>
      </c>
      <c r="J472" s="322">
        <v>1</v>
      </c>
      <c r="K472" s="323">
        <v>1</v>
      </c>
      <c r="L472" s="435">
        <v>0</v>
      </c>
      <c r="M472" s="1" t="s">
        <v>663</v>
      </c>
      <c r="O472"/>
      <c r="P472"/>
      <c r="Q472"/>
    </row>
    <row r="473" spans="1:17" s="1" customFormat="1" ht="18.25" customHeight="1" outlineLevel="2">
      <c r="A473" s="571"/>
      <c r="B473" s="54" t="s">
        <v>216</v>
      </c>
      <c r="C473" s="55" t="s">
        <v>419</v>
      </c>
      <c r="D473" s="7" t="s">
        <v>188</v>
      </c>
      <c r="E473" s="59">
        <v>0</v>
      </c>
      <c r="F473" s="60">
        <v>0</v>
      </c>
      <c r="G473" s="59">
        <v>3</v>
      </c>
      <c r="H473" s="77">
        <v>13350</v>
      </c>
      <c r="I473" s="320">
        <v>1</v>
      </c>
      <c r="J473" s="406">
        <v>0</v>
      </c>
      <c r="K473" s="410">
        <v>0</v>
      </c>
      <c r="L473" s="427"/>
      <c r="O473"/>
      <c r="P473"/>
      <c r="Q473"/>
    </row>
    <row r="474" spans="1:17" s="1" customFormat="1" ht="18.25" customHeight="1" outlineLevel="2">
      <c r="A474" s="571"/>
      <c r="B474" s="54" t="s">
        <v>216</v>
      </c>
      <c r="C474" s="55" t="s">
        <v>690</v>
      </c>
      <c r="D474" s="7" t="s">
        <v>180</v>
      </c>
      <c r="E474" s="59">
        <v>0</v>
      </c>
      <c r="F474" s="60">
        <v>0</v>
      </c>
      <c r="G474" s="59">
        <v>1</v>
      </c>
      <c r="H474" s="77">
        <v>11968</v>
      </c>
      <c r="I474" s="320">
        <v>1</v>
      </c>
      <c r="J474" s="406">
        <v>1</v>
      </c>
      <c r="K474" s="410">
        <v>0</v>
      </c>
      <c r="L474" s="427"/>
      <c r="O474"/>
      <c r="P474"/>
      <c r="Q474"/>
    </row>
    <row r="475" spans="1:17" s="1" customFormat="1" ht="18.25" customHeight="1" outlineLevel="1">
      <c r="A475" s="571"/>
      <c r="B475" s="68" t="s">
        <v>216</v>
      </c>
      <c r="C475" s="62" t="s">
        <v>419</v>
      </c>
      <c r="D475" s="26">
        <v>2</v>
      </c>
      <c r="E475" s="70">
        <v>0</v>
      </c>
      <c r="F475" s="71">
        <v>0</v>
      </c>
      <c r="G475" s="70">
        <v>4</v>
      </c>
      <c r="H475" s="78">
        <v>25318</v>
      </c>
      <c r="I475" s="321">
        <v>2</v>
      </c>
      <c r="J475" s="322">
        <v>1</v>
      </c>
      <c r="K475" s="323">
        <v>0</v>
      </c>
      <c r="L475" s="435">
        <v>0</v>
      </c>
      <c r="M475" s="1" t="s">
        <v>168</v>
      </c>
      <c r="O475"/>
      <c r="P475"/>
      <c r="Q475"/>
    </row>
    <row r="476" spans="1:17" s="1" customFormat="1" ht="18.25" customHeight="1" outlineLevel="2">
      <c r="A476" s="571"/>
      <c r="B476" s="53" t="s">
        <v>216</v>
      </c>
      <c r="C476" s="55" t="s">
        <v>420</v>
      </c>
      <c r="D476" s="7" t="s">
        <v>219</v>
      </c>
      <c r="E476" s="59">
        <v>0</v>
      </c>
      <c r="F476" s="60">
        <v>0</v>
      </c>
      <c r="G476" s="59">
        <v>4</v>
      </c>
      <c r="H476" s="77">
        <v>72202</v>
      </c>
      <c r="I476" s="320">
        <v>1</v>
      </c>
      <c r="J476" s="406">
        <v>1</v>
      </c>
      <c r="K476" s="410">
        <v>1</v>
      </c>
      <c r="L476" s="427"/>
      <c r="O476"/>
      <c r="P476"/>
      <c r="Q476"/>
    </row>
    <row r="477" spans="1:17" s="1" customFormat="1" ht="18.25" customHeight="1" outlineLevel="2">
      <c r="A477" s="571"/>
      <c r="B477" s="54" t="s">
        <v>216</v>
      </c>
      <c r="C477" s="55" t="s">
        <v>685</v>
      </c>
      <c r="D477" s="7" t="s">
        <v>180</v>
      </c>
      <c r="E477" s="59">
        <v>0</v>
      </c>
      <c r="F477" s="60">
        <v>0</v>
      </c>
      <c r="G477" s="59">
        <v>1</v>
      </c>
      <c r="H477" s="77">
        <v>18000</v>
      </c>
      <c r="I477" s="320">
        <v>1</v>
      </c>
      <c r="J477" s="406">
        <v>1</v>
      </c>
      <c r="K477" s="410">
        <v>0</v>
      </c>
      <c r="L477" s="427"/>
      <c r="O477"/>
      <c r="P477"/>
      <c r="Q477"/>
    </row>
    <row r="478" spans="1:17" s="1" customFormat="1" ht="18.25" customHeight="1" outlineLevel="1">
      <c r="A478" s="571"/>
      <c r="B478" s="68" t="s">
        <v>216</v>
      </c>
      <c r="C478" s="62" t="s">
        <v>658</v>
      </c>
      <c r="D478" s="26">
        <v>2</v>
      </c>
      <c r="E478" s="70">
        <v>0</v>
      </c>
      <c r="F478" s="71">
        <v>0</v>
      </c>
      <c r="G478" s="70">
        <v>5</v>
      </c>
      <c r="H478" s="78">
        <v>90202</v>
      </c>
      <c r="I478" s="321">
        <v>2</v>
      </c>
      <c r="J478" s="322">
        <v>2</v>
      </c>
      <c r="K478" s="323">
        <v>1</v>
      </c>
      <c r="L478" s="435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71"/>
      <c r="B479" s="5" t="s">
        <v>216</v>
      </c>
      <c r="C479" s="6" t="s">
        <v>252</v>
      </c>
      <c r="D479" s="7" t="s">
        <v>24</v>
      </c>
      <c r="E479" s="8">
        <v>0</v>
      </c>
      <c r="F479" s="9">
        <v>0</v>
      </c>
      <c r="G479" s="8">
        <v>0</v>
      </c>
      <c r="H479" s="10">
        <v>0</v>
      </c>
      <c r="I479" s="311">
        <v>0</v>
      </c>
      <c r="J479" s="406">
        <v>0</v>
      </c>
      <c r="K479" s="410">
        <v>0</v>
      </c>
      <c r="L479" s="427"/>
      <c r="O479"/>
      <c r="P479"/>
      <c r="Q479"/>
    </row>
    <row r="480" spans="1:17" s="1" customFormat="1" ht="18.25" customHeight="1" outlineLevel="2">
      <c r="A480" s="571"/>
      <c r="B480" s="5" t="s">
        <v>216</v>
      </c>
      <c r="C480" s="6" t="s">
        <v>473</v>
      </c>
      <c r="D480" s="7" t="s">
        <v>16</v>
      </c>
      <c r="E480" s="8">
        <v>0</v>
      </c>
      <c r="F480" s="9">
        <v>0</v>
      </c>
      <c r="G480" s="8">
        <v>2</v>
      </c>
      <c r="H480" s="10">
        <v>25018</v>
      </c>
      <c r="I480" s="311">
        <v>1</v>
      </c>
      <c r="J480" s="406">
        <v>1</v>
      </c>
      <c r="K480" s="410">
        <v>1</v>
      </c>
      <c r="L480" s="427"/>
      <c r="O480"/>
      <c r="P480"/>
      <c r="Q480"/>
    </row>
    <row r="481" spans="1:17" s="1" customFormat="1" ht="18.25" customHeight="1" outlineLevel="1">
      <c r="A481" s="571"/>
      <c r="B481" s="12" t="s">
        <v>216</v>
      </c>
      <c r="C481" s="13" t="s">
        <v>252</v>
      </c>
      <c r="D481" s="14">
        <v>2</v>
      </c>
      <c r="E481" s="15">
        <v>0</v>
      </c>
      <c r="F481" s="16">
        <v>0</v>
      </c>
      <c r="G481" s="15">
        <v>2</v>
      </c>
      <c r="H481" s="17">
        <v>25018</v>
      </c>
      <c r="I481" s="312">
        <v>1</v>
      </c>
      <c r="J481" s="313">
        <v>1</v>
      </c>
      <c r="K481" s="411">
        <v>1</v>
      </c>
      <c r="L481" s="428">
        <v>1</v>
      </c>
      <c r="M481" s="1" t="s">
        <v>168</v>
      </c>
      <c r="O481"/>
      <c r="P481"/>
      <c r="Q481"/>
    </row>
    <row r="482" spans="1:17" s="1" customFormat="1" ht="18.25" customHeight="1" outlineLevel="2">
      <c r="A482" s="571"/>
      <c r="B482" s="5" t="s">
        <v>216</v>
      </c>
      <c r="C482" s="6" t="s">
        <v>314</v>
      </c>
      <c r="D482" s="7" t="s">
        <v>39</v>
      </c>
      <c r="E482" s="8">
        <v>0</v>
      </c>
      <c r="F482" s="9">
        <v>0</v>
      </c>
      <c r="G482" s="8">
        <v>3.5</v>
      </c>
      <c r="H482" s="10">
        <v>88739</v>
      </c>
      <c r="I482" s="311">
        <v>1</v>
      </c>
      <c r="J482" s="406">
        <v>1</v>
      </c>
      <c r="K482" s="410">
        <v>1</v>
      </c>
      <c r="L482" s="427"/>
      <c r="O482"/>
      <c r="P482"/>
      <c r="Q482"/>
    </row>
    <row r="483" spans="1:17" s="1" customFormat="1" ht="18.25" customHeight="1" outlineLevel="2">
      <c r="A483" s="571"/>
      <c r="B483" s="5" t="s">
        <v>216</v>
      </c>
      <c r="C483" s="6" t="s">
        <v>568</v>
      </c>
      <c r="D483" s="7" t="s">
        <v>16</v>
      </c>
      <c r="E483" s="8">
        <v>0</v>
      </c>
      <c r="F483" s="9">
        <v>0</v>
      </c>
      <c r="G483" s="8">
        <v>0.5</v>
      </c>
      <c r="H483" s="10">
        <v>3162</v>
      </c>
      <c r="I483" s="311">
        <v>1</v>
      </c>
      <c r="J483" s="406">
        <v>0</v>
      </c>
      <c r="K483" s="410">
        <v>0</v>
      </c>
      <c r="L483" s="427"/>
      <c r="O483"/>
      <c r="P483"/>
      <c r="Q483"/>
    </row>
    <row r="484" spans="1:17" s="1" customFormat="1" ht="18.25" customHeight="1" outlineLevel="1">
      <c r="A484" s="571"/>
      <c r="B484" s="12" t="s">
        <v>216</v>
      </c>
      <c r="C484" s="13" t="s">
        <v>313</v>
      </c>
      <c r="D484" s="14">
        <v>2</v>
      </c>
      <c r="E484" s="15">
        <v>0</v>
      </c>
      <c r="F484" s="16">
        <v>0</v>
      </c>
      <c r="G484" s="15">
        <v>4</v>
      </c>
      <c r="H484" s="17">
        <v>91901</v>
      </c>
      <c r="I484" s="312">
        <v>2</v>
      </c>
      <c r="J484" s="313">
        <v>1</v>
      </c>
      <c r="K484" s="411">
        <v>1</v>
      </c>
      <c r="L484" s="428">
        <v>0</v>
      </c>
      <c r="M484" s="1" t="s">
        <v>50</v>
      </c>
      <c r="O484"/>
      <c r="P484"/>
      <c r="Q484"/>
    </row>
    <row r="485" spans="1:17" s="1" customFormat="1" ht="18.25" customHeight="1" outlineLevel="2">
      <c r="A485" s="571"/>
      <c r="B485" s="5" t="s">
        <v>216</v>
      </c>
      <c r="C485" s="39" t="s">
        <v>303</v>
      </c>
      <c r="D485" s="7" t="s">
        <v>24</v>
      </c>
      <c r="E485" s="8">
        <v>0</v>
      </c>
      <c r="F485" s="9">
        <v>0</v>
      </c>
      <c r="G485" s="8">
        <v>1</v>
      </c>
      <c r="H485" s="10">
        <v>7645</v>
      </c>
      <c r="I485" s="311">
        <v>1</v>
      </c>
      <c r="J485" s="406">
        <v>0</v>
      </c>
      <c r="K485" s="410">
        <v>0</v>
      </c>
      <c r="L485" s="427"/>
      <c r="O485"/>
      <c r="P485"/>
      <c r="Q485"/>
    </row>
    <row r="486" spans="1:17" s="1" customFormat="1" ht="18.25" customHeight="1" outlineLevel="2">
      <c r="A486" s="571"/>
      <c r="B486" s="5" t="s">
        <v>216</v>
      </c>
      <c r="C486" s="6" t="s">
        <v>381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11">
        <v>0</v>
      </c>
      <c r="J486" s="406">
        <v>0</v>
      </c>
      <c r="K486" s="410">
        <v>0</v>
      </c>
      <c r="L486" s="427"/>
      <c r="O486"/>
      <c r="P486"/>
      <c r="Q486"/>
    </row>
    <row r="487" spans="1:17" s="1" customFormat="1" ht="18.25" customHeight="1" outlineLevel="1">
      <c r="A487" s="571"/>
      <c r="B487" s="12" t="s">
        <v>216</v>
      </c>
      <c r="C487" s="13" t="s">
        <v>303</v>
      </c>
      <c r="D487" s="14">
        <v>2</v>
      </c>
      <c r="E487" s="15">
        <v>0</v>
      </c>
      <c r="F487" s="16">
        <v>0</v>
      </c>
      <c r="G487" s="15">
        <v>1</v>
      </c>
      <c r="H487" s="17">
        <v>7645</v>
      </c>
      <c r="I487" s="312">
        <v>1</v>
      </c>
      <c r="J487" s="313">
        <v>0</v>
      </c>
      <c r="K487" s="411">
        <v>0</v>
      </c>
      <c r="L487" s="428">
        <v>0</v>
      </c>
      <c r="M487" s="1" t="s">
        <v>168</v>
      </c>
      <c r="O487"/>
      <c r="P487"/>
      <c r="Q487"/>
    </row>
    <row r="488" spans="1:17" s="1" customFormat="1" ht="18.25" customHeight="1" outlineLevel="2">
      <c r="A488" s="571"/>
      <c r="B488" s="5" t="s">
        <v>216</v>
      </c>
      <c r="C488" s="6" t="s">
        <v>268</v>
      </c>
      <c r="D488" s="7" t="s">
        <v>21</v>
      </c>
      <c r="E488" s="8">
        <v>0</v>
      </c>
      <c r="F488" s="9">
        <v>0</v>
      </c>
      <c r="G488" s="8">
        <v>0</v>
      </c>
      <c r="H488" s="10">
        <v>0</v>
      </c>
      <c r="I488" s="311">
        <v>0</v>
      </c>
      <c r="J488" s="406">
        <v>0</v>
      </c>
      <c r="K488" s="410">
        <v>0</v>
      </c>
      <c r="L488" s="427"/>
      <c r="O488"/>
      <c r="P488"/>
      <c r="Q488"/>
    </row>
    <row r="489" spans="1:17" s="1" customFormat="1" ht="18.25" customHeight="1" outlineLevel="2">
      <c r="A489" s="571"/>
      <c r="B489" s="5" t="s">
        <v>216</v>
      </c>
      <c r="C489" s="18" t="s">
        <v>806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11">
        <v>0</v>
      </c>
      <c r="J489" s="406">
        <v>0</v>
      </c>
      <c r="K489" s="410">
        <v>0</v>
      </c>
      <c r="L489" s="427"/>
      <c r="O489"/>
      <c r="P489"/>
      <c r="Q489"/>
    </row>
    <row r="490" spans="1:17" s="1" customFormat="1" ht="18.25" customHeight="1" outlineLevel="2">
      <c r="A490" s="571"/>
      <c r="B490" s="5" t="s">
        <v>216</v>
      </c>
      <c r="C490" s="18" t="s">
        <v>680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1">
        <v>0</v>
      </c>
      <c r="J490" s="406">
        <v>0</v>
      </c>
      <c r="K490" s="410">
        <v>0</v>
      </c>
      <c r="L490" s="427"/>
      <c r="O490"/>
      <c r="P490"/>
      <c r="Q490"/>
    </row>
    <row r="491" spans="1:17" s="1" customFormat="1" ht="18.25" customHeight="1" outlineLevel="1">
      <c r="A491" s="571"/>
      <c r="B491" s="12" t="s">
        <v>216</v>
      </c>
      <c r="C491" s="13" t="s">
        <v>72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2">
        <v>0</v>
      </c>
      <c r="J491" s="313">
        <v>0</v>
      </c>
      <c r="K491" s="411">
        <v>0</v>
      </c>
      <c r="L491" s="428">
        <v>0</v>
      </c>
      <c r="M491" s="1" t="s">
        <v>170</v>
      </c>
      <c r="O491"/>
      <c r="P491"/>
      <c r="Q491"/>
    </row>
    <row r="492" spans="1:17" s="1" customFormat="1" ht="18.25" customHeight="1" outlineLevel="2">
      <c r="A492" s="571"/>
      <c r="B492" s="41" t="s">
        <v>216</v>
      </c>
      <c r="C492" s="39" t="s">
        <v>507</v>
      </c>
      <c r="D492" s="23" t="s">
        <v>219</v>
      </c>
      <c r="E492" s="8">
        <v>0</v>
      </c>
      <c r="F492" s="9">
        <v>0</v>
      </c>
      <c r="G492" s="8">
        <v>4.5</v>
      </c>
      <c r="H492" s="10">
        <v>22447</v>
      </c>
      <c r="I492" s="314">
        <v>1</v>
      </c>
      <c r="J492" s="406">
        <v>1</v>
      </c>
      <c r="K492" s="410">
        <v>0</v>
      </c>
      <c r="L492" s="427"/>
      <c r="O492"/>
      <c r="P492"/>
      <c r="Q492"/>
    </row>
    <row r="493" spans="1:17" ht="18.25" customHeight="1" outlineLevel="2">
      <c r="B493" s="5" t="s">
        <v>216</v>
      </c>
      <c r="C493" s="18" t="s">
        <v>730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11">
        <v>0</v>
      </c>
      <c r="J493" s="406">
        <v>0</v>
      </c>
      <c r="K493" s="410">
        <v>0</v>
      </c>
      <c r="L493" s="427"/>
    </row>
    <row r="494" spans="1:17" ht="18.25" customHeight="1" outlineLevel="1">
      <c r="B494" s="12" t="s">
        <v>216</v>
      </c>
      <c r="C494" s="13" t="s">
        <v>70</v>
      </c>
      <c r="D494" s="14">
        <v>2</v>
      </c>
      <c r="E494" s="15">
        <v>0</v>
      </c>
      <c r="F494" s="16">
        <v>0</v>
      </c>
      <c r="G494" s="15">
        <v>4.5</v>
      </c>
      <c r="H494" s="17">
        <v>22447</v>
      </c>
      <c r="I494" s="312">
        <v>1</v>
      </c>
      <c r="J494" s="313">
        <v>1</v>
      </c>
      <c r="K494" s="411">
        <v>0</v>
      </c>
      <c r="L494" s="428">
        <v>0</v>
      </c>
      <c r="M494" s="1" t="s">
        <v>50</v>
      </c>
    </row>
    <row r="495" spans="1:17" ht="18.25" customHeight="1" outlineLevel="2">
      <c r="B495" s="41" t="s">
        <v>216</v>
      </c>
      <c r="C495" s="39" t="s">
        <v>536</v>
      </c>
      <c r="D495" s="23" t="s">
        <v>188</v>
      </c>
      <c r="E495" s="8">
        <v>0</v>
      </c>
      <c r="F495" s="9">
        <v>0</v>
      </c>
      <c r="G495" s="8">
        <v>1</v>
      </c>
      <c r="H495" s="10">
        <v>3225</v>
      </c>
      <c r="I495" s="314">
        <v>1</v>
      </c>
      <c r="J495" s="406">
        <v>0</v>
      </c>
      <c r="K495" s="410">
        <v>0</v>
      </c>
      <c r="L495" s="427"/>
    </row>
    <row r="496" spans="1:17" ht="18.25" customHeight="1" outlineLevel="2">
      <c r="B496" s="5" t="s">
        <v>216</v>
      </c>
      <c r="C496" s="18" t="s">
        <v>731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11">
        <v>0</v>
      </c>
      <c r="J496" s="406">
        <v>0</v>
      </c>
      <c r="K496" s="410">
        <v>0</v>
      </c>
      <c r="L496" s="427"/>
    </row>
    <row r="497" spans="1:14" ht="18.25" customHeight="1" outlineLevel="1">
      <c r="B497" s="12" t="s">
        <v>216</v>
      </c>
      <c r="C497" s="13" t="s">
        <v>536</v>
      </c>
      <c r="D497" s="14">
        <v>2</v>
      </c>
      <c r="E497" s="15">
        <v>0</v>
      </c>
      <c r="F497" s="16">
        <v>0</v>
      </c>
      <c r="G497" s="15">
        <v>1</v>
      </c>
      <c r="H497" s="17">
        <v>3225</v>
      </c>
      <c r="I497" s="312">
        <v>1</v>
      </c>
      <c r="J497" s="313">
        <v>0</v>
      </c>
      <c r="K497" s="411">
        <v>0</v>
      </c>
      <c r="L497" s="428">
        <v>0</v>
      </c>
      <c r="M497" s="1" t="s">
        <v>168</v>
      </c>
    </row>
    <row r="498" spans="1:14" ht="18.25" customHeight="1" outlineLevel="2">
      <c r="B498" s="5" t="s">
        <v>216</v>
      </c>
      <c r="C498" s="18" t="s">
        <v>270</v>
      </c>
      <c r="D498" s="7" t="s">
        <v>21</v>
      </c>
      <c r="E498" s="8">
        <v>0</v>
      </c>
      <c r="F498" s="9">
        <v>0</v>
      </c>
      <c r="G498" s="8">
        <v>9.5</v>
      </c>
      <c r="H498" s="10">
        <v>142964</v>
      </c>
      <c r="I498" s="311">
        <v>1</v>
      </c>
      <c r="J498" s="406">
        <v>1</v>
      </c>
      <c r="K498" s="410">
        <v>1</v>
      </c>
      <c r="L498" s="427"/>
    </row>
    <row r="499" spans="1:14" ht="18.25" customHeight="1" outlineLevel="2">
      <c r="B499" s="5" t="s">
        <v>216</v>
      </c>
      <c r="C499" s="6" t="s">
        <v>775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11">
        <v>0</v>
      </c>
      <c r="J499" s="406">
        <v>0</v>
      </c>
      <c r="K499" s="410">
        <v>0</v>
      </c>
      <c r="L499" s="427"/>
    </row>
    <row r="500" spans="1:14" ht="18.25" customHeight="1" outlineLevel="1">
      <c r="B500" s="12" t="s">
        <v>216</v>
      </c>
      <c r="C500" s="13" t="s">
        <v>270</v>
      </c>
      <c r="D500" s="14">
        <v>2</v>
      </c>
      <c r="E500" s="15">
        <v>0</v>
      </c>
      <c r="F500" s="16">
        <v>0</v>
      </c>
      <c r="G500" s="15">
        <v>9.5</v>
      </c>
      <c r="H500" s="17">
        <v>142964</v>
      </c>
      <c r="I500" s="312">
        <v>1</v>
      </c>
      <c r="J500" s="313">
        <v>1</v>
      </c>
      <c r="K500" s="411">
        <v>1</v>
      </c>
      <c r="L500" s="428">
        <v>0</v>
      </c>
      <c r="M500" s="1" t="s">
        <v>170</v>
      </c>
    </row>
    <row r="501" spans="1:14" ht="18.25" customHeight="1" outlineLevel="2">
      <c r="B501" s="5" t="s">
        <v>216</v>
      </c>
      <c r="C501" s="6" t="s">
        <v>71</v>
      </c>
      <c r="D501" s="7" t="s">
        <v>39</v>
      </c>
      <c r="E501" s="8">
        <v>0</v>
      </c>
      <c r="F501" s="9">
        <v>0</v>
      </c>
      <c r="G501" s="8">
        <v>0</v>
      </c>
      <c r="H501" s="10">
        <v>0</v>
      </c>
      <c r="I501" s="311">
        <v>0</v>
      </c>
      <c r="J501" s="406">
        <v>0</v>
      </c>
      <c r="K501" s="410">
        <v>0</v>
      </c>
      <c r="L501" s="427"/>
    </row>
    <row r="502" spans="1:14" ht="18.25" customHeight="1" outlineLevel="2">
      <c r="B502" s="5" t="s">
        <v>216</v>
      </c>
      <c r="C502" s="39" t="s">
        <v>740</v>
      </c>
      <c r="D502" s="23" t="s">
        <v>26</v>
      </c>
      <c r="E502" s="8">
        <v>0</v>
      </c>
      <c r="F502" s="9">
        <v>0</v>
      </c>
      <c r="G502" s="8">
        <v>0</v>
      </c>
      <c r="H502" s="10">
        <v>0</v>
      </c>
      <c r="I502" s="311">
        <v>0</v>
      </c>
      <c r="J502" s="406">
        <v>0</v>
      </c>
      <c r="K502" s="410">
        <v>0</v>
      </c>
      <c r="L502" s="427"/>
    </row>
    <row r="503" spans="1:14" ht="18.25" customHeight="1" outlineLevel="2">
      <c r="B503" s="5" t="s">
        <v>216</v>
      </c>
      <c r="C503" s="6" t="s">
        <v>254</v>
      </c>
      <c r="D503" s="7" t="s">
        <v>16</v>
      </c>
      <c r="E503" s="8">
        <v>0</v>
      </c>
      <c r="F503" s="9">
        <v>0</v>
      </c>
      <c r="G503" s="8">
        <v>4</v>
      </c>
      <c r="H503" s="10">
        <v>51932</v>
      </c>
      <c r="I503" s="311">
        <v>1</v>
      </c>
      <c r="J503" s="406">
        <v>1</v>
      </c>
      <c r="K503" s="410">
        <v>1</v>
      </c>
      <c r="L503" s="427"/>
    </row>
    <row r="504" spans="1:14" ht="18.25" customHeight="1" outlineLevel="1">
      <c r="B504" s="12" t="s">
        <v>216</v>
      </c>
      <c r="C504" s="13" t="s">
        <v>71</v>
      </c>
      <c r="D504" s="14">
        <v>3</v>
      </c>
      <c r="E504" s="15">
        <v>0</v>
      </c>
      <c r="F504" s="16">
        <v>0</v>
      </c>
      <c r="G504" s="15">
        <v>4</v>
      </c>
      <c r="H504" s="17">
        <v>51932</v>
      </c>
      <c r="I504" s="312">
        <v>1</v>
      </c>
      <c r="J504" s="313">
        <v>1</v>
      </c>
      <c r="K504" s="411">
        <v>1</v>
      </c>
      <c r="L504" s="428">
        <v>0</v>
      </c>
      <c r="M504" s="1" t="s">
        <v>50</v>
      </c>
    </row>
    <row r="505" spans="1:14" ht="18.25" customHeight="1" outlineLevel="2">
      <c r="B505" s="5" t="s">
        <v>216</v>
      </c>
      <c r="C505" s="6" t="s">
        <v>485</v>
      </c>
      <c r="D505" s="7" t="s">
        <v>304</v>
      </c>
      <c r="E505" s="8">
        <v>0</v>
      </c>
      <c r="F505" s="9">
        <v>0</v>
      </c>
      <c r="G505" s="8">
        <v>4</v>
      </c>
      <c r="H505" s="10">
        <v>47705</v>
      </c>
      <c r="I505" s="311">
        <v>1</v>
      </c>
      <c r="J505" s="406">
        <v>1</v>
      </c>
      <c r="K505" s="410">
        <v>1</v>
      </c>
      <c r="L505" s="427"/>
    </row>
    <row r="506" spans="1:14" ht="18.25" customHeight="1" outlineLevel="1">
      <c r="B506" s="12" t="s">
        <v>216</v>
      </c>
      <c r="C506" s="13" t="s">
        <v>485</v>
      </c>
      <c r="D506" s="14">
        <v>1</v>
      </c>
      <c r="E506" s="15">
        <v>0</v>
      </c>
      <c r="F506" s="16">
        <v>0</v>
      </c>
      <c r="G506" s="15">
        <v>4</v>
      </c>
      <c r="H506" s="17">
        <v>47705</v>
      </c>
      <c r="I506" s="312">
        <v>1</v>
      </c>
      <c r="J506" s="313">
        <v>1</v>
      </c>
      <c r="K506" s="411">
        <v>1</v>
      </c>
      <c r="L506" s="428">
        <v>0</v>
      </c>
      <c r="M506" s="1" t="s">
        <v>663</v>
      </c>
    </row>
    <row r="507" spans="1:14" s="150" customFormat="1" ht="18.25" customHeight="1">
      <c r="A507" s="570" t="s">
        <v>830</v>
      </c>
      <c r="B507" s="949" t="s">
        <v>215</v>
      </c>
      <c r="C507" s="950"/>
      <c r="D507" s="146">
        <v>40</v>
      </c>
      <c r="E507" s="147">
        <v>1</v>
      </c>
      <c r="F507" s="148">
        <v>10428</v>
      </c>
      <c r="G507" s="147">
        <v>71</v>
      </c>
      <c r="H507" s="149">
        <v>2037668</v>
      </c>
      <c r="I507" s="315">
        <v>25</v>
      </c>
      <c r="J507" s="316">
        <v>17</v>
      </c>
      <c r="K507" s="412">
        <v>12</v>
      </c>
      <c r="L507" s="429">
        <v>1</v>
      </c>
      <c r="M507" s="249"/>
      <c r="N507" s="249"/>
    </row>
    <row r="508" spans="1:14" ht="18.25" customHeight="1" outlineLevel="2">
      <c r="B508" s="5" t="s">
        <v>10</v>
      </c>
      <c r="C508" s="6" t="s">
        <v>148</v>
      </c>
      <c r="D508" s="7" t="s">
        <v>53</v>
      </c>
      <c r="E508" s="8">
        <v>0</v>
      </c>
      <c r="F508" s="9">
        <v>0</v>
      </c>
      <c r="G508" s="8">
        <v>2</v>
      </c>
      <c r="H508" s="10">
        <v>46126</v>
      </c>
      <c r="I508" s="311">
        <v>1</v>
      </c>
      <c r="J508" s="406">
        <v>1</v>
      </c>
      <c r="K508" s="410">
        <v>1</v>
      </c>
      <c r="L508" s="427"/>
    </row>
    <row r="509" spans="1:14" ht="18.25" customHeight="1" outlineLevel="2">
      <c r="B509" s="41" t="s">
        <v>4</v>
      </c>
      <c r="C509" s="39" t="s">
        <v>749</v>
      </c>
      <c r="D509" s="23" t="s">
        <v>16</v>
      </c>
      <c r="E509" s="8">
        <v>0</v>
      </c>
      <c r="F509" s="9">
        <v>0</v>
      </c>
      <c r="G509" s="8">
        <v>4</v>
      </c>
      <c r="H509" s="10">
        <v>73571</v>
      </c>
      <c r="I509" s="311">
        <v>1</v>
      </c>
      <c r="J509" s="406">
        <v>1</v>
      </c>
      <c r="K509" s="410">
        <v>1</v>
      </c>
      <c r="L509" s="427"/>
    </row>
    <row r="510" spans="1:14" ht="18.25" customHeight="1" outlineLevel="2">
      <c r="B510" s="41" t="s">
        <v>4</v>
      </c>
      <c r="C510" s="39" t="s">
        <v>742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1">
        <v>0</v>
      </c>
      <c r="J510" s="406">
        <v>0</v>
      </c>
      <c r="K510" s="410">
        <v>0</v>
      </c>
      <c r="L510" s="427"/>
    </row>
    <row r="511" spans="1:14" s="48" customFormat="1" ht="18.25" customHeight="1" outlineLevel="2">
      <c r="A511" s="573"/>
      <c r="B511" s="41" t="s">
        <v>4</v>
      </c>
      <c r="C511" s="39" t="s">
        <v>706</v>
      </c>
      <c r="D511" s="23" t="s">
        <v>26</v>
      </c>
      <c r="E511" s="42">
        <v>0</v>
      </c>
      <c r="F511" s="43">
        <v>0</v>
      </c>
      <c r="G511" s="42">
        <v>0</v>
      </c>
      <c r="H511" s="44">
        <v>0</v>
      </c>
      <c r="I511" s="314">
        <v>0</v>
      </c>
      <c r="J511" s="409">
        <v>0</v>
      </c>
      <c r="K511" s="410">
        <v>0</v>
      </c>
      <c r="L511" s="433"/>
      <c r="M511" s="251"/>
      <c r="N511" s="251"/>
    </row>
    <row r="512" spans="1:14" s="48" customFormat="1" ht="18.25" customHeight="1" outlineLevel="2">
      <c r="A512" s="573"/>
      <c r="B512" s="41" t="s">
        <v>4</v>
      </c>
      <c r="C512" s="39" t="s">
        <v>157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4">
        <v>0</v>
      </c>
      <c r="J512" s="409">
        <v>0</v>
      </c>
      <c r="K512" s="410">
        <v>0</v>
      </c>
      <c r="L512" s="433"/>
      <c r="M512" s="251"/>
      <c r="N512" s="251"/>
    </row>
    <row r="513" spans="1:17" s="48" customFormat="1" ht="18.25" customHeight="1" outlineLevel="2">
      <c r="A513" s="573"/>
      <c r="B513" s="41" t="s">
        <v>4</v>
      </c>
      <c r="C513" s="39" t="s">
        <v>60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4">
        <v>0</v>
      </c>
      <c r="J513" s="409">
        <v>0</v>
      </c>
      <c r="K513" s="410">
        <v>0</v>
      </c>
      <c r="L513" s="433"/>
      <c r="M513" s="251"/>
      <c r="N513" s="251"/>
    </row>
    <row r="514" spans="1:17" s="48" customFormat="1" ht="18.25" customHeight="1" outlineLevel="2">
      <c r="A514" s="573"/>
      <c r="B514" s="41" t="s">
        <v>4</v>
      </c>
      <c r="C514" s="39" t="s">
        <v>347</v>
      </c>
      <c r="D514" s="23" t="s">
        <v>26</v>
      </c>
      <c r="E514" s="42">
        <v>0</v>
      </c>
      <c r="F514" s="43">
        <v>0</v>
      </c>
      <c r="G514" s="42">
        <v>4</v>
      </c>
      <c r="H514" s="44">
        <v>30332</v>
      </c>
      <c r="I514" s="314">
        <v>1</v>
      </c>
      <c r="J514" s="409">
        <v>1</v>
      </c>
      <c r="K514" s="410">
        <v>1</v>
      </c>
      <c r="L514" s="433"/>
      <c r="M514" s="251"/>
      <c r="N514" s="251"/>
    </row>
    <row r="515" spans="1:17" ht="18.25" customHeight="1" outlineLevel="2">
      <c r="B515" s="5" t="s">
        <v>4</v>
      </c>
      <c r="C515" s="39" t="s">
        <v>502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11">
        <v>0</v>
      </c>
      <c r="J515" s="406">
        <v>0</v>
      </c>
      <c r="K515" s="410">
        <v>0</v>
      </c>
      <c r="L515" s="427"/>
    </row>
    <row r="516" spans="1:17" ht="18.25" customHeight="1" outlineLevel="2">
      <c r="B516" s="5" t="s">
        <v>4</v>
      </c>
      <c r="C516" s="6" t="s">
        <v>294</v>
      </c>
      <c r="D516" s="7" t="s">
        <v>187</v>
      </c>
      <c r="E516" s="8">
        <v>0</v>
      </c>
      <c r="F516" s="9">
        <v>0</v>
      </c>
      <c r="G516" s="8">
        <v>0</v>
      </c>
      <c r="H516" s="10">
        <v>0</v>
      </c>
      <c r="I516" s="311">
        <v>0</v>
      </c>
      <c r="J516" s="406">
        <v>0</v>
      </c>
      <c r="K516" s="410">
        <v>0</v>
      </c>
      <c r="L516" s="427"/>
    </row>
    <row r="517" spans="1:17" ht="18.25" customHeight="1" outlineLevel="2">
      <c r="B517" s="5" t="s">
        <v>4</v>
      </c>
      <c r="C517" s="6" t="s">
        <v>323</v>
      </c>
      <c r="D517" s="7" t="s">
        <v>16</v>
      </c>
      <c r="E517" s="8">
        <v>0</v>
      </c>
      <c r="F517" s="9">
        <v>0</v>
      </c>
      <c r="G517" s="8">
        <v>3</v>
      </c>
      <c r="H517" s="10">
        <v>104317</v>
      </c>
      <c r="I517" s="311">
        <v>1</v>
      </c>
      <c r="J517" s="406">
        <v>1</v>
      </c>
      <c r="K517" s="410">
        <v>1</v>
      </c>
      <c r="L517" s="427"/>
    </row>
    <row r="518" spans="1:17" ht="18.25" customHeight="1" outlineLevel="2">
      <c r="B518" s="5" t="s">
        <v>4</v>
      </c>
      <c r="C518" s="6" t="s">
        <v>150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11">
        <v>0</v>
      </c>
      <c r="J518" s="406">
        <v>0</v>
      </c>
      <c r="K518" s="410">
        <v>0</v>
      </c>
      <c r="L518" s="427"/>
    </row>
    <row r="519" spans="1:17" ht="18.25" customHeight="1" outlineLevel="2">
      <c r="B519" s="5" t="s">
        <v>4</v>
      </c>
      <c r="C519" s="6" t="s">
        <v>151</v>
      </c>
      <c r="D519" s="7" t="s">
        <v>16</v>
      </c>
      <c r="E519" s="8">
        <v>0</v>
      </c>
      <c r="F519" s="9">
        <v>0</v>
      </c>
      <c r="G519" s="8">
        <v>1</v>
      </c>
      <c r="H519" s="10">
        <v>6600</v>
      </c>
      <c r="I519" s="311">
        <v>1</v>
      </c>
      <c r="J519" s="406">
        <v>0</v>
      </c>
      <c r="K519" s="410">
        <v>0</v>
      </c>
      <c r="L519" s="427"/>
    </row>
    <row r="520" spans="1:17" ht="18.25" customHeight="1" outlineLevel="2">
      <c r="B520" s="5" t="s">
        <v>4</v>
      </c>
      <c r="C520" s="18" t="s">
        <v>149</v>
      </c>
      <c r="D520" s="7" t="s">
        <v>16</v>
      </c>
      <c r="E520" s="8">
        <v>0</v>
      </c>
      <c r="F520" s="9">
        <v>0</v>
      </c>
      <c r="G520" s="8">
        <v>2</v>
      </c>
      <c r="H520" s="10">
        <v>6981</v>
      </c>
      <c r="I520" s="311">
        <v>1</v>
      </c>
      <c r="J520" s="406">
        <v>0</v>
      </c>
      <c r="K520" s="410">
        <v>0</v>
      </c>
      <c r="L520" s="427"/>
    </row>
    <row r="521" spans="1:17" ht="18.25" customHeight="1" outlineLevel="2">
      <c r="B521" s="5" t="s">
        <v>4</v>
      </c>
      <c r="C521" s="22" t="s">
        <v>200</v>
      </c>
      <c r="D521" s="7" t="s">
        <v>38</v>
      </c>
      <c r="E521" s="8">
        <v>0</v>
      </c>
      <c r="F521" s="9">
        <v>0</v>
      </c>
      <c r="G521" s="8">
        <v>0</v>
      </c>
      <c r="H521" s="10">
        <v>0</v>
      </c>
      <c r="I521" s="311">
        <v>0</v>
      </c>
      <c r="J521" s="406">
        <v>0</v>
      </c>
      <c r="K521" s="410">
        <v>0</v>
      </c>
      <c r="L521" s="427"/>
    </row>
    <row r="522" spans="1:17" s="1" customFormat="1" ht="18.25" customHeight="1" outlineLevel="2">
      <c r="A522" s="571"/>
      <c r="B522" s="5" t="s">
        <v>4</v>
      </c>
      <c r="C522" s="22" t="s">
        <v>345</v>
      </c>
      <c r="D522" s="7" t="s">
        <v>26</v>
      </c>
      <c r="E522" s="8">
        <v>0</v>
      </c>
      <c r="F522" s="9">
        <v>0</v>
      </c>
      <c r="G522" s="8">
        <v>0</v>
      </c>
      <c r="H522" s="10">
        <v>0</v>
      </c>
      <c r="I522" s="311">
        <v>0</v>
      </c>
      <c r="J522" s="406">
        <v>0</v>
      </c>
      <c r="K522" s="410">
        <v>0</v>
      </c>
      <c r="L522" s="427"/>
      <c r="O522"/>
      <c r="P522"/>
      <c r="Q522"/>
    </row>
    <row r="523" spans="1:17" s="1" customFormat="1" ht="18.25" customHeight="1" outlineLevel="2">
      <c r="A523" s="571"/>
      <c r="B523" s="5" t="s">
        <v>4</v>
      </c>
      <c r="C523" s="18" t="s">
        <v>59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1">
        <v>0</v>
      </c>
      <c r="J523" s="406">
        <v>0</v>
      </c>
      <c r="K523" s="410">
        <v>0</v>
      </c>
      <c r="L523" s="427"/>
      <c r="O523"/>
      <c r="P523"/>
      <c r="Q523"/>
    </row>
    <row r="524" spans="1:17" s="1" customFormat="1" ht="18.25" customHeight="1" outlineLevel="2">
      <c r="A524" s="571"/>
      <c r="B524" s="5" t="s">
        <v>4</v>
      </c>
      <c r="C524" s="18" t="s">
        <v>758</v>
      </c>
      <c r="D524" s="7" t="s">
        <v>16</v>
      </c>
      <c r="E524" s="8">
        <v>0</v>
      </c>
      <c r="F524" s="9">
        <v>0</v>
      </c>
      <c r="G524" s="8">
        <v>7</v>
      </c>
      <c r="H524" s="10">
        <v>155447</v>
      </c>
      <c r="I524" s="311">
        <v>1</v>
      </c>
      <c r="J524" s="406">
        <v>1</v>
      </c>
      <c r="K524" s="410">
        <v>1</v>
      </c>
      <c r="L524" s="427"/>
      <c r="O524"/>
      <c r="P524"/>
      <c r="Q524"/>
    </row>
    <row r="525" spans="1:17" s="1" customFormat="1" ht="18.25" customHeight="1" outlineLevel="2">
      <c r="A525" s="571"/>
      <c r="B525" s="5" t="s">
        <v>4</v>
      </c>
      <c r="C525" s="6" t="s">
        <v>51</v>
      </c>
      <c r="D525" s="7" t="s">
        <v>16</v>
      </c>
      <c r="E525" s="8">
        <v>0</v>
      </c>
      <c r="F525" s="9">
        <v>0</v>
      </c>
      <c r="G525" s="8">
        <v>2</v>
      </c>
      <c r="H525" s="10">
        <v>42052</v>
      </c>
      <c r="I525" s="311">
        <v>1</v>
      </c>
      <c r="J525" s="406">
        <v>1</v>
      </c>
      <c r="K525" s="410">
        <v>1</v>
      </c>
      <c r="L525" s="427"/>
      <c r="O525"/>
      <c r="P525"/>
      <c r="Q525"/>
    </row>
    <row r="526" spans="1:17" s="1" customFormat="1" ht="18.25" customHeight="1" outlineLevel="2">
      <c r="A526" s="571"/>
      <c r="B526" s="5" t="s">
        <v>4</v>
      </c>
      <c r="C526" s="6" t="s">
        <v>230</v>
      </c>
      <c r="D526" s="7" t="s">
        <v>16</v>
      </c>
      <c r="E526" s="8">
        <v>0</v>
      </c>
      <c r="F526" s="9">
        <v>0</v>
      </c>
      <c r="G526" s="8">
        <v>2</v>
      </c>
      <c r="H526" s="10">
        <v>61990</v>
      </c>
      <c r="I526" s="311">
        <v>1</v>
      </c>
      <c r="J526" s="406">
        <v>1</v>
      </c>
      <c r="K526" s="410">
        <v>1</v>
      </c>
      <c r="L526" s="427"/>
      <c r="O526"/>
      <c r="P526"/>
      <c r="Q526"/>
    </row>
    <row r="527" spans="1:17" s="1" customFormat="1" ht="18.25" customHeight="1" outlineLevel="2">
      <c r="A527" s="571"/>
      <c r="B527" s="5" t="s">
        <v>4</v>
      </c>
      <c r="C527" s="6" t="s">
        <v>40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1">
        <v>0</v>
      </c>
      <c r="J527" s="406">
        <v>0</v>
      </c>
      <c r="K527" s="410">
        <v>0</v>
      </c>
      <c r="L527" s="427"/>
      <c r="O527"/>
      <c r="P527"/>
      <c r="Q527"/>
    </row>
    <row r="528" spans="1:17" s="1" customFormat="1" ht="18.25" customHeight="1" outlineLevel="2">
      <c r="A528" s="571"/>
      <c r="B528" s="5" t="s">
        <v>4</v>
      </c>
      <c r="C528" s="18" t="s">
        <v>41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1">
        <v>0</v>
      </c>
      <c r="J528" s="406">
        <v>0</v>
      </c>
      <c r="K528" s="410">
        <v>0</v>
      </c>
      <c r="L528" s="427"/>
      <c r="O528"/>
      <c r="P528"/>
      <c r="Q528"/>
    </row>
    <row r="529" spans="1:17" s="1" customFormat="1" ht="18.25" customHeight="1" outlineLevel="2">
      <c r="A529" s="571"/>
      <c r="B529" s="5" t="s">
        <v>4</v>
      </c>
      <c r="C529" s="18" t="s">
        <v>42</v>
      </c>
      <c r="D529" s="7" t="s">
        <v>16</v>
      </c>
      <c r="E529" s="8">
        <v>0</v>
      </c>
      <c r="F529" s="9">
        <v>0</v>
      </c>
      <c r="G529" s="8">
        <v>1</v>
      </c>
      <c r="H529" s="10">
        <v>16759</v>
      </c>
      <c r="I529" s="311">
        <v>1</v>
      </c>
      <c r="J529" s="406">
        <v>1</v>
      </c>
      <c r="K529" s="410">
        <v>0</v>
      </c>
      <c r="L529" s="427"/>
      <c r="O529"/>
      <c r="P529"/>
      <c r="Q529"/>
    </row>
    <row r="530" spans="1:17" s="1" customFormat="1" ht="18.25" customHeight="1" outlineLevel="2">
      <c r="A530" s="571"/>
      <c r="B530" s="5" t="s">
        <v>4</v>
      </c>
      <c r="C530" s="6" t="s">
        <v>37</v>
      </c>
      <c r="D530" s="7" t="s">
        <v>16</v>
      </c>
      <c r="E530" s="8">
        <v>0</v>
      </c>
      <c r="F530" s="9">
        <v>0</v>
      </c>
      <c r="G530" s="8">
        <v>7</v>
      </c>
      <c r="H530" s="10">
        <v>120349</v>
      </c>
      <c r="I530" s="311">
        <v>1</v>
      </c>
      <c r="J530" s="406">
        <v>1</v>
      </c>
      <c r="K530" s="410">
        <v>1</v>
      </c>
      <c r="L530" s="427"/>
      <c r="O530"/>
      <c r="P530"/>
      <c r="Q530"/>
    </row>
    <row r="531" spans="1:17" s="1" customFormat="1" ht="18.25" customHeight="1" outlineLevel="1">
      <c r="A531" s="571"/>
      <c r="B531" s="12" t="s">
        <v>4</v>
      </c>
      <c r="C531" s="13" t="s">
        <v>152</v>
      </c>
      <c r="D531" s="14">
        <v>23</v>
      </c>
      <c r="E531" s="15">
        <v>0</v>
      </c>
      <c r="F531" s="16">
        <v>0</v>
      </c>
      <c r="G531" s="15">
        <v>35</v>
      </c>
      <c r="H531" s="17">
        <v>664524</v>
      </c>
      <c r="I531" s="312">
        <v>11</v>
      </c>
      <c r="J531" s="313">
        <v>9</v>
      </c>
      <c r="K531" s="411">
        <v>8</v>
      </c>
      <c r="L531" s="428">
        <v>1</v>
      </c>
      <c r="M531" s="1" t="s">
        <v>166</v>
      </c>
      <c r="O531"/>
      <c r="P531"/>
      <c r="Q531"/>
    </row>
    <row r="532" spans="1:17" s="1" customFormat="1" ht="18.25" customHeight="1" outlineLevel="2">
      <c r="A532" s="571"/>
      <c r="B532" s="5" t="s">
        <v>4</v>
      </c>
      <c r="C532" s="6" t="s">
        <v>888</v>
      </c>
      <c r="D532" s="7" t="s">
        <v>188</v>
      </c>
      <c r="E532" s="8">
        <v>0</v>
      </c>
      <c r="F532" s="9">
        <v>0</v>
      </c>
      <c r="G532" s="8">
        <v>3</v>
      </c>
      <c r="H532" s="10">
        <v>31892</v>
      </c>
      <c r="I532" s="311">
        <v>1</v>
      </c>
      <c r="J532" s="406">
        <v>1</v>
      </c>
      <c r="K532" s="410">
        <v>1</v>
      </c>
      <c r="L532" s="427"/>
      <c r="O532"/>
      <c r="P532"/>
      <c r="Q532"/>
    </row>
    <row r="533" spans="1:17" s="1" customFormat="1" ht="18.25" customHeight="1" outlineLevel="2">
      <c r="A533" s="571"/>
      <c r="B533" s="5" t="s">
        <v>4</v>
      </c>
      <c r="C533" s="6" t="s">
        <v>915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11">
        <v>0</v>
      </c>
      <c r="J533" s="406">
        <v>0</v>
      </c>
      <c r="K533" s="410">
        <v>0</v>
      </c>
      <c r="L533" s="427"/>
      <c r="O533"/>
      <c r="P533"/>
      <c r="Q533"/>
    </row>
    <row r="534" spans="1:17" s="1" customFormat="1" ht="18.25" customHeight="1" outlineLevel="1">
      <c r="A534" s="571"/>
      <c r="B534" s="12" t="s">
        <v>4</v>
      </c>
      <c r="C534" s="13" t="s">
        <v>888</v>
      </c>
      <c r="D534" s="14">
        <v>2</v>
      </c>
      <c r="E534" s="15">
        <v>0</v>
      </c>
      <c r="F534" s="16">
        <v>0</v>
      </c>
      <c r="G534" s="15">
        <v>3</v>
      </c>
      <c r="H534" s="17">
        <v>31892</v>
      </c>
      <c r="I534" s="312">
        <v>1</v>
      </c>
      <c r="J534" s="313">
        <v>1</v>
      </c>
      <c r="K534" s="411">
        <v>1</v>
      </c>
      <c r="L534" s="428">
        <v>1</v>
      </c>
      <c r="M534" s="1" t="s">
        <v>168</v>
      </c>
      <c r="O534"/>
      <c r="P534"/>
      <c r="Q534"/>
    </row>
    <row r="535" spans="1:17" s="1" customFormat="1" ht="18.25" customHeight="1" outlineLevel="2">
      <c r="A535" s="571"/>
      <c r="B535" s="5" t="s">
        <v>4</v>
      </c>
      <c r="C535" s="6" t="s">
        <v>297</v>
      </c>
      <c r="D535" s="7" t="s">
        <v>188</v>
      </c>
      <c r="E535" s="8">
        <v>0</v>
      </c>
      <c r="F535" s="9">
        <v>0</v>
      </c>
      <c r="G535" s="8">
        <v>5</v>
      </c>
      <c r="H535" s="10">
        <v>91003</v>
      </c>
      <c r="I535" s="311">
        <v>1</v>
      </c>
      <c r="J535" s="406">
        <v>1</v>
      </c>
      <c r="K535" s="410">
        <v>1</v>
      </c>
      <c r="L535" s="427"/>
      <c r="O535"/>
      <c r="P535"/>
      <c r="Q535"/>
    </row>
    <row r="536" spans="1:17" s="1" customFormat="1" ht="18.25" customHeight="1" outlineLevel="2">
      <c r="A536" s="571"/>
      <c r="B536" s="5" t="s">
        <v>4</v>
      </c>
      <c r="C536" s="6" t="s">
        <v>700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11">
        <v>0</v>
      </c>
      <c r="J536" s="406">
        <v>0</v>
      </c>
      <c r="K536" s="410">
        <v>0</v>
      </c>
      <c r="L536" s="427"/>
      <c r="O536"/>
      <c r="P536"/>
      <c r="Q536"/>
    </row>
    <row r="537" spans="1:17" s="1" customFormat="1" ht="18.25" customHeight="1" outlineLevel="2">
      <c r="A537" s="571"/>
      <c r="B537" s="5" t="s">
        <v>4</v>
      </c>
      <c r="C537" s="39" t="s">
        <v>917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1">
        <v>0</v>
      </c>
      <c r="J537" s="406">
        <v>0</v>
      </c>
      <c r="K537" s="410">
        <v>0</v>
      </c>
      <c r="L537" s="436"/>
      <c r="O537"/>
      <c r="P537"/>
      <c r="Q537"/>
    </row>
    <row r="538" spans="1:17" s="1" customFormat="1" ht="18.25" customHeight="1" outlineLevel="2">
      <c r="A538" s="571"/>
      <c r="B538" s="5" t="s">
        <v>4</v>
      </c>
      <c r="C538" s="6" t="s">
        <v>874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1">
        <v>0</v>
      </c>
      <c r="J538" s="406">
        <v>0</v>
      </c>
      <c r="K538" s="410">
        <v>0</v>
      </c>
      <c r="L538" s="427"/>
      <c r="O538"/>
      <c r="P538"/>
      <c r="Q538"/>
    </row>
    <row r="539" spans="1:17" s="1" customFormat="1" ht="18.25" customHeight="1" outlineLevel="1">
      <c r="A539" s="571"/>
      <c r="B539" s="12" t="s">
        <v>4</v>
      </c>
      <c r="C539" s="13" t="s">
        <v>297</v>
      </c>
      <c r="D539" s="14">
        <v>4</v>
      </c>
      <c r="E539" s="15">
        <v>0</v>
      </c>
      <c r="F539" s="16">
        <v>0</v>
      </c>
      <c r="G539" s="15">
        <v>5</v>
      </c>
      <c r="H539" s="17">
        <v>91003</v>
      </c>
      <c r="I539" s="312">
        <v>1</v>
      </c>
      <c r="J539" s="313">
        <v>1</v>
      </c>
      <c r="K539" s="411">
        <v>1</v>
      </c>
      <c r="L539" s="428">
        <v>1</v>
      </c>
      <c r="M539" s="1" t="s">
        <v>168</v>
      </c>
      <c r="O539"/>
      <c r="P539"/>
      <c r="Q539"/>
    </row>
    <row r="540" spans="1:17" s="1" customFormat="1" ht="18.25" customHeight="1" outlineLevel="2">
      <c r="A540" s="571"/>
      <c r="B540" s="5" t="s">
        <v>4</v>
      </c>
      <c r="C540" s="6" t="s">
        <v>504</v>
      </c>
      <c r="D540" s="7" t="s">
        <v>19</v>
      </c>
      <c r="E540" s="8">
        <v>0</v>
      </c>
      <c r="F540" s="9">
        <v>0</v>
      </c>
      <c r="G540" s="8">
        <v>1</v>
      </c>
      <c r="H540" s="10">
        <v>44354</v>
      </c>
      <c r="I540" s="311">
        <v>1</v>
      </c>
      <c r="J540" s="406">
        <v>1</v>
      </c>
      <c r="K540" s="410">
        <v>1</v>
      </c>
      <c r="L540" s="427"/>
      <c r="O540"/>
      <c r="P540"/>
      <c r="Q540"/>
    </row>
    <row r="541" spans="1:17" s="1" customFormat="1" ht="18.25" customHeight="1" outlineLevel="2">
      <c r="A541" s="571"/>
      <c r="B541" s="5" t="s">
        <v>4</v>
      </c>
      <c r="C541" s="6" t="s">
        <v>695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11">
        <v>0</v>
      </c>
      <c r="J541" s="406">
        <v>0</v>
      </c>
      <c r="K541" s="410">
        <v>0</v>
      </c>
      <c r="L541" s="427"/>
      <c r="O541"/>
      <c r="P541"/>
      <c r="Q541"/>
    </row>
    <row r="542" spans="1:17" s="1" customFormat="1" ht="18.25" customHeight="1" outlineLevel="1">
      <c r="A542" s="571"/>
      <c r="B542" s="12" t="s">
        <v>4</v>
      </c>
      <c r="C542" s="13" t="s">
        <v>504</v>
      </c>
      <c r="D542" s="14">
        <v>2</v>
      </c>
      <c r="E542" s="15">
        <v>0</v>
      </c>
      <c r="F542" s="16">
        <v>0</v>
      </c>
      <c r="G542" s="15">
        <v>1</v>
      </c>
      <c r="H542" s="17">
        <v>44354</v>
      </c>
      <c r="I542" s="312">
        <v>1</v>
      </c>
      <c r="J542" s="313">
        <v>1</v>
      </c>
      <c r="K542" s="411">
        <v>1</v>
      </c>
      <c r="L542" s="428">
        <v>1</v>
      </c>
      <c r="M542" s="1" t="s">
        <v>168</v>
      </c>
      <c r="O542"/>
      <c r="P542"/>
      <c r="Q542"/>
    </row>
    <row r="543" spans="1:17" s="1" customFormat="1" ht="18.25" customHeight="1" outlineLevel="2">
      <c r="A543" s="571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6.5</v>
      </c>
      <c r="H543" s="10">
        <v>184451</v>
      </c>
      <c r="I543" s="311">
        <v>1</v>
      </c>
      <c r="J543" s="406">
        <v>1</v>
      </c>
      <c r="K543" s="410">
        <v>1</v>
      </c>
      <c r="L543" s="427"/>
      <c r="O543"/>
      <c r="P543"/>
      <c r="Q543"/>
    </row>
    <row r="544" spans="1:17" s="1" customFormat="1" ht="18.25" customHeight="1" outlineLevel="2">
      <c r="A544" s="571"/>
      <c r="B544" s="5" t="s">
        <v>4</v>
      </c>
      <c r="C544" s="6" t="s">
        <v>619</v>
      </c>
      <c r="D544" s="7" t="s">
        <v>16</v>
      </c>
      <c r="E544" s="8">
        <v>0</v>
      </c>
      <c r="F544" s="9">
        <v>0</v>
      </c>
      <c r="G544" s="8">
        <v>0.5</v>
      </c>
      <c r="H544" s="10">
        <v>10799</v>
      </c>
      <c r="I544" s="311">
        <v>1</v>
      </c>
      <c r="J544" s="406">
        <v>1</v>
      </c>
      <c r="K544" s="410">
        <v>0</v>
      </c>
      <c r="L544" s="427"/>
      <c r="O544"/>
      <c r="P544"/>
      <c r="Q544"/>
    </row>
    <row r="545" spans="1:17" s="1" customFormat="1" ht="18.25" customHeight="1" outlineLevel="1">
      <c r="A545" s="571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7</v>
      </c>
      <c r="H545" s="17">
        <v>195250</v>
      </c>
      <c r="I545" s="312">
        <v>2</v>
      </c>
      <c r="J545" s="313">
        <v>2</v>
      </c>
      <c r="K545" s="411">
        <v>1</v>
      </c>
      <c r="L545" s="428">
        <v>1</v>
      </c>
      <c r="M545" s="1" t="s">
        <v>168</v>
      </c>
      <c r="O545"/>
      <c r="P545"/>
      <c r="Q545"/>
    </row>
    <row r="546" spans="1:17" s="1" customFormat="1" ht="18.25" customHeight="1" outlineLevel="2">
      <c r="A546" s="571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7</v>
      </c>
      <c r="H546" s="10">
        <v>235561</v>
      </c>
      <c r="I546" s="311">
        <v>1</v>
      </c>
      <c r="J546" s="406">
        <v>1</v>
      </c>
      <c r="K546" s="410">
        <v>1</v>
      </c>
      <c r="L546" s="427"/>
      <c r="O546"/>
      <c r="P546"/>
      <c r="Q546"/>
    </row>
    <row r="547" spans="1:17" s="1" customFormat="1" ht="18.25" customHeight="1" outlineLevel="2">
      <c r="A547" s="571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4.5</v>
      </c>
      <c r="H547" s="10">
        <v>94154</v>
      </c>
      <c r="I547" s="311">
        <v>1</v>
      </c>
      <c r="J547" s="406">
        <v>1</v>
      </c>
      <c r="K547" s="410">
        <v>1</v>
      </c>
      <c r="L547" s="427"/>
      <c r="O547"/>
      <c r="P547"/>
      <c r="Q547"/>
    </row>
    <row r="548" spans="1:17" s="1" customFormat="1" ht="18.25" customHeight="1" outlineLevel="1">
      <c r="A548" s="571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11.5</v>
      </c>
      <c r="H548" s="17">
        <v>329715</v>
      </c>
      <c r="I548" s="312">
        <v>2</v>
      </c>
      <c r="J548" s="313">
        <v>2</v>
      </c>
      <c r="K548" s="411">
        <v>2</v>
      </c>
      <c r="L548" s="428">
        <v>0</v>
      </c>
      <c r="M548" s="1" t="s">
        <v>50</v>
      </c>
      <c r="O548"/>
      <c r="P548"/>
      <c r="Q548"/>
    </row>
    <row r="549" spans="1:17" s="1" customFormat="1" ht="18.25" customHeight="1" outlineLevel="2">
      <c r="A549" s="571"/>
      <c r="B549" s="5" t="s">
        <v>4</v>
      </c>
      <c r="C549" s="6" t="s">
        <v>632</v>
      </c>
      <c r="D549" s="7" t="s">
        <v>24</v>
      </c>
      <c r="E549" s="8">
        <v>0</v>
      </c>
      <c r="F549" s="9">
        <v>0</v>
      </c>
      <c r="G549" s="8">
        <v>1</v>
      </c>
      <c r="H549" s="10">
        <v>12849</v>
      </c>
      <c r="I549" s="311">
        <v>1</v>
      </c>
      <c r="J549" s="406">
        <v>0</v>
      </c>
      <c r="K549" s="410">
        <v>0</v>
      </c>
      <c r="L549" s="427"/>
      <c r="O549"/>
      <c r="P549"/>
      <c r="Q549"/>
    </row>
    <row r="550" spans="1:17" s="1" customFormat="1" ht="18.25" customHeight="1" outlineLevel="2">
      <c r="A550" s="571"/>
      <c r="B550" s="5" t="s">
        <v>4</v>
      </c>
      <c r="C550" s="6" t="s">
        <v>795</v>
      </c>
      <c r="D550" s="7" t="s">
        <v>26</v>
      </c>
      <c r="E550" s="8">
        <v>0</v>
      </c>
      <c r="F550" s="9">
        <v>0</v>
      </c>
      <c r="G550" s="8">
        <v>2</v>
      </c>
      <c r="H550" s="10">
        <v>12172</v>
      </c>
      <c r="I550" s="311">
        <v>1</v>
      </c>
      <c r="J550" s="406">
        <v>1</v>
      </c>
      <c r="K550" s="410">
        <v>0</v>
      </c>
      <c r="L550" s="427"/>
      <c r="O550"/>
      <c r="P550"/>
      <c r="Q550"/>
    </row>
    <row r="551" spans="1:17" s="1" customFormat="1" ht="18.25" customHeight="1" outlineLevel="2">
      <c r="A551" s="571"/>
      <c r="B551" s="5" t="s">
        <v>4</v>
      </c>
      <c r="C551" s="6" t="s">
        <v>771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1">
        <v>0</v>
      </c>
      <c r="J551" s="406">
        <v>0</v>
      </c>
      <c r="K551" s="410">
        <v>0</v>
      </c>
      <c r="L551" s="427"/>
      <c r="O551"/>
      <c r="P551"/>
      <c r="Q551"/>
    </row>
    <row r="552" spans="1:17" s="1" customFormat="1" ht="18.25" customHeight="1" outlineLevel="1">
      <c r="A552" s="571"/>
      <c r="B552" s="12" t="s">
        <v>4</v>
      </c>
      <c r="C552" s="13" t="s">
        <v>632</v>
      </c>
      <c r="D552" s="14">
        <v>3</v>
      </c>
      <c r="E552" s="15">
        <v>0</v>
      </c>
      <c r="F552" s="16">
        <v>0</v>
      </c>
      <c r="G552" s="15">
        <v>3</v>
      </c>
      <c r="H552" s="17">
        <v>25021</v>
      </c>
      <c r="I552" s="312">
        <v>2</v>
      </c>
      <c r="J552" s="313">
        <v>1</v>
      </c>
      <c r="K552" s="411">
        <v>0</v>
      </c>
      <c r="L552" s="428">
        <v>0</v>
      </c>
      <c r="M552" s="1" t="s">
        <v>168</v>
      </c>
      <c r="O552"/>
      <c r="P552"/>
      <c r="Q552"/>
    </row>
    <row r="553" spans="1:17" s="1" customFormat="1" ht="18.25" customHeight="1" outlineLevel="2">
      <c r="A553" s="571"/>
      <c r="B553" s="5" t="s">
        <v>4</v>
      </c>
      <c r="C553" s="39" t="s">
        <v>31</v>
      </c>
      <c r="D553" s="23" t="s">
        <v>21</v>
      </c>
      <c r="E553" s="8">
        <v>0</v>
      </c>
      <c r="F553" s="9">
        <v>0</v>
      </c>
      <c r="G553" s="8">
        <v>1.5</v>
      </c>
      <c r="H553" s="10">
        <v>21170</v>
      </c>
      <c r="I553" s="311">
        <v>1</v>
      </c>
      <c r="J553" s="406">
        <v>1</v>
      </c>
      <c r="K553" s="410">
        <v>0</v>
      </c>
      <c r="L553" s="427"/>
      <c r="O553"/>
      <c r="P553"/>
      <c r="Q553"/>
    </row>
    <row r="554" spans="1:17" s="1" customFormat="1" ht="18.25" customHeight="1" outlineLevel="2">
      <c r="A554" s="571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1</v>
      </c>
      <c r="H554" s="10">
        <v>6717</v>
      </c>
      <c r="I554" s="311">
        <v>1</v>
      </c>
      <c r="J554" s="406">
        <v>0</v>
      </c>
      <c r="K554" s="410">
        <v>0</v>
      </c>
      <c r="L554" s="427"/>
      <c r="O554"/>
      <c r="P554"/>
      <c r="Q554"/>
    </row>
    <row r="555" spans="1:17" s="1" customFormat="1" ht="18.25" customHeight="1" outlineLevel="2">
      <c r="A555" s="571"/>
      <c r="B555" s="5" t="s">
        <v>4</v>
      </c>
      <c r="C555" s="6" t="s">
        <v>287</v>
      </c>
      <c r="D555" s="7" t="s">
        <v>26</v>
      </c>
      <c r="E555" s="8">
        <v>0</v>
      </c>
      <c r="F555" s="9">
        <v>0</v>
      </c>
      <c r="G555" s="8">
        <v>0.5</v>
      </c>
      <c r="H555" s="10">
        <v>2611</v>
      </c>
      <c r="I555" s="311">
        <v>1</v>
      </c>
      <c r="J555" s="406">
        <v>0</v>
      </c>
      <c r="K555" s="410">
        <v>0</v>
      </c>
      <c r="L555" s="427"/>
      <c r="O555"/>
      <c r="P555"/>
      <c r="Q555"/>
    </row>
    <row r="556" spans="1:17" s="1" customFormat="1" ht="18.25" customHeight="1" outlineLevel="1">
      <c r="A556" s="571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3</v>
      </c>
      <c r="H556" s="17">
        <v>30498</v>
      </c>
      <c r="I556" s="312">
        <v>3</v>
      </c>
      <c r="J556" s="313">
        <v>1</v>
      </c>
      <c r="K556" s="411">
        <v>0</v>
      </c>
      <c r="L556" s="428">
        <v>0</v>
      </c>
      <c r="M556" s="1" t="s">
        <v>170</v>
      </c>
      <c r="O556"/>
      <c r="P556"/>
      <c r="Q556"/>
    </row>
    <row r="557" spans="1:17" s="1" customFormat="1" ht="18.25" customHeight="1" outlineLevel="2">
      <c r="A557" s="571"/>
      <c r="B557" s="5" t="s">
        <v>4</v>
      </c>
      <c r="C557" s="39" t="s">
        <v>784</v>
      </c>
      <c r="D557" s="40" t="s">
        <v>238</v>
      </c>
      <c r="E557" s="8">
        <v>0</v>
      </c>
      <c r="F557" s="9">
        <v>0</v>
      </c>
      <c r="G557" s="8">
        <v>5</v>
      </c>
      <c r="H557" s="10">
        <v>41268</v>
      </c>
      <c r="I557" s="311">
        <v>1</v>
      </c>
      <c r="J557" s="406">
        <v>1</v>
      </c>
      <c r="K557" s="410">
        <v>1</v>
      </c>
      <c r="L557" s="427"/>
      <c r="O557"/>
      <c r="P557"/>
      <c r="Q557"/>
    </row>
    <row r="558" spans="1:17" s="1" customFormat="1" ht="18.25" customHeight="1" outlineLevel="2">
      <c r="A558" s="571"/>
      <c r="B558" s="5" t="s">
        <v>4</v>
      </c>
      <c r="C558" s="39" t="s">
        <v>537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11">
        <v>0</v>
      </c>
      <c r="J558" s="406">
        <v>0</v>
      </c>
      <c r="K558" s="410">
        <v>0</v>
      </c>
      <c r="L558" s="427"/>
      <c r="O558"/>
      <c r="P558"/>
      <c r="Q558"/>
    </row>
    <row r="559" spans="1:17" s="1" customFormat="1" ht="18.25" customHeight="1" outlineLevel="1">
      <c r="A559" s="571"/>
      <c r="B559" s="12" t="s">
        <v>4</v>
      </c>
      <c r="C559" s="13" t="s">
        <v>526</v>
      </c>
      <c r="D559" s="14">
        <v>2</v>
      </c>
      <c r="E559" s="15">
        <v>0</v>
      </c>
      <c r="F559" s="16">
        <v>0</v>
      </c>
      <c r="G559" s="15">
        <v>5</v>
      </c>
      <c r="H559" s="17">
        <v>41268</v>
      </c>
      <c r="I559" s="312">
        <v>1</v>
      </c>
      <c r="J559" s="313">
        <v>1</v>
      </c>
      <c r="K559" s="411">
        <v>1</v>
      </c>
      <c r="L559" s="428">
        <v>0</v>
      </c>
      <c r="M559" s="1" t="s">
        <v>170</v>
      </c>
      <c r="O559"/>
      <c r="P559"/>
      <c r="Q559"/>
    </row>
    <row r="560" spans="1:17" s="1" customFormat="1" ht="18.25" customHeight="1" outlineLevel="2">
      <c r="A560" s="571"/>
      <c r="B560" s="5" t="s">
        <v>4</v>
      </c>
      <c r="C560" s="6" t="s">
        <v>279</v>
      </c>
      <c r="D560" s="7" t="s">
        <v>21</v>
      </c>
      <c r="E560" s="8">
        <v>0</v>
      </c>
      <c r="F560" s="9">
        <v>0</v>
      </c>
      <c r="G560" s="8">
        <v>2</v>
      </c>
      <c r="H560" s="10">
        <v>29685</v>
      </c>
      <c r="I560" s="311">
        <v>1</v>
      </c>
      <c r="J560" s="406">
        <v>1</v>
      </c>
      <c r="K560" s="410">
        <v>1</v>
      </c>
      <c r="L560" s="427"/>
      <c r="O560"/>
      <c r="P560"/>
      <c r="Q560"/>
    </row>
    <row r="561" spans="1:17" s="1" customFormat="1" ht="18.25" customHeight="1" outlineLevel="2">
      <c r="A561" s="571"/>
      <c r="B561" s="5" t="s">
        <v>4</v>
      </c>
      <c r="C561" s="915" t="s">
        <v>921</v>
      </c>
      <c r="D561" s="45"/>
      <c r="E561" s="8">
        <v>0</v>
      </c>
      <c r="F561" s="9">
        <v>0</v>
      </c>
      <c r="G561" s="8">
        <v>0</v>
      </c>
      <c r="H561" s="10">
        <v>0</v>
      </c>
      <c r="I561" s="319"/>
      <c r="J561" s="408"/>
      <c r="K561" s="415"/>
      <c r="L561" s="427"/>
      <c r="O561"/>
      <c r="P561"/>
      <c r="Q561"/>
    </row>
    <row r="562" spans="1:17" s="1" customFormat="1" ht="18.25" customHeight="1" outlineLevel="1">
      <c r="A562" s="571"/>
      <c r="B562" s="12" t="s">
        <v>4</v>
      </c>
      <c r="C562" s="13" t="s">
        <v>279</v>
      </c>
      <c r="D562" s="14">
        <v>1</v>
      </c>
      <c r="E562" s="15">
        <v>0</v>
      </c>
      <c r="F562" s="16">
        <v>0</v>
      </c>
      <c r="G562" s="15">
        <v>2</v>
      </c>
      <c r="H562" s="17">
        <v>29685</v>
      </c>
      <c r="I562" s="312">
        <v>1</v>
      </c>
      <c r="J562" s="313">
        <v>1</v>
      </c>
      <c r="K562" s="411">
        <v>1</v>
      </c>
      <c r="L562" s="428">
        <v>0</v>
      </c>
      <c r="M562" s="1" t="s">
        <v>170</v>
      </c>
      <c r="O562"/>
      <c r="P562"/>
      <c r="Q562"/>
    </row>
    <row r="563" spans="1:17" s="1" customFormat="1" ht="18.25" customHeight="1" outlineLevel="2">
      <c r="A563" s="571"/>
      <c r="B563" s="5" t="s">
        <v>4</v>
      </c>
      <c r="C563" s="6" t="s">
        <v>153</v>
      </c>
      <c r="D563" s="19" t="s">
        <v>39</v>
      </c>
      <c r="E563" s="8">
        <v>0</v>
      </c>
      <c r="F563" s="9">
        <v>0</v>
      </c>
      <c r="G563" s="8">
        <v>5</v>
      </c>
      <c r="H563" s="10">
        <v>140871</v>
      </c>
      <c r="I563" s="311">
        <v>1</v>
      </c>
      <c r="J563" s="406">
        <v>1</v>
      </c>
      <c r="K563" s="410">
        <v>1</v>
      </c>
      <c r="L563" s="427"/>
      <c r="O563"/>
      <c r="P563"/>
      <c r="Q563"/>
    </row>
    <row r="564" spans="1:17" s="1" customFormat="1" ht="18.25" customHeight="1" outlineLevel="2">
      <c r="A564" s="571"/>
      <c r="B564" s="5" t="s">
        <v>4</v>
      </c>
      <c r="C564" s="22" t="s">
        <v>693</v>
      </c>
      <c r="D564" s="7" t="s">
        <v>16</v>
      </c>
      <c r="E564" s="8">
        <v>0</v>
      </c>
      <c r="F564" s="9">
        <v>0</v>
      </c>
      <c r="G564" s="8">
        <v>0.5</v>
      </c>
      <c r="H564" s="10">
        <v>1016</v>
      </c>
      <c r="I564" s="311">
        <v>1</v>
      </c>
      <c r="J564" s="406">
        <v>0</v>
      </c>
      <c r="K564" s="410">
        <v>0</v>
      </c>
      <c r="L564" s="427"/>
      <c r="O564"/>
      <c r="P564"/>
      <c r="Q564"/>
    </row>
    <row r="565" spans="1:17" s="1" customFormat="1" ht="18.25" customHeight="1" outlineLevel="2">
      <c r="A565" s="571"/>
      <c r="B565" s="5" t="s">
        <v>4</v>
      </c>
      <c r="C565" s="22" t="s">
        <v>565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1">
        <v>0</v>
      </c>
      <c r="J565" s="406">
        <v>0</v>
      </c>
      <c r="K565" s="410">
        <v>0</v>
      </c>
      <c r="L565" s="427"/>
      <c r="O565"/>
      <c r="P565"/>
      <c r="Q565"/>
    </row>
    <row r="566" spans="1:17" s="1" customFormat="1" ht="18.25" customHeight="1" outlineLevel="1">
      <c r="A566" s="571"/>
      <c r="B566" s="12" t="s">
        <v>4</v>
      </c>
      <c r="C566" s="13" t="s">
        <v>153</v>
      </c>
      <c r="D566" s="14">
        <v>3</v>
      </c>
      <c r="E566" s="15">
        <v>0</v>
      </c>
      <c r="F566" s="16">
        <v>0</v>
      </c>
      <c r="G566" s="15">
        <v>5.5</v>
      </c>
      <c r="H566" s="17">
        <v>141887</v>
      </c>
      <c r="I566" s="312">
        <v>2</v>
      </c>
      <c r="J566" s="313">
        <v>1</v>
      </c>
      <c r="K566" s="411">
        <v>1</v>
      </c>
      <c r="L566" s="428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71"/>
      <c r="B567" s="5" t="s">
        <v>4</v>
      </c>
      <c r="C567" s="6" t="s">
        <v>154</v>
      </c>
      <c r="D567" s="7" t="s">
        <v>39</v>
      </c>
      <c r="E567" s="8">
        <v>1</v>
      </c>
      <c r="F567" s="9">
        <v>24300</v>
      </c>
      <c r="G567" s="8">
        <v>11</v>
      </c>
      <c r="H567" s="10">
        <v>293073</v>
      </c>
      <c r="I567" s="311">
        <v>1</v>
      </c>
      <c r="J567" s="406">
        <v>1</v>
      </c>
      <c r="K567" s="410">
        <v>1</v>
      </c>
      <c r="L567" s="427"/>
      <c r="O567"/>
      <c r="P567"/>
      <c r="Q567"/>
    </row>
    <row r="568" spans="1:17" s="1" customFormat="1" ht="18.25" customHeight="1" outlineLevel="2">
      <c r="A568" s="571"/>
      <c r="B568" s="5" t="s">
        <v>4</v>
      </c>
      <c r="C568" s="6" t="s">
        <v>155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11">
        <v>0</v>
      </c>
      <c r="J568" s="406">
        <v>0</v>
      </c>
      <c r="K568" s="410">
        <v>0</v>
      </c>
      <c r="L568" s="427"/>
      <c r="O568"/>
      <c r="P568"/>
      <c r="Q568"/>
    </row>
    <row r="569" spans="1:17" s="1" customFormat="1" ht="18.25" customHeight="1" outlineLevel="2">
      <c r="A569" s="571"/>
      <c r="B569" s="5" t="s">
        <v>4</v>
      </c>
      <c r="C569" s="6" t="s">
        <v>227</v>
      </c>
      <c r="D569" s="7" t="s">
        <v>16</v>
      </c>
      <c r="E569" s="8">
        <v>0</v>
      </c>
      <c r="F569" s="9">
        <v>0</v>
      </c>
      <c r="G569" s="8">
        <v>3</v>
      </c>
      <c r="H569" s="10">
        <v>57294</v>
      </c>
      <c r="I569" s="311">
        <v>1</v>
      </c>
      <c r="J569" s="406">
        <v>1</v>
      </c>
      <c r="K569" s="410">
        <v>1</v>
      </c>
      <c r="L569" s="427"/>
      <c r="O569"/>
      <c r="P569"/>
      <c r="Q569"/>
    </row>
    <row r="570" spans="1:17" s="1" customFormat="1" ht="18.25" customHeight="1" outlineLevel="1">
      <c r="A570" s="571"/>
      <c r="B570" s="12" t="s">
        <v>4</v>
      </c>
      <c r="C570" s="13" t="s">
        <v>154</v>
      </c>
      <c r="D570" s="14">
        <v>3</v>
      </c>
      <c r="E570" s="15">
        <v>1</v>
      </c>
      <c r="F570" s="16">
        <v>24300</v>
      </c>
      <c r="G570" s="15">
        <v>14</v>
      </c>
      <c r="H570" s="17">
        <v>350367</v>
      </c>
      <c r="I570" s="312">
        <v>2</v>
      </c>
      <c r="J570" s="313">
        <v>2</v>
      </c>
      <c r="K570" s="411">
        <v>2</v>
      </c>
      <c r="L570" s="428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71"/>
      <c r="B571" s="5" t="s">
        <v>4</v>
      </c>
      <c r="C571" s="18" t="s">
        <v>156</v>
      </c>
      <c r="D571" s="7" t="s">
        <v>235</v>
      </c>
      <c r="E571" s="8">
        <v>1</v>
      </c>
      <c r="F571" s="9">
        <v>7452</v>
      </c>
      <c r="G571" s="8">
        <v>3</v>
      </c>
      <c r="H571" s="10">
        <v>20812</v>
      </c>
      <c r="I571" s="311">
        <v>1</v>
      </c>
      <c r="J571" s="406">
        <v>1</v>
      </c>
      <c r="K571" s="410">
        <v>0</v>
      </c>
      <c r="L571" s="427"/>
      <c r="O571"/>
      <c r="P571"/>
      <c r="Q571"/>
    </row>
    <row r="572" spans="1:17" s="1" customFormat="1" ht="18.25" customHeight="1" outlineLevel="1">
      <c r="A572" s="571"/>
      <c r="B572" s="12" t="s">
        <v>4</v>
      </c>
      <c r="C572" s="13" t="s">
        <v>156</v>
      </c>
      <c r="D572" s="14">
        <v>1</v>
      </c>
      <c r="E572" s="15">
        <v>1</v>
      </c>
      <c r="F572" s="16">
        <v>7452</v>
      </c>
      <c r="G572" s="15">
        <v>3</v>
      </c>
      <c r="H572" s="17">
        <v>20812</v>
      </c>
      <c r="I572" s="312">
        <v>1</v>
      </c>
      <c r="J572" s="313">
        <v>1</v>
      </c>
      <c r="K572" s="411">
        <v>0</v>
      </c>
      <c r="L572" s="428">
        <v>0</v>
      </c>
      <c r="M572" s="1" t="s">
        <v>662</v>
      </c>
      <c r="O572"/>
      <c r="P572"/>
      <c r="Q572"/>
    </row>
    <row r="573" spans="1:17" s="1" customFormat="1" ht="18.25" customHeight="1" outlineLevel="2">
      <c r="A573" s="571"/>
      <c r="B573" s="5" t="s">
        <v>4</v>
      </c>
      <c r="C573" s="6" t="s">
        <v>160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11">
        <v>0</v>
      </c>
      <c r="J573" s="406">
        <v>0</v>
      </c>
      <c r="K573" s="410">
        <v>0</v>
      </c>
      <c r="L573" s="427"/>
      <c r="O573"/>
      <c r="P573"/>
      <c r="Q573"/>
    </row>
    <row r="574" spans="1:17" s="1" customFormat="1" ht="18.25" customHeight="1" outlineLevel="2">
      <c r="A574" s="571"/>
      <c r="B574" s="41" t="s">
        <v>4</v>
      </c>
      <c r="C574" s="39" t="s">
        <v>654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11">
        <v>0</v>
      </c>
      <c r="J574" s="406">
        <v>0</v>
      </c>
      <c r="K574" s="410">
        <v>0</v>
      </c>
      <c r="L574" s="427"/>
      <c r="O574"/>
      <c r="P574"/>
      <c r="Q574"/>
    </row>
    <row r="575" spans="1:17" s="1" customFormat="1" ht="18.25" customHeight="1" outlineLevel="2">
      <c r="A575" s="571"/>
      <c r="B575" s="5" t="s">
        <v>4</v>
      </c>
      <c r="C575" s="6" t="s">
        <v>336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11">
        <v>0</v>
      </c>
      <c r="J575" s="406">
        <v>0</v>
      </c>
      <c r="K575" s="410">
        <v>0</v>
      </c>
      <c r="L575" s="427"/>
      <c r="O575"/>
      <c r="P575"/>
      <c r="Q575"/>
    </row>
    <row r="576" spans="1:17" s="1" customFormat="1" ht="18.25" customHeight="1" outlineLevel="2">
      <c r="A576" s="571"/>
      <c r="B576" s="5" t="s">
        <v>4</v>
      </c>
      <c r="C576" s="6" t="s">
        <v>307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1">
        <v>0</v>
      </c>
      <c r="J576" s="406">
        <v>0</v>
      </c>
      <c r="K576" s="410">
        <v>0</v>
      </c>
      <c r="L576" s="427"/>
      <c r="O576"/>
      <c r="P576"/>
      <c r="Q576"/>
    </row>
    <row r="577" spans="1:17" s="1" customFormat="1" ht="18.25" customHeight="1" outlineLevel="1">
      <c r="A577" s="571"/>
      <c r="B577" s="12" t="s">
        <v>4</v>
      </c>
      <c r="C577" s="13" t="s">
        <v>160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2">
        <v>0</v>
      </c>
      <c r="J577" s="313">
        <v>0</v>
      </c>
      <c r="K577" s="411">
        <v>0</v>
      </c>
      <c r="L577" s="428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71"/>
      <c r="B578" s="5" t="s">
        <v>4</v>
      </c>
      <c r="C578" s="18" t="s">
        <v>670</v>
      </c>
      <c r="D578" s="7" t="s">
        <v>21</v>
      </c>
      <c r="E578" s="8">
        <v>0</v>
      </c>
      <c r="F578" s="9">
        <v>0</v>
      </c>
      <c r="G578" s="8">
        <v>1</v>
      </c>
      <c r="H578" s="10">
        <v>20425</v>
      </c>
      <c r="I578" s="311">
        <v>1</v>
      </c>
      <c r="J578" s="406">
        <v>1</v>
      </c>
      <c r="K578" s="410">
        <v>0</v>
      </c>
      <c r="L578" s="427"/>
      <c r="O578"/>
      <c r="P578"/>
      <c r="Q578"/>
    </row>
    <row r="579" spans="1:17" s="1" customFormat="1" ht="18.25" customHeight="1" outlineLevel="2">
      <c r="A579" s="571"/>
      <c r="B579" s="5" t="s">
        <v>4</v>
      </c>
      <c r="C579" s="51" t="s">
        <v>756</v>
      </c>
      <c r="D579" s="45"/>
      <c r="E579" s="8">
        <v>0</v>
      </c>
      <c r="F579" s="9">
        <v>0</v>
      </c>
      <c r="G579" s="8">
        <v>1</v>
      </c>
      <c r="H579" s="10">
        <v>6956</v>
      </c>
      <c r="I579" s="311">
        <v>1</v>
      </c>
      <c r="J579" s="406">
        <v>0</v>
      </c>
      <c r="K579" s="410">
        <v>0</v>
      </c>
      <c r="L579" s="427"/>
      <c r="O579"/>
      <c r="P579"/>
      <c r="Q579"/>
    </row>
    <row r="580" spans="1:17" s="1" customFormat="1" ht="18.25" customHeight="1" outlineLevel="1">
      <c r="A580" s="571"/>
      <c r="B580" s="12" t="s">
        <v>4</v>
      </c>
      <c r="C580" s="13" t="s">
        <v>671</v>
      </c>
      <c r="D580" s="14">
        <v>1</v>
      </c>
      <c r="E580" s="15">
        <v>0</v>
      </c>
      <c r="F580" s="16">
        <v>0</v>
      </c>
      <c r="G580" s="15">
        <v>2</v>
      </c>
      <c r="H580" s="17">
        <v>27381</v>
      </c>
      <c r="I580" s="312">
        <v>2</v>
      </c>
      <c r="J580" s="313">
        <v>1</v>
      </c>
      <c r="K580" s="411">
        <v>0</v>
      </c>
      <c r="L580" s="428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1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1">
        <v>0</v>
      </c>
      <c r="J581" s="406">
        <v>0</v>
      </c>
      <c r="K581" s="410">
        <v>0</v>
      </c>
      <c r="L581" s="427"/>
      <c r="O581"/>
      <c r="P581"/>
      <c r="Q581"/>
    </row>
    <row r="582" spans="1:17" s="1" customFormat="1" ht="18.25" customHeight="1" outlineLevel="2">
      <c r="A582" s="571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1">
        <v>0</v>
      </c>
      <c r="J582" s="406">
        <v>0</v>
      </c>
      <c r="K582" s="410">
        <v>0</v>
      </c>
      <c r="L582" s="427"/>
      <c r="O582"/>
      <c r="P582"/>
      <c r="Q582"/>
    </row>
    <row r="583" spans="1:17" s="1" customFormat="1" ht="18.25" customHeight="1" outlineLevel="2">
      <c r="A583" s="571"/>
      <c r="B583" s="5" t="s">
        <v>4</v>
      </c>
      <c r="C583" s="75" t="s">
        <v>776</v>
      </c>
      <c r="D583" s="45"/>
      <c r="E583" s="8">
        <v>0</v>
      </c>
      <c r="F583" s="9">
        <v>0</v>
      </c>
      <c r="G583" s="8">
        <v>0</v>
      </c>
      <c r="H583" s="10">
        <v>0</v>
      </c>
      <c r="I583" s="319">
        <v>0</v>
      </c>
      <c r="J583" s="408">
        <v>0</v>
      </c>
      <c r="K583" s="415">
        <v>0</v>
      </c>
      <c r="L583" s="436"/>
      <c r="O583"/>
      <c r="P583"/>
      <c r="Q583"/>
    </row>
    <row r="584" spans="1:17" s="1" customFormat="1" ht="18.25" customHeight="1" outlineLevel="1">
      <c r="A584" s="571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2">
        <v>0</v>
      </c>
      <c r="J584" s="313">
        <v>0</v>
      </c>
      <c r="K584" s="411">
        <v>0</v>
      </c>
      <c r="L584" s="428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1"/>
      <c r="B585" s="5" t="s">
        <v>4</v>
      </c>
      <c r="C585" s="39" t="s">
        <v>362</v>
      </c>
      <c r="D585" s="7" t="s">
        <v>39</v>
      </c>
      <c r="E585" s="8">
        <v>1</v>
      </c>
      <c r="F585" s="9">
        <v>14418</v>
      </c>
      <c r="G585" s="8">
        <v>3</v>
      </c>
      <c r="H585" s="10">
        <v>42900</v>
      </c>
      <c r="I585" s="311">
        <v>1</v>
      </c>
      <c r="J585" s="406">
        <v>1</v>
      </c>
      <c r="K585" s="410">
        <v>1</v>
      </c>
      <c r="L585" s="427"/>
      <c r="O585"/>
      <c r="P585"/>
      <c r="Q585"/>
    </row>
    <row r="586" spans="1:17" s="1" customFormat="1" ht="18.25" customHeight="1" outlineLevel="2">
      <c r="A586" s="571"/>
      <c r="B586" s="5" t="s">
        <v>4</v>
      </c>
      <c r="C586" s="39" t="s">
        <v>886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1">
        <v>0</v>
      </c>
      <c r="J586" s="406">
        <v>0</v>
      </c>
      <c r="K586" s="410">
        <v>0</v>
      </c>
      <c r="L586" s="427"/>
      <c r="O586"/>
      <c r="P586"/>
      <c r="Q586"/>
    </row>
    <row r="587" spans="1:17" s="1" customFormat="1" ht="18.25" customHeight="1" outlineLevel="2">
      <c r="A587" s="571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1">
        <v>0</v>
      </c>
      <c r="J587" s="406">
        <v>0</v>
      </c>
      <c r="K587" s="410">
        <v>0</v>
      </c>
      <c r="L587" s="427"/>
      <c r="O587"/>
      <c r="P587"/>
      <c r="Q587"/>
    </row>
    <row r="588" spans="1:17" s="1" customFormat="1" ht="18.25" customHeight="1" outlineLevel="1">
      <c r="A588" s="571"/>
      <c r="B588" s="12" t="s">
        <v>4</v>
      </c>
      <c r="C588" s="13" t="s">
        <v>362</v>
      </c>
      <c r="D588" s="14">
        <v>3</v>
      </c>
      <c r="E588" s="15">
        <v>1</v>
      </c>
      <c r="F588" s="16">
        <v>14418</v>
      </c>
      <c r="G588" s="15">
        <v>3</v>
      </c>
      <c r="H588" s="17">
        <v>42900</v>
      </c>
      <c r="I588" s="312">
        <v>1</v>
      </c>
      <c r="J588" s="313">
        <v>1</v>
      </c>
      <c r="K588" s="411">
        <v>1</v>
      </c>
      <c r="L588" s="428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1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1</v>
      </c>
      <c r="H589" s="10">
        <v>54560</v>
      </c>
      <c r="I589" s="311">
        <v>1</v>
      </c>
      <c r="J589" s="406">
        <v>1</v>
      </c>
      <c r="K589" s="410">
        <v>1</v>
      </c>
      <c r="L589" s="427"/>
      <c r="O589"/>
      <c r="P589"/>
      <c r="Q589"/>
    </row>
    <row r="590" spans="1:17" s="1" customFormat="1" ht="18.25" customHeight="1" outlineLevel="2">
      <c r="A590" s="571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1">
        <v>0</v>
      </c>
      <c r="J590" s="406">
        <v>0</v>
      </c>
      <c r="K590" s="410">
        <v>0</v>
      </c>
      <c r="L590" s="427"/>
      <c r="O590"/>
      <c r="P590"/>
      <c r="Q590"/>
    </row>
    <row r="591" spans="1:17" s="1" customFormat="1" ht="18.25" customHeight="1" outlineLevel="1">
      <c r="A591" s="571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1</v>
      </c>
      <c r="H591" s="17">
        <v>54560</v>
      </c>
      <c r="I591" s="312">
        <v>1</v>
      </c>
      <c r="J591" s="313">
        <v>1</v>
      </c>
      <c r="K591" s="411">
        <v>1</v>
      </c>
      <c r="L591" s="428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1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1">
        <v>0</v>
      </c>
      <c r="J592" s="406">
        <v>0</v>
      </c>
      <c r="K592" s="410">
        <v>0</v>
      </c>
      <c r="L592" s="427"/>
      <c r="O592"/>
      <c r="P592"/>
      <c r="Q592"/>
    </row>
    <row r="593" spans="1:17" s="1" customFormat="1" ht="18.25" customHeight="1" outlineLevel="2">
      <c r="A593" s="571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1">
        <v>0</v>
      </c>
      <c r="J593" s="406">
        <v>0</v>
      </c>
      <c r="K593" s="410">
        <v>0</v>
      </c>
      <c r="L593" s="427"/>
      <c r="O593"/>
      <c r="P593"/>
      <c r="Q593"/>
    </row>
    <row r="594" spans="1:17" s="1" customFormat="1" ht="18.25" customHeight="1" outlineLevel="1">
      <c r="A594" s="571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2">
        <v>0</v>
      </c>
      <c r="J594" s="313">
        <v>0</v>
      </c>
      <c r="K594" s="411">
        <v>0</v>
      </c>
      <c r="L594" s="428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1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1">
        <v>0</v>
      </c>
      <c r="J595" s="406">
        <v>0</v>
      </c>
      <c r="K595" s="410">
        <v>0</v>
      </c>
      <c r="L595" s="427"/>
      <c r="O595"/>
      <c r="P595"/>
      <c r="Q595"/>
    </row>
    <row r="596" spans="1:17" s="1" customFormat="1" ht="18.25" customHeight="1" outlineLevel="2">
      <c r="A596" s="571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1">
        <v>0</v>
      </c>
      <c r="J596" s="406">
        <v>0</v>
      </c>
      <c r="K596" s="410">
        <v>0</v>
      </c>
      <c r="L596" s="427"/>
      <c r="O596"/>
      <c r="P596"/>
      <c r="Q596"/>
    </row>
    <row r="597" spans="1:17" s="1" customFormat="1" ht="18.25" customHeight="1" outlineLevel="1">
      <c r="A597" s="571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2">
        <v>0</v>
      </c>
      <c r="J597" s="313">
        <v>0</v>
      </c>
      <c r="K597" s="411">
        <v>0</v>
      </c>
      <c r="L597" s="428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1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1">
        <v>0</v>
      </c>
      <c r="J598" s="406">
        <v>0</v>
      </c>
      <c r="K598" s="410">
        <v>0</v>
      </c>
      <c r="L598" s="427"/>
      <c r="O598"/>
      <c r="P598"/>
      <c r="Q598"/>
    </row>
    <row r="599" spans="1:17" s="1" customFormat="1" ht="18.25" customHeight="1" outlineLevel="2">
      <c r="A599" s="571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1">
        <v>0</v>
      </c>
      <c r="J599" s="406">
        <v>0</v>
      </c>
      <c r="K599" s="410">
        <v>0</v>
      </c>
      <c r="L599" s="427"/>
      <c r="O599"/>
      <c r="P599"/>
      <c r="Q599"/>
    </row>
    <row r="600" spans="1:17" s="1" customFormat="1" ht="18.25" customHeight="1" outlineLevel="2">
      <c r="A600" s="571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1</v>
      </c>
      <c r="H600" s="10">
        <v>3491</v>
      </c>
      <c r="I600" s="311">
        <v>1</v>
      </c>
      <c r="J600" s="406">
        <v>0</v>
      </c>
      <c r="K600" s="410">
        <v>0</v>
      </c>
      <c r="L600" s="427"/>
      <c r="O600"/>
      <c r="P600"/>
      <c r="Q600"/>
    </row>
    <row r="601" spans="1:17" s="1" customFormat="1" ht="18.25" customHeight="1" outlineLevel="1">
      <c r="A601" s="571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1</v>
      </c>
      <c r="H601" s="29">
        <v>3491</v>
      </c>
      <c r="I601" s="324">
        <v>1</v>
      </c>
      <c r="J601" s="325">
        <v>0</v>
      </c>
      <c r="K601" s="417">
        <v>0</v>
      </c>
      <c r="L601" s="437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1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1">
        <v>0</v>
      </c>
      <c r="J602" s="406">
        <v>0</v>
      </c>
      <c r="K602" s="410">
        <v>0</v>
      </c>
      <c r="L602" s="427"/>
      <c r="O602"/>
      <c r="P602"/>
      <c r="Q602"/>
    </row>
    <row r="603" spans="1:17" s="1" customFormat="1" ht="18.25" customHeight="1" outlineLevel="2">
      <c r="A603" s="571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1">
        <v>0</v>
      </c>
      <c r="J603" s="406">
        <v>0</v>
      </c>
      <c r="K603" s="410">
        <v>0</v>
      </c>
      <c r="L603" s="427"/>
      <c r="O603"/>
      <c r="P603"/>
      <c r="Q603"/>
    </row>
    <row r="604" spans="1:17" s="1" customFormat="1" ht="18.25" customHeight="1" outlineLevel="2">
      <c r="A604" s="571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1">
        <v>0</v>
      </c>
      <c r="J604" s="406">
        <v>0</v>
      </c>
      <c r="K604" s="410">
        <v>0</v>
      </c>
      <c r="L604" s="427"/>
      <c r="O604"/>
      <c r="P604"/>
      <c r="Q604"/>
    </row>
    <row r="605" spans="1:17" s="1" customFormat="1" ht="18.25" customHeight="1" outlineLevel="2">
      <c r="A605" s="571"/>
      <c r="B605" s="5" t="s">
        <v>4</v>
      </c>
      <c r="C605" s="39" t="s">
        <v>802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1">
        <v>0</v>
      </c>
      <c r="J605" s="406">
        <v>0</v>
      </c>
      <c r="K605" s="410">
        <v>0</v>
      </c>
      <c r="L605" s="427"/>
      <c r="O605"/>
      <c r="P605"/>
      <c r="Q605"/>
    </row>
    <row r="606" spans="1:17" s="1" customFormat="1" ht="18.25" customHeight="1" outlineLevel="2">
      <c r="A606" s="571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3</v>
      </c>
      <c r="H606" s="10">
        <v>99710</v>
      </c>
      <c r="I606" s="311">
        <v>1</v>
      </c>
      <c r="J606" s="406">
        <v>1</v>
      </c>
      <c r="K606" s="410">
        <v>1</v>
      </c>
      <c r="L606" s="427"/>
      <c r="O606"/>
      <c r="P606"/>
      <c r="Q606"/>
    </row>
    <row r="607" spans="1:17" s="1" customFormat="1" ht="18.25" customHeight="1" outlineLevel="1">
      <c r="A607" s="571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3</v>
      </c>
      <c r="H607" s="17">
        <v>99710</v>
      </c>
      <c r="I607" s="312">
        <v>1</v>
      </c>
      <c r="J607" s="313">
        <v>1</v>
      </c>
      <c r="K607" s="411">
        <v>1</v>
      </c>
      <c r="L607" s="428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1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1">
        <v>0</v>
      </c>
      <c r="J608" s="406">
        <v>0</v>
      </c>
      <c r="K608" s="410">
        <v>0</v>
      </c>
      <c r="L608" s="427"/>
      <c r="O608"/>
      <c r="P608"/>
      <c r="Q608"/>
    </row>
    <row r="609" spans="1:17" s="1" customFormat="1" ht="18.25" customHeight="1" outlineLevel="2">
      <c r="A609" s="571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1">
        <v>0</v>
      </c>
      <c r="J609" s="406">
        <v>0</v>
      </c>
      <c r="K609" s="410">
        <v>0</v>
      </c>
      <c r="L609" s="427"/>
      <c r="O609"/>
      <c r="P609"/>
      <c r="Q609"/>
    </row>
    <row r="610" spans="1:17" s="1" customFormat="1" ht="18.25" customHeight="1" outlineLevel="2">
      <c r="A610" s="571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1">
        <v>0</v>
      </c>
      <c r="J610" s="406">
        <v>0</v>
      </c>
      <c r="K610" s="410">
        <v>0</v>
      </c>
      <c r="L610" s="427"/>
      <c r="O610"/>
      <c r="P610"/>
      <c r="Q610"/>
    </row>
    <row r="611" spans="1:17" s="1" customFormat="1" ht="18.25" customHeight="1" outlineLevel="1">
      <c r="A611" s="571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2">
        <v>0</v>
      </c>
      <c r="J611" s="313">
        <v>0</v>
      </c>
      <c r="K611" s="411">
        <v>0</v>
      </c>
      <c r="L611" s="428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1"/>
      <c r="B612" s="5" t="s">
        <v>4</v>
      </c>
      <c r="C612" s="18" t="s">
        <v>799</v>
      </c>
      <c r="D612" s="528" t="s">
        <v>571</v>
      </c>
      <c r="E612" s="8">
        <v>0</v>
      </c>
      <c r="F612" s="9">
        <v>0</v>
      </c>
      <c r="G612" s="8">
        <v>0</v>
      </c>
      <c r="H612" s="10">
        <v>0</v>
      </c>
      <c r="I612" s="319"/>
      <c r="J612" s="408"/>
      <c r="K612" s="415"/>
      <c r="L612" s="436"/>
      <c r="O612"/>
      <c r="P612"/>
      <c r="Q612"/>
    </row>
    <row r="613" spans="1:17" s="1" customFormat="1" ht="18.25" customHeight="1" outlineLevel="1">
      <c r="A613" s="571"/>
      <c r="B613" s="12" t="s">
        <v>4</v>
      </c>
      <c r="C613" s="13" t="s">
        <v>799</v>
      </c>
      <c r="D613" s="527"/>
      <c r="E613" s="31">
        <v>0</v>
      </c>
      <c r="F613" s="32">
        <v>0</v>
      </c>
      <c r="G613" s="31">
        <v>0</v>
      </c>
      <c r="H613" s="33">
        <v>0</v>
      </c>
      <c r="I613" s="328"/>
      <c r="J613" s="329"/>
      <c r="K613" s="415"/>
      <c r="L613" s="439"/>
      <c r="M613" s="252"/>
      <c r="O613"/>
      <c r="P613"/>
      <c r="Q613"/>
    </row>
    <row r="614" spans="1:17" s="1" customFormat="1" ht="18.25" customHeight="1" outlineLevel="2">
      <c r="A614" s="571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1">
        <v>0</v>
      </c>
      <c r="J614" s="406">
        <v>0</v>
      </c>
      <c r="K614" s="410">
        <v>0</v>
      </c>
      <c r="L614" s="427"/>
      <c r="O614"/>
      <c r="P614"/>
      <c r="Q614"/>
    </row>
    <row r="615" spans="1:17" s="1" customFormat="1" ht="18.25" customHeight="1" outlineLevel="2">
      <c r="A615" s="571"/>
      <c r="B615" s="5" t="s">
        <v>4</v>
      </c>
      <c r="C615" s="6" t="s">
        <v>899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1">
        <v>0</v>
      </c>
      <c r="J615" s="406">
        <v>0</v>
      </c>
      <c r="K615" s="410">
        <v>0</v>
      </c>
      <c r="L615" s="427"/>
      <c r="O615"/>
      <c r="P615"/>
      <c r="Q615"/>
    </row>
    <row r="616" spans="1:17" s="1" customFormat="1" ht="18.25" customHeight="1" outlineLevel="2">
      <c r="A616" s="571"/>
      <c r="B616" s="5" t="s">
        <v>4</v>
      </c>
      <c r="C616" s="6" t="s">
        <v>321</v>
      </c>
      <c r="D616" s="19" t="s">
        <v>26</v>
      </c>
      <c r="E616" s="8">
        <v>1</v>
      </c>
      <c r="F616" s="9">
        <v>9525</v>
      </c>
      <c r="G616" s="8">
        <v>1</v>
      </c>
      <c r="H616" s="10">
        <v>9525</v>
      </c>
      <c r="I616" s="311">
        <v>1</v>
      </c>
      <c r="J616" s="406">
        <v>0</v>
      </c>
      <c r="K616" s="410">
        <v>0</v>
      </c>
      <c r="L616" s="427"/>
      <c r="O616"/>
      <c r="P616"/>
      <c r="Q616"/>
    </row>
    <row r="617" spans="1:17" s="1" customFormat="1" ht="18.25" customHeight="1" outlineLevel="2">
      <c r="A617" s="571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1">
        <v>0</v>
      </c>
      <c r="J617" s="406">
        <v>0</v>
      </c>
      <c r="K617" s="410">
        <v>0</v>
      </c>
      <c r="L617" s="427"/>
      <c r="O617"/>
      <c r="P617"/>
      <c r="Q617"/>
    </row>
    <row r="618" spans="1:17" s="1" customFormat="1" ht="18.25" customHeight="1" outlineLevel="2">
      <c r="A618" s="571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1">
        <v>0</v>
      </c>
      <c r="J618" s="406">
        <v>0</v>
      </c>
      <c r="K618" s="410">
        <v>0</v>
      </c>
      <c r="L618" s="427"/>
      <c r="O618"/>
      <c r="P618"/>
      <c r="Q618"/>
    </row>
    <row r="619" spans="1:17" s="1" customFormat="1" ht="18.25" customHeight="1" outlineLevel="2">
      <c r="A619" s="571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1">
        <v>0</v>
      </c>
      <c r="J619" s="406">
        <v>0</v>
      </c>
      <c r="K619" s="410">
        <v>0</v>
      </c>
      <c r="L619" s="427"/>
      <c r="O619"/>
      <c r="P619"/>
      <c r="Q619"/>
    </row>
    <row r="620" spans="1:17" s="1" customFormat="1" ht="18.25" customHeight="1" outlineLevel="2">
      <c r="A620" s="571"/>
      <c r="B620" s="5" t="s">
        <v>4</v>
      </c>
      <c r="C620" s="11" t="s">
        <v>217</v>
      </c>
      <c r="D620" s="7" t="s">
        <v>16</v>
      </c>
      <c r="E620" s="8">
        <v>1</v>
      </c>
      <c r="F620" s="9">
        <v>1518</v>
      </c>
      <c r="G620" s="8">
        <v>1</v>
      </c>
      <c r="H620" s="10">
        <v>1518</v>
      </c>
      <c r="I620" s="311">
        <v>1</v>
      </c>
      <c r="J620" s="406">
        <v>0</v>
      </c>
      <c r="K620" s="410">
        <v>0</v>
      </c>
      <c r="L620" s="427"/>
      <c r="O620"/>
      <c r="P620"/>
      <c r="Q620"/>
    </row>
    <row r="621" spans="1:17" s="1" customFormat="1" ht="18.25" customHeight="1" outlineLevel="1">
      <c r="A621" s="571"/>
      <c r="B621" s="12" t="s">
        <v>4</v>
      </c>
      <c r="C621" s="62" t="s">
        <v>159</v>
      </c>
      <c r="D621" s="14">
        <v>7</v>
      </c>
      <c r="E621" s="15">
        <v>2</v>
      </c>
      <c r="F621" s="16">
        <v>11043</v>
      </c>
      <c r="G621" s="15">
        <v>2</v>
      </c>
      <c r="H621" s="17">
        <v>11043</v>
      </c>
      <c r="I621" s="312">
        <v>2</v>
      </c>
      <c r="J621" s="313">
        <v>0</v>
      </c>
      <c r="K621" s="411">
        <v>0</v>
      </c>
      <c r="L621" s="428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1"/>
      <c r="B622" s="5" t="s">
        <v>4</v>
      </c>
      <c r="C622" s="39" t="s">
        <v>312</v>
      </c>
      <c r="D622" s="7" t="s">
        <v>752</v>
      </c>
      <c r="E622" s="8">
        <v>6</v>
      </c>
      <c r="F622" s="9">
        <v>31124</v>
      </c>
      <c r="G622" s="8">
        <v>11</v>
      </c>
      <c r="H622" s="10">
        <v>163643</v>
      </c>
      <c r="I622" s="311">
        <v>1</v>
      </c>
      <c r="J622" s="406">
        <v>1</v>
      </c>
      <c r="K622" s="410">
        <v>1</v>
      </c>
      <c r="L622" s="427"/>
      <c r="O622"/>
      <c r="P622"/>
      <c r="Q622"/>
    </row>
    <row r="623" spans="1:17" s="1" customFormat="1" ht="18.25" customHeight="1" outlineLevel="1">
      <c r="A623" s="571"/>
      <c r="B623" s="12" t="s">
        <v>4</v>
      </c>
      <c r="C623" s="62" t="s">
        <v>312</v>
      </c>
      <c r="D623" s="14">
        <v>1</v>
      </c>
      <c r="E623" s="15">
        <v>6</v>
      </c>
      <c r="F623" s="16">
        <v>31124</v>
      </c>
      <c r="G623" s="15">
        <v>11</v>
      </c>
      <c r="H623" s="17">
        <v>163643</v>
      </c>
      <c r="I623" s="312">
        <v>1</v>
      </c>
      <c r="J623" s="313">
        <v>1</v>
      </c>
      <c r="K623" s="411">
        <v>1</v>
      </c>
      <c r="L623" s="428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1"/>
      <c r="B624" s="5" t="s">
        <v>4</v>
      </c>
      <c r="C624" s="39" t="s">
        <v>781</v>
      </c>
      <c r="D624" s="526" t="s">
        <v>616</v>
      </c>
      <c r="E624" s="8">
        <v>0</v>
      </c>
      <c r="F624" s="9">
        <v>0</v>
      </c>
      <c r="G624" s="8">
        <v>4</v>
      </c>
      <c r="H624" s="10">
        <v>80196</v>
      </c>
      <c r="I624" s="319"/>
      <c r="J624" s="408"/>
      <c r="K624" s="415"/>
      <c r="L624" s="436"/>
      <c r="O624"/>
      <c r="P624"/>
      <c r="Q624"/>
    </row>
    <row r="625" spans="1:17" s="1" customFormat="1" ht="18.25" customHeight="1" outlineLevel="1">
      <c r="A625" s="571"/>
      <c r="B625" s="12" t="s">
        <v>4</v>
      </c>
      <c r="C625" s="13" t="s">
        <v>782</v>
      </c>
      <c r="D625" s="527"/>
      <c r="E625" s="31">
        <v>0</v>
      </c>
      <c r="F625" s="32">
        <v>0</v>
      </c>
      <c r="G625" s="31">
        <v>4</v>
      </c>
      <c r="H625" s="35">
        <v>80196</v>
      </c>
      <c r="I625" s="328"/>
      <c r="J625" s="329"/>
      <c r="K625" s="419"/>
      <c r="L625" s="439"/>
      <c r="O625"/>
      <c r="P625"/>
      <c r="Q625"/>
    </row>
    <row r="626" spans="1:17" s="1" customFormat="1" ht="18.25" customHeight="1" outlineLevel="2">
      <c r="A626" s="571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1">
        <v>0</v>
      </c>
      <c r="J626" s="406">
        <v>0</v>
      </c>
      <c r="K626" s="410">
        <v>0</v>
      </c>
      <c r="L626" s="427"/>
      <c r="O626"/>
      <c r="P626"/>
      <c r="Q626"/>
    </row>
    <row r="627" spans="1:17" s="1" customFormat="1" ht="18.25" customHeight="1" outlineLevel="2">
      <c r="A627" s="571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1">
        <v>0</v>
      </c>
      <c r="J627" s="406">
        <v>0</v>
      </c>
      <c r="K627" s="410">
        <v>0</v>
      </c>
      <c r="L627" s="427"/>
      <c r="O627"/>
      <c r="P627"/>
      <c r="Q627"/>
    </row>
    <row r="628" spans="1:17" s="1" customFormat="1" ht="18.25" customHeight="1" outlineLevel="1">
      <c r="A628" s="571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2">
        <v>0</v>
      </c>
      <c r="J628" s="313">
        <v>0</v>
      </c>
      <c r="K628" s="411">
        <v>0</v>
      </c>
      <c r="L628" s="428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1"/>
      <c r="B629" s="5" t="s">
        <v>4</v>
      </c>
      <c r="C629" s="6" t="s">
        <v>366</v>
      </c>
      <c r="D629" s="7" t="s">
        <v>235</v>
      </c>
      <c r="E629" s="8">
        <v>0</v>
      </c>
      <c r="F629" s="9">
        <v>0</v>
      </c>
      <c r="G629" s="8">
        <v>4</v>
      </c>
      <c r="H629" s="10">
        <v>36950</v>
      </c>
      <c r="I629" s="311">
        <v>1</v>
      </c>
      <c r="J629" s="406">
        <v>1</v>
      </c>
      <c r="K629" s="410">
        <v>1</v>
      </c>
      <c r="L629" s="427"/>
      <c r="O629"/>
      <c r="P629"/>
      <c r="Q629"/>
    </row>
    <row r="630" spans="1:17" s="1" customFormat="1" ht="18.25" customHeight="1" outlineLevel="1">
      <c r="A630" s="571"/>
      <c r="B630" s="12" t="s">
        <v>4</v>
      </c>
      <c r="C630" s="13" t="s">
        <v>366</v>
      </c>
      <c r="D630" s="14">
        <v>1</v>
      </c>
      <c r="E630" s="15">
        <v>0</v>
      </c>
      <c r="F630" s="16">
        <v>0</v>
      </c>
      <c r="G630" s="15">
        <v>4</v>
      </c>
      <c r="H630" s="17">
        <v>36950</v>
      </c>
      <c r="I630" s="312">
        <v>1</v>
      </c>
      <c r="J630" s="313">
        <v>1</v>
      </c>
      <c r="K630" s="411">
        <v>1</v>
      </c>
      <c r="L630" s="428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1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3</v>
      </c>
      <c r="H631" s="10">
        <v>30646</v>
      </c>
      <c r="I631" s="311">
        <v>1</v>
      </c>
      <c r="J631" s="406">
        <v>1</v>
      </c>
      <c r="K631" s="410">
        <v>1</v>
      </c>
      <c r="L631" s="427"/>
      <c r="O631"/>
      <c r="P631"/>
      <c r="Q631"/>
    </row>
    <row r="632" spans="1:17" s="1" customFormat="1" ht="18.25" customHeight="1" outlineLevel="2">
      <c r="A632" s="571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1">
        <v>0</v>
      </c>
      <c r="J632" s="406">
        <v>0</v>
      </c>
      <c r="K632" s="410">
        <v>0</v>
      </c>
      <c r="L632" s="427"/>
      <c r="O632"/>
      <c r="P632"/>
      <c r="Q632"/>
    </row>
    <row r="633" spans="1:17" s="1" customFormat="1" ht="18.25" customHeight="1" outlineLevel="1">
      <c r="A633" s="571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3</v>
      </c>
      <c r="H633" s="17">
        <v>30646</v>
      </c>
      <c r="I633" s="312">
        <v>1</v>
      </c>
      <c r="J633" s="313">
        <v>1</v>
      </c>
      <c r="K633" s="411">
        <v>1</v>
      </c>
      <c r="L633" s="428">
        <v>1</v>
      </c>
      <c r="M633" s="1" t="s">
        <v>168</v>
      </c>
      <c r="O633"/>
      <c r="P633"/>
      <c r="Q633"/>
    </row>
    <row r="634" spans="1:17" s="1" customFormat="1" ht="18.25" customHeight="1" outlineLevel="2">
      <c r="A634" s="571"/>
      <c r="B634" s="5" t="s">
        <v>4</v>
      </c>
      <c r="C634" s="18" t="s">
        <v>290</v>
      </c>
      <c r="D634" s="7" t="s">
        <v>492</v>
      </c>
      <c r="E634" s="8">
        <v>0</v>
      </c>
      <c r="F634" s="9">
        <v>0</v>
      </c>
      <c r="G634" s="8">
        <v>5</v>
      </c>
      <c r="H634" s="10">
        <v>121247</v>
      </c>
      <c r="I634" s="311">
        <v>1</v>
      </c>
      <c r="J634" s="406">
        <v>1</v>
      </c>
      <c r="K634" s="410">
        <v>1</v>
      </c>
      <c r="L634" s="427"/>
      <c r="O634"/>
      <c r="P634"/>
      <c r="Q634"/>
    </row>
    <row r="635" spans="1:17" s="1" customFormat="1" ht="18.25" customHeight="1" outlineLevel="1">
      <c r="A635" s="571"/>
      <c r="B635" s="12" t="s">
        <v>4</v>
      </c>
      <c r="C635" s="13" t="s">
        <v>290</v>
      </c>
      <c r="D635" s="14">
        <v>1</v>
      </c>
      <c r="E635" s="15">
        <v>0</v>
      </c>
      <c r="F635" s="16">
        <v>0</v>
      </c>
      <c r="G635" s="15">
        <v>5</v>
      </c>
      <c r="H635" s="17">
        <v>121247</v>
      </c>
      <c r="I635" s="312">
        <v>1</v>
      </c>
      <c r="J635" s="313">
        <v>1</v>
      </c>
      <c r="K635" s="411">
        <v>1</v>
      </c>
      <c r="L635" s="428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1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1">
        <v>0</v>
      </c>
      <c r="J636" s="406">
        <v>0</v>
      </c>
      <c r="K636" s="410">
        <v>0</v>
      </c>
      <c r="L636" s="427"/>
      <c r="O636"/>
      <c r="P636"/>
      <c r="Q636"/>
    </row>
    <row r="637" spans="1:17" s="1" customFormat="1" ht="18.25" customHeight="1" outlineLevel="2">
      <c r="A637" s="571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10</v>
      </c>
      <c r="I637" s="311">
        <v>0</v>
      </c>
      <c r="J637" s="406">
        <v>0</v>
      </c>
      <c r="K637" s="410">
        <v>0</v>
      </c>
      <c r="L637" s="427"/>
      <c r="O637"/>
      <c r="P637"/>
      <c r="Q637"/>
    </row>
    <row r="638" spans="1:17" s="1" customFormat="1" ht="18.25" customHeight="1" outlineLevel="2">
      <c r="A638" s="571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1">
        <v>0</v>
      </c>
      <c r="J638" s="406">
        <v>0</v>
      </c>
      <c r="K638" s="410">
        <v>0</v>
      </c>
      <c r="L638" s="427"/>
      <c r="O638"/>
      <c r="P638"/>
      <c r="Q638"/>
    </row>
    <row r="639" spans="1:17" s="1" customFormat="1" ht="18.25" customHeight="1" outlineLevel="1">
      <c r="A639" s="571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10</v>
      </c>
      <c r="I639" s="312">
        <v>0</v>
      </c>
      <c r="J639" s="313">
        <v>0</v>
      </c>
      <c r="K639" s="411">
        <v>0</v>
      </c>
      <c r="L639" s="428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1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2</v>
      </c>
      <c r="H640" s="10">
        <v>518198</v>
      </c>
      <c r="I640" s="311">
        <v>1</v>
      </c>
      <c r="J640" s="406">
        <v>1</v>
      </c>
      <c r="K640" s="410">
        <v>1</v>
      </c>
      <c r="L640" s="427"/>
      <c r="O640"/>
      <c r="P640"/>
      <c r="Q640"/>
    </row>
    <row r="641" spans="1:17" s="1" customFormat="1" ht="18.25" customHeight="1" outlineLevel="2">
      <c r="A641" s="571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1">
        <v>0</v>
      </c>
      <c r="J641" s="406">
        <v>0</v>
      </c>
      <c r="K641" s="410">
        <v>0</v>
      </c>
      <c r="L641" s="427"/>
      <c r="O641"/>
      <c r="P641"/>
      <c r="Q641"/>
    </row>
    <row r="642" spans="1:17" s="1" customFormat="1" ht="18.25" customHeight="1" outlineLevel="2">
      <c r="A642" s="571"/>
      <c r="B642" s="5" t="s">
        <v>4</v>
      </c>
      <c r="C642" s="6" t="s">
        <v>247</v>
      </c>
      <c r="D642" s="7" t="s">
        <v>16</v>
      </c>
      <c r="E642" s="8">
        <v>1</v>
      </c>
      <c r="F642" s="9">
        <v>9525</v>
      </c>
      <c r="G642" s="8">
        <v>1</v>
      </c>
      <c r="H642" s="10">
        <v>9525</v>
      </c>
      <c r="I642" s="311">
        <v>1</v>
      </c>
      <c r="J642" s="406">
        <v>0</v>
      </c>
      <c r="K642" s="410">
        <v>0</v>
      </c>
      <c r="L642" s="427"/>
      <c r="O642"/>
      <c r="P642"/>
      <c r="Q642"/>
    </row>
    <row r="643" spans="1:17" s="1" customFormat="1" ht="18.25" customHeight="1" outlineLevel="2">
      <c r="A643" s="571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1">
        <v>0</v>
      </c>
      <c r="J643" s="406">
        <v>0</v>
      </c>
      <c r="K643" s="410">
        <v>0</v>
      </c>
      <c r="L643" s="427"/>
      <c r="O643"/>
      <c r="P643"/>
      <c r="Q643"/>
    </row>
    <row r="644" spans="1:17" s="1" customFormat="1" ht="18.25" customHeight="1" outlineLevel="1">
      <c r="A644" s="571"/>
      <c r="B644" s="12" t="s">
        <v>4</v>
      </c>
      <c r="C644" s="20" t="s">
        <v>45</v>
      </c>
      <c r="D644" s="14">
        <v>4</v>
      </c>
      <c r="E644" s="21">
        <v>1</v>
      </c>
      <c r="F644" s="16">
        <v>9525</v>
      </c>
      <c r="G644" s="21">
        <v>3</v>
      </c>
      <c r="H644" s="17">
        <v>527723</v>
      </c>
      <c r="I644" s="312">
        <v>2</v>
      </c>
      <c r="J644" s="313">
        <v>1</v>
      </c>
      <c r="K644" s="411">
        <v>1</v>
      </c>
      <c r="L644" s="428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1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2</v>
      </c>
      <c r="H645" s="10">
        <v>8953</v>
      </c>
      <c r="I645" s="311">
        <v>1</v>
      </c>
      <c r="J645" s="406">
        <v>0</v>
      </c>
      <c r="K645" s="410">
        <v>0</v>
      </c>
      <c r="L645" s="427"/>
      <c r="O645"/>
      <c r="P645"/>
      <c r="Q645"/>
    </row>
    <row r="646" spans="1:17" s="1" customFormat="1" ht="18.25" customHeight="1" outlineLevel="2">
      <c r="A646" s="571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1">
        <v>0</v>
      </c>
      <c r="J646" s="406">
        <v>0</v>
      </c>
      <c r="K646" s="410">
        <v>0</v>
      </c>
      <c r="L646" s="427"/>
      <c r="O646"/>
      <c r="P646"/>
      <c r="Q646"/>
    </row>
    <row r="647" spans="1:17" s="1" customFormat="1" ht="18.25" customHeight="1" outlineLevel="1">
      <c r="A647" s="571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2</v>
      </c>
      <c r="H647" s="17">
        <v>8953</v>
      </c>
      <c r="I647" s="312">
        <v>1</v>
      </c>
      <c r="J647" s="313">
        <v>0</v>
      </c>
      <c r="K647" s="411">
        <v>0</v>
      </c>
      <c r="L647" s="428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1</v>
      </c>
      <c r="F648" s="9">
        <v>2741</v>
      </c>
      <c r="G648" s="8">
        <v>1</v>
      </c>
      <c r="H648" s="10">
        <v>2741</v>
      </c>
      <c r="I648" s="311">
        <v>1</v>
      </c>
      <c r="J648" s="406">
        <v>0</v>
      </c>
      <c r="K648" s="410">
        <v>0</v>
      </c>
      <c r="L648" s="427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1</v>
      </c>
      <c r="H649" s="44">
        <v>7294</v>
      </c>
      <c r="I649" s="314">
        <v>1</v>
      </c>
      <c r="J649" s="406">
        <v>0</v>
      </c>
      <c r="K649" s="410">
        <v>0</v>
      </c>
      <c r="L649" s="427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1</v>
      </c>
      <c r="F650" s="16">
        <v>2741</v>
      </c>
      <c r="G650" s="15">
        <v>2</v>
      </c>
      <c r="H650" s="17">
        <v>10035</v>
      </c>
      <c r="I650" s="312">
        <v>2</v>
      </c>
      <c r="J650" s="313">
        <v>0</v>
      </c>
      <c r="K650" s="411">
        <v>0</v>
      </c>
      <c r="L650" s="428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4</v>
      </c>
      <c r="H651" s="10">
        <v>92295</v>
      </c>
      <c r="I651" s="311">
        <v>1</v>
      </c>
      <c r="J651" s="406">
        <v>1</v>
      </c>
      <c r="K651" s="410">
        <v>1</v>
      </c>
      <c r="L651" s="427"/>
    </row>
    <row r="652" spans="1:17" ht="18.25" customHeight="1" outlineLevel="2">
      <c r="B652" s="5" t="s">
        <v>4</v>
      </c>
      <c r="C652" s="18" t="s">
        <v>697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1">
        <v>0</v>
      </c>
      <c r="J652" s="406">
        <v>0</v>
      </c>
      <c r="K652" s="410">
        <v>0</v>
      </c>
      <c r="L652" s="427"/>
    </row>
    <row r="653" spans="1:17" ht="18.25" customHeight="1" outlineLevel="2">
      <c r="B653" s="5" t="s">
        <v>4</v>
      </c>
      <c r="C653" s="18" t="s">
        <v>370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1">
        <v>0</v>
      </c>
      <c r="J653" s="406">
        <v>0</v>
      </c>
      <c r="K653" s="410">
        <v>0</v>
      </c>
      <c r="L653" s="427"/>
    </row>
    <row r="654" spans="1:17" ht="18.25" customHeight="1" outlineLevel="1">
      <c r="B654" s="12" t="s">
        <v>4</v>
      </c>
      <c r="C654" s="13" t="s">
        <v>49</v>
      </c>
      <c r="D654" s="14">
        <v>3</v>
      </c>
      <c r="E654" s="15">
        <v>0</v>
      </c>
      <c r="F654" s="16">
        <v>0</v>
      </c>
      <c r="G654" s="15">
        <v>4</v>
      </c>
      <c r="H654" s="17">
        <v>92295</v>
      </c>
      <c r="I654" s="312">
        <v>1</v>
      </c>
      <c r="J654" s="313">
        <v>1</v>
      </c>
      <c r="K654" s="411">
        <v>1</v>
      </c>
      <c r="L654" s="428">
        <v>0</v>
      </c>
      <c r="M654" s="1" t="s">
        <v>170</v>
      </c>
    </row>
    <row r="655" spans="1:17" s="150" customFormat="1" ht="18.25" customHeight="1">
      <c r="A655" s="570" t="s">
        <v>831</v>
      </c>
      <c r="B655" s="949" t="s">
        <v>10</v>
      </c>
      <c r="C655" s="950"/>
      <c r="D655" s="146">
        <v>106</v>
      </c>
      <c r="E655" s="147">
        <v>13</v>
      </c>
      <c r="F655" s="148">
        <v>100603</v>
      </c>
      <c r="G655" s="147">
        <v>148</v>
      </c>
      <c r="H655" s="149">
        <v>3307059</v>
      </c>
      <c r="I655" s="315">
        <v>48</v>
      </c>
      <c r="J655" s="316">
        <v>34</v>
      </c>
      <c r="K655" s="412">
        <v>28</v>
      </c>
      <c r="L655" s="429">
        <v>6</v>
      </c>
      <c r="M655" s="249"/>
      <c r="N655" s="249"/>
    </row>
    <row r="656" spans="1:17" ht="18.25" customHeight="1" outlineLevel="2">
      <c r="B656" s="5" t="s">
        <v>880</v>
      </c>
      <c r="C656" s="6" t="s">
        <v>873</v>
      </c>
      <c r="D656" s="836"/>
      <c r="E656" s="8">
        <v>0</v>
      </c>
      <c r="F656" s="9">
        <v>0</v>
      </c>
      <c r="G656" s="8">
        <v>0</v>
      </c>
      <c r="H656" s="10">
        <v>0</v>
      </c>
      <c r="I656" s="837"/>
      <c r="J656" s="838"/>
      <c r="K656" s="839"/>
      <c r="L656" s="427"/>
    </row>
    <row r="657" spans="1:17" ht="18.25" customHeight="1" outlineLevel="1">
      <c r="B657" s="12" t="s">
        <v>870</v>
      </c>
      <c r="C657" s="13" t="s">
        <v>872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6">
        <v>0</v>
      </c>
      <c r="J657" s="327">
        <v>0</v>
      </c>
      <c r="K657" s="418">
        <v>0</v>
      </c>
      <c r="L657" s="438">
        <v>0</v>
      </c>
      <c r="M657" s="444" t="s">
        <v>871</v>
      </c>
    </row>
    <row r="658" spans="1:17" ht="18.25" customHeight="1" outlineLevel="2">
      <c r="B658" s="5" t="s">
        <v>870</v>
      </c>
      <c r="C658" s="6" t="s">
        <v>242</v>
      </c>
      <c r="D658" s="7" t="s">
        <v>882</v>
      </c>
      <c r="E658" s="8">
        <v>0</v>
      </c>
      <c r="F658" s="9">
        <v>0</v>
      </c>
      <c r="G658" s="8">
        <v>2</v>
      </c>
      <c r="H658" s="10">
        <v>15621</v>
      </c>
      <c r="I658" s="311">
        <v>1</v>
      </c>
      <c r="J658" s="406">
        <v>0</v>
      </c>
      <c r="K658" s="410">
        <v>0</v>
      </c>
      <c r="L658" s="427"/>
    </row>
    <row r="659" spans="1:17" ht="18.25" customHeight="1" outlineLevel="2">
      <c r="B659" s="5" t="s">
        <v>870</v>
      </c>
      <c r="C659" s="6" t="s">
        <v>167</v>
      </c>
      <c r="D659" s="7" t="s">
        <v>26</v>
      </c>
      <c r="E659" s="8">
        <v>0</v>
      </c>
      <c r="F659" s="9">
        <v>0</v>
      </c>
      <c r="G659" s="8">
        <v>3</v>
      </c>
      <c r="H659" s="10">
        <v>26411</v>
      </c>
      <c r="I659" s="311">
        <v>1</v>
      </c>
      <c r="J659" s="406">
        <v>1</v>
      </c>
      <c r="K659" s="410">
        <v>1</v>
      </c>
      <c r="L659" s="427"/>
    </row>
    <row r="660" spans="1:17" ht="18.25" customHeight="1" outlineLevel="2">
      <c r="B660" s="5" t="s">
        <v>870</v>
      </c>
      <c r="C660" s="6" t="s">
        <v>794</v>
      </c>
      <c r="D660" s="7" t="s">
        <v>26</v>
      </c>
      <c r="E660" s="8">
        <v>0</v>
      </c>
      <c r="F660" s="9">
        <v>0</v>
      </c>
      <c r="G660" s="8">
        <v>2</v>
      </c>
      <c r="H660" s="10">
        <v>1619</v>
      </c>
      <c r="I660" s="311">
        <v>1</v>
      </c>
      <c r="J660" s="406">
        <v>0</v>
      </c>
      <c r="K660" s="410">
        <v>0</v>
      </c>
      <c r="L660" s="427"/>
    </row>
    <row r="661" spans="1:17" ht="18.25" customHeight="1" outlineLevel="2">
      <c r="B661" s="41" t="s">
        <v>870</v>
      </c>
      <c r="C661" s="39" t="s">
        <v>532</v>
      </c>
      <c r="D661" s="23" t="s">
        <v>187</v>
      </c>
      <c r="E661" s="8">
        <v>0</v>
      </c>
      <c r="F661" s="9">
        <v>0</v>
      </c>
      <c r="G661" s="8">
        <v>1</v>
      </c>
      <c r="H661" s="10">
        <v>6000</v>
      </c>
      <c r="I661" s="311">
        <v>1</v>
      </c>
      <c r="J661" s="406">
        <v>0</v>
      </c>
      <c r="K661" s="410">
        <v>0</v>
      </c>
      <c r="L661" s="427"/>
    </row>
    <row r="662" spans="1:17" ht="18.25" customHeight="1" outlineLevel="1">
      <c r="B662" s="12" t="s">
        <v>870</v>
      </c>
      <c r="C662" s="13" t="s">
        <v>640</v>
      </c>
      <c r="D662" s="14">
        <v>4</v>
      </c>
      <c r="E662" s="31">
        <v>0</v>
      </c>
      <c r="F662" s="32">
        <v>0</v>
      </c>
      <c r="G662" s="31">
        <v>8</v>
      </c>
      <c r="H662" s="33">
        <v>49651</v>
      </c>
      <c r="I662" s="326">
        <v>4</v>
      </c>
      <c r="J662" s="327">
        <v>1</v>
      </c>
      <c r="K662" s="418">
        <v>1</v>
      </c>
      <c r="L662" s="438">
        <v>0</v>
      </c>
      <c r="M662" s="444" t="s">
        <v>50</v>
      </c>
    </row>
    <row r="663" spans="1:17" ht="18.25" customHeight="1" outlineLevel="2">
      <c r="B663" s="5" t="s">
        <v>870</v>
      </c>
      <c r="C663" s="18" t="s">
        <v>518</v>
      </c>
      <c r="D663" s="528" t="s">
        <v>571</v>
      </c>
      <c r="E663" s="8">
        <v>0</v>
      </c>
      <c r="F663" s="9">
        <v>0</v>
      </c>
      <c r="G663" s="8">
        <v>0</v>
      </c>
      <c r="H663" s="10">
        <v>0</v>
      </c>
      <c r="I663" s="319"/>
      <c r="J663" s="408"/>
      <c r="K663" s="415"/>
      <c r="L663" s="436"/>
    </row>
    <row r="664" spans="1:17" ht="18.25" customHeight="1" outlineLevel="1">
      <c r="B664" s="12" t="s">
        <v>870</v>
      </c>
      <c r="C664" s="13" t="s">
        <v>518</v>
      </c>
      <c r="D664" s="530"/>
      <c r="E664" s="31">
        <v>0</v>
      </c>
      <c r="F664" s="32">
        <v>0</v>
      </c>
      <c r="G664" s="31">
        <v>0</v>
      </c>
      <c r="H664" s="33">
        <v>0</v>
      </c>
      <c r="I664" s="328"/>
      <c r="J664" s="329"/>
      <c r="K664" s="415"/>
      <c r="L664" s="439"/>
      <c r="M664" s="252"/>
    </row>
    <row r="665" spans="1:17" s="1" customFormat="1" ht="18.25" customHeight="1" outlineLevel="2">
      <c r="A665" s="571"/>
      <c r="B665" s="5" t="s">
        <v>870</v>
      </c>
      <c r="C665" s="18" t="s">
        <v>534</v>
      </c>
      <c r="D665" s="7" t="s">
        <v>752</v>
      </c>
      <c r="E665" s="8">
        <v>0</v>
      </c>
      <c r="F665" s="9">
        <v>0</v>
      </c>
      <c r="G665" s="8">
        <v>2</v>
      </c>
      <c r="H665" s="10">
        <v>14882</v>
      </c>
      <c r="I665" s="311">
        <v>1</v>
      </c>
      <c r="J665" s="406">
        <v>0</v>
      </c>
      <c r="K665" s="410">
        <v>0</v>
      </c>
      <c r="L665" s="427"/>
      <c r="O665"/>
      <c r="P665"/>
      <c r="Q665"/>
    </row>
    <row r="666" spans="1:17" s="1" customFormat="1" ht="18.25" customHeight="1" outlineLevel="1">
      <c r="A666" s="571"/>
      <c r="B666" s="12" t="s">
        <v>870</v>
      </c>
      <c r="C666" s="13" t="s">
        <v>534</v>
      </c>
      <c r="D666" s="14">
        <v>1</v>
      </c>
      <c r="E666" s="31">
        <v>0</v>
      </c>
      <c r="F666" s="32">
        <v>0</v>
      </c>
      <c r="G666" s="31">
        <v>2</v>
      </c>
      <c r="H666" s="33">
        <v>14882</v>
      </c>
      <c r="I666" s="326">
        <v>1</v>
      </c>
      <c r="J666" s="327">
        <v>0</v>
      </c>
      <c r="K666" s="418">
        <v>0</v>
      </c>
      <c r="L666" s="438">
        <v>0</v>
      </c>
      <c r="M666" s="444" t="s">
        <v>351</v>
      </c>
      <c r="O666"/>
      <c r="P666"/>
      <c r="Q666"/>
    </row>
    <row r="667" spans="1:17" s="1" customFormat="1" ht="18.25" customHeight="1" outlineLevel="2">
      <c r="A667" s="571"/>
      <c r="B667" s="5" t="s">
        <v>870</v>
      </c>
      <c r="C667" s="18" t="s">
        <v>533</v>
      </c>
      <c r="D667" s="7" t="s">
        <v>365</v>
      </c>
      <c r="E667" s="8">
        <v>2</v>
      </c>
      <c r="F667" s="9">
        <v>10365</v>
      </c>
      <c r="G667" s="8">
        <v>8</v>
      </c>
      <c r="H667" s="10">
        <v>47085</v>
      </c>
      <c r="I667" s="311">
        <v>1</v>
      </c>
      <c r="J667" s="406">
        <v>1</v>
      </c>
      <c r="K667" s="410">
        <v>1</v>
      </c>
      <c r="L667" s="427"/>
      <c r="M667" s="445"/>
      <c r="O667"/>
      <c r="P667"/>
      <c r="Q667"/>
    </row>
    <row r="668" spans="1:17" s="1" customFormat="1" ht="18.25" customHeight="1" outlineLevel="1">
      <c r="A668" s="571"/>
      <c r="B668" s="12" t="s">
        <v>870</v>
      </c>
      <c r="C668" s="13" t="s">
        <v>533</v>
      </c>
      <c r="D668" s="14">
        <v>1</v>
      </c>
      <c r="E668" s="31">
        <v>2</v>
      </c>
      <c r="F668" s="32">
        <v>10365</v>
      </c>
      <c r="G668" s="31">
        <v>8</v>
      </c>
      <c r="H668" s="33">
        <v>47085</v>
      </c>
      <c r="I668" s="326">
        <v>1</v>
      </c>
      <c r="J668" s="327">
        <v>1</v>
      </c>
      <c r="K668" s="418">
        <v>1</v>
      </c>
      <c r="L668" s="438">
        <v>0</v>
      </c>
      <c r="M668" s="444" t="s">
        <v>663</v>
      </c>
      <c r="O668"/>
      <c r="P668"/>
      <c r="Q668"/>
    </row>
    <row r="669" spans="1:17" s="1" customFormat="1" ht="18.25" customHeight="1" outlineLevel="2">
      <c r="A669" s="571"/>
      <c r="B669" s="5" t="s">
        <v>870</v>
      </c>
      <c r="C669" s="6" t="s">
        <v>193</v>
      </c>
      <c r="D669" s="528" t="s">
        <v>571</v>
      </c>
      <c r="E669" s="8">
        <v>0</v>
      </c>
      <c r="F669" s="9">
        <v>0</v>
      </c>
      <c r="G669" s="8">
        <v>0</v>
      </c>
      <c r="H669" s="10">
        <v>0</v>
      </c>
      <c r="I669" s="319"/>
      <c r="J669" s="408"/>
      <c r="K669" s="415"/>
      <c r="L669" s="436"/>
      <c r="O669"/>
      <c r="P669"/>
      <c r="Q669"/>
    </row>
    <row r="670" spans="1:17" s="1" customFormat="1" ht="18.25" customHeight="1" outlineLevel="1">
      <c r="A670" s="571"/>
      <c r="B670" s="34" t="s">
        <v>870</v>
      </c>
      <c r="C670" s="13" t="s">
        <v>169</v>
      </c>
      <c r="D670" s="527"/>
      <c r="E670" s="31">
        <v>0</v>
      </c>
      <c r="F670" s="32">
        <v>0</v>
      </c>
      <c r="G670" s="31">
        <v>0</v>
      </c>
      <c r="H670" s="35">
        <v>0</v>
      </c>
      <c r="I670" s="328"/>
      <c r="J670" s="329"/>
      <c r="K670" s="419"/>
      <c r="L670" s="439"/>
      <c r="O670"/>
      <c r="P670"/>
      <c r="Q670"/>
    </row>
    <row r="671" spans="1:17" s="1" customFormat="1" ht="18.25" customHeight="1" outlineLevel="2">
      <c r="A671" s="571"/>
      <c r="B671" s="5" t="s">
        <v>870</v>
      </c>
      <c r="C671" s="6" t="s">
        <v>194</v>
      </c>
      <c r="D671" s="7" t="s">
        <v>170</v>
      </c>
      <c r="E671" s="8">
        <v>0</v>
      </c>
      <c r="F671" s="9">
        <v>0</v>
      </c>
      <c r="G671" s="8">
        <v>6</v>
      </c>
      <c r="H671" s="10">
        <v>198252</v>
      </c>
      <c r="I671" s="311">
        <v>1</v>
      </c>
      <c r="J671" s="406">
        <v>1</v>
      </c>
      <c r="K671" s="410">
        <v>1</v>
      </c>
      <c r="L671" s="427"/>
      <c r="O671"/>
      <c r="P671"/>
      <c r="Q671"/>
    </row>
    <row r="672" spans="1:17" s="1" customFormat="1" ht="18.25" customHeight="1" outlineLevel="2">
      <c r="A672" s="571"/>
      <c r="B672" s="5" t="s">
        <v>870</v>
      </c>
      <c r="C672" s="6" t="s">
        <v>702</v>
      </c>
      <c r="D672" s="7" t="s">
        <v>26</v>
      </c>
      <c r="E672" s="8">
        <v>2</v>
      </c>
      <c r="F672" s="9">
        <v>53409</v>
      </c>
      <c r="G672" s="8">
        <v>2</v>
      </c>
      <c r="H672" s="10">
        <v>53409</v>
      </c>
      <c r="I672" s="311">
        <v>1</v>
      </c>
      <c r="J672" s="406">
        <v>1</v>
      </c>
      <c r="K672" s="410">
        <v>1</v>
      </c>
      <c r="L672" s="427"/>
      <c r="O672"/>
      <c r="P672"/>
      <c r="Q672"/>
    </row>
    <row r="673" spans="1:17" s="1" customFormat="1" ht="18.25" customHeight="1" outlineLevel="2">
      <c r="A673" s="571"/>
      <c r="B673" s="5" t="s">
        <v>870</v>
      </c>
      <c r="C673" s="6" t="s">
        <v>688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1">
        <v>0</v>
      </c>
      <c r="J673" s="406">
        <v>0</v>
      </c>
      <c r="K673" s="410">
        <v>0</v>
      </c>
      <c r="L673" s="427"/>
      <c r="O673"/>
      <c r="P673"/>
      <c r="Q673"/>
    </row>
    <row r="674" spans="1:17" s="1" customFormat="1" ht="18.25" customHeight="1" outlineLevel="1">
      <c r="A674" s="571"/>
      <c r="B674" s="12" t="s">
        <v>870</v>
      </c>
      <c r="C674" s="13" t="s">
        <v>171</v>
      </c>
      <c r="D674" s="14">
        <v>3</v>
      </c>
      <c r="E674" s="31">
        <v>2</v>
      </c>
      <c r="F674" s="32">
        <v>53409</v>
      </c>
      <c r="G674" s="31">
        <v>8</v>
      </c>
      <c r="H674" s="35">
        <v>251661</v>
      </c>
      <c r="I674" s="326">
        <v>2</v>
      </c>
      <c r="J674" s="327">
        <v>2</v>
      </c>
      <c r="K674" s="418">
        <v>2</v>
      </c>
      <c r="L674" s="438">
        <v>1</v>
      </c>
      <c r="M674" s="1" t="s">
        <v>170</v>
      </c>
      <c r="O674"/>
      <c r="P674"/>
      <c r="Q674"/>
    </row>
    <row r="675" spans="1:17" s="1" customFormat="1" ht="18.25" customHeight="1" outlineLevel="2">
      <c r="A675" s="571"/>
      <c r="B675" s="5" t="s">
        <v>870</v>
      </c>
      <c r="C675" s="6" t="s">
        <v>715</v>
      </c>
      <c r="D675" s="7" t="s">
        <v>877</v>
      </c>
      <c r="E675" s="8">
        <v>0</v>
      </c>
      <c r="F675" s="9">
        <v>0</v>
      </c>
      <c r="G675" s="8">
        <v>0</v>
      </c>
      <c r="H675" s="10">
        <v>0</v>
      </c>
      <c r="I675" s="311">
        <v>0</v>
      </c>
      <c r="J675" s="406">
        <v>0</v>
      </c>
      <c r="K675" s="410">
        <v>0</v>
      </c>
      <c r="L675" s="427"/>
      <c r="O675"/>
      <c r="P675"/>
      <c r="Q675"/>
    </row>
    <row r="676" spans="1:17" s="1" customFormat="1" ht="18.25" customHeight="1" outlineLevel="1">
      <c r="A676" s="571"/>
      <c r="B676" s="12" t="s">
        <v>870</v>
      </c>
      <c r="C676" s="13" t="s">
        <v>715</v>
      </c>
      <c r="D676" s="14">
        <v>1</v>
      </c>
      <c r="E676" s="31">
        <v>0</v>
      </c>
      <c r="F676" s="32">
        <v>0</v>
      </c>
      <c r="G676" s="31">
        <v>0</v>
      </c>
      <c r="H676" s="35">
        <v>0</v>
      </c>
      <c r="I676" s="326">
        <v>0</v>
      </c>
      <c r="J676" s="327">
        <v>0</v>
      </c>
      <c r="K676" s="418">
        <v>0</v>
      </c>
      <c r="L676" s="438">
        <v>0</v>
      </c>
      <c r="M676" s="1" t="s">
        <v>663</v>
      </c>
      <c r="O676"/>
      <c r="P676"/>
      <c r="Q676"/>
    </row>
    <row r="677" spans="1:17" s="1" customFormat="1" ht="18.25" customHeight="1" outlineLevel="2">
      <c r="A677" s="571"/>
      <c r="B677" s="5" t="s">
        <v>870</v>
      </c>
      <c r="C677" s="11" t="s">
        <v>201</v>
      </c>
      <c r="D677" s="7" t="s">
        <v>238</v>
      </c>
      <c r="E677" s="8">
        <v>0</v>
      </c>
      <c r="F677" s="37">
        <v>0</v>
      </c>
      <c r="G677" s="8">
        <v>1</v>
      </c>
      <c r="H677" s="10">
        <v>2080</v>
      </c>
      <c r="I677" s="311">
        <v>1</v>
      </c>
      <c r="J677" s="406">
        <v>0</v>
      </c>
      <c r="K677" s="410">
        <v>0</v>
      </c>
      <c r="L677" s="427"/>
      <c r="O677"/>
      <c r="P677"/>
      <c r="Q677"/>
    </row>
    <row r="678" spans="1:17" s="1" customFormat="1" ht="18.25" customHeight="1" outlineLevel="2">
      <c r="A678" s="571"/>
      <c r="B678" s="5" t="s">
        <v>870</v>
      </c>
      <c r="C678" s="6" t="s">
        <v>567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11">
        <v>0</v>
      </c>
      <c r="J678" s="406">
        <v>0</v>
      </c>
      <c r="K678" s="410">
        <v>0</v>
      </c>
      <c r="L678" s="427"/>
      <c r="O678"/>
      <c r="P678"/>
      <c r="Q678"/>
    </row>
    <row r="679" spans="1:17" s="1" customFormat="1" ht="18.25" customHeight="1" outlineLevel="1">
      <c r="A679" s="571"/>
      <c r="B679" s="12" t="s">
        <v>870</v>
      </c>
      <c r="C679" s="13" t="s">
        <v>201</v>
      </c>
      <c r="D679" s="14">
        <v>2</v>
      </c>
      <c r="E679" s="36">
        <v>0</v>
      </c>
      <c r="F679" s="32">
        <v>0</v>
      </c>
      <c r="G679" s="36">
        <v>1</v>
      </c>
      <c r="H679" s="35">
        <v>2080</v>
      </c>
      <c r="I679" s="326">
        <v>1</v>
      </c>
      <c r="J679" s="327">
        <v>0</v>
      </c>
      <c r="K679" s="418">
        <v>0</v>
      </c>
      <c r="L679" s="438">
        <v>0</v>
      </c>
      <c r="M679" s="1" t="s">
        <v>170</v>
      </c>
      <c r="O679"/>
      <c r="P679"/>
      <c r="Q679"/>
    </row>
    <row r="680" spans="1:17" s="1" customFormat="1" ht="18.25" customHeight="1" outlineLevel="2">
      <c r="A680" s="571"/>
      <c r="B680" s="5" t="s">
        <v>870</v>
      </c>
      <c r="C680" s="6" t="s">
        <v>195</v>
      </c>
      <c r="D680" s="7" t="s">
        <v>50</v>
      </c>
      <c r="E680" s="8">
        <v>0</v>
      </c>
      <c r="F680" s="9">
        <v>0</v>
      </c>
      <c r="G680" s="8">
        <v>28</v>
      </c>
      <c r="H680" s="10">
        <v>184566</v>
      </c>
      <c r="I680" s="311">
        <v>1</v>
      </c>
      <c r="J680" s="406">
        <v>1</v>
      </c>
      <c r="K680" s="410">
        <v>1</v>
      </c>
      <c r="L680" s="427"/>
      <c r="O680"/>
      <c r="P680"/>
      <c r="Q680"/>
    </row>
    <row r="681" spans="1:17" s="1" customFormat="1" ht="18.25" customHeight="1" outlineLevel="2">
      <c r="A681" s="571"/>
      <c r="B681" s="5" t="s">
        <v>870</v>
      </c>
      <c r="C681" s="6" t="s">
        <v>896</v>
      </c>
      <c r="D681" s="7" t="s">
        <v>26</v>
      </c>
      <c r="E681" s="8">
        <v>0</v>
      </c>
      <c r="F681" s="9">
        <v>0</v>
      </c>
      <c r="G681" s="8">
        <v>3</v>
      </c>
      <c r="H681" s="10">
        <v>109332</v>
      </c>
      <c r="I681" s="311">
        <v>1</v>
      </c>
      <c r="J681" s="406">
        <v>1</v>
      </c>
      <c r="K681" s="410">
        <v>1</v>
      </c>
      <c r="L681" s="427"/>
      <c r="O681"/>
      <c r="P681"/>
      <c r="Q681"/>
    </row>
    <row r="682" spans="1:17" s="1" customFormat="1" ht="18.25" customHeight="1" outlineLevel="2">
      <c r="A682" s="571"/>
      <c r="B682" s="5" t="s">
        <v>870</v>
      </c>
      <c r="C682" s="6" t="s">
        <v>699</v>
      </c>
      <c r="D682" s="7" t="s">
        <v>26</v>
      </c>
      <c r="E682" s="8">
        <v>0</v>
      </c>
      <c r="F682" s="9">
        <v>0</v>
      </c>
      <c r="G682" s="8">
        <v>2</v>
      </c>
      <c r="H682" s="10">
        <v>7627</v>
      </c>
      <c r="I682" s="311">
        <v>1</v>
      </c>
      <c r="J682" s="406">
        <v>0</v>
      </c>
      <c r="K682" s="410">
        <v>0</v>
      </c>
      <c r="L682" s="427"/>
      <c r="O682"/>
      <c r="P682"/>
      <c r="Q682"/>
    </row>
    <row r="683" spans="1:17" ht="18.25" customHeight="1" outlineLevel="1">
      <c r="B683" s="12" t="s">
        <v>870</v>
      </c>
      <c r="C683" s="13" t="s">
        <v>172</v>
      </c>
      <c r="D683" s="14">
        <v>3</v>
      </c>
      <c r="E683" s="31">
        <v>0</v>
      </c>
      <c r="F683" s="32">
        <v>0</v>
      </c>
      <c r="G683" s="31">
        <v>33</v>
      </c>
      <c r="H683" s="35">
        <v>301525</v>
      </c>
      <c r="I683" s="326">
        <v>3</v>
      </c>
      <c r="J683" s="327">
        <v>2</v>
      </c>
      <c r="K683" s="418">
        <v>2</v>
      </c>
      <c r="L683" s="438">
        <v>0</v>
      </c>
      <c r="M683" s="1" t="s">
        <v>50</v>
      </c>
    </row>
    <row r="684" spans="1:17" s="150" customFormat="1" ht="21.5" customHeight="1">
      <c r="A684" s="570" t="s">
        <v>880</v>
      </c>
      <c r="B684" s="949" t="s">
        <v>880</v>
      </c>
      <c r="C684" s="950"/>
      <c r="D684" s="146">
        <v>15</v>
      </c>
      <c r="E684" s="154">
        <v>4</v>
      </c>
      <c r="F684" s="155">
        <v>63774</v>
      </c>
      <c r="G684" s="154">
        <v>60</v>
      </c>
      <c r="H684" s="156">
        <v>666884</v>
      </c>
      <c r="I684" s="330">
        <v>12</v>
      </c>
      <c r="J684" s="331">
        <v>6</v>
      </c>
      <c r="K684" s="420">
        <v>6</v>
      </c>
      <c r="L684" s="440">
        <v>1</v>
      </c>
      <c r="M684" s="249"/>
      <c r="N684" s="249"/>
    </row>
    <row r="685" spans="1:17" ht="18.25" customHeight="1" outlineLevel="2">
      <c r="B685" s="5" t="s">
        <v>475</v>
      </c>
      <c r="C685" s="6" t="s">
        <v>452</v>
      </c>
      <c r="D685" s="7" t="s">
        <v>166</v>
      </c>
      <c r="E685" s="8">
        <v>0</v>
      </c>
      <c r="F685" s="9">
        <v>0</v>
      </c>
      <c r="G685" s="8">
        <v>0</v>
      </c>
      <c r="H685" s="10">
        <v>0</v>
      </c>
      <c r="I685" s="311">
        <v>0</v>
      </c>
      <c r="J685" s="406">
        <v>0</v>
      </c>
      <c r="K685" s="410">
        <v>0</v>
      </c>
      <c r="L685" s="427"/>
    </row>
    <row r="686" spans="1:17" ht="18.25" customHeight="1" outlineLevel="2">
      <c r="B686" s="5" t="s">
        <v>186</v>
      </c>
      <c r="C686" s="6" t="s">
        <v>868</v>
      </c>
      <c r="D686" s="7" t="s">
        <v>26</v>
      </c>
      <c r="E686" s="8">
        <v>0</v>
      </c>
      <c r="F686" s="9">
        <v>0</v>
      </c>
      <c r="G686" s="8">
        <v>2</v>
      </c>
      <c r="H686" s="10">
        <v>19082</v>
      </c>
      <c r="I686" s="311">
        <v>1</v>
      </c>
      <c r="J686" s="406">
        <v>1</v>
      </c>
      <c r="K686" s="410">
        <v>1</v>
      </c>
      <c r="L686" s="427"/>
    </row>
    <row r="687" spans="1:17" ht="18.25" customHeight="1" outlineLevel="2">
      <c r="B687" s="5" t="s">
        <v>186</v>
      </c>
      <c r="C687" s="6" t="s">
        <v>453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1">
        <v>0</v>
      </c>
      <c r="J687" s="406">
        <v>0</v>
      </c>
      <c r="K687" s="410">
        <v>0</v>
      </c>
      <c r="L687" s="427"/>
    </row>
    <row r="688" spans="1:17" ht="18.25" customHeight="1" outlineLevel="2">
      <c r="B688" s="5" t="s">
        <v>186</v>
      </c>
      <c r="C688" s="6" t="s">
        <v>454</v>
      </c>
      <c r="D688" s="7" t="s">
        <v>26</v>
      </c>
      <c r="E688" s="8">
        <v>0</v>
      </c>
      <c r="F688" s="9">
        <v>0</v>
      </c>
      <c r="G688" s="8">
        <v>1</v>
      </c>
      <c r="H688" s="10">
        <v>12973</v>
      </c>
      <c r="I688" s="311">
        <v>1</v>
      </c>
      <c r="J688" s="406">
        <v>1</v>
      </c>
      <c r="K688" s="410">
        <v>0</v>
      </c>
      <c r="L688" s="427"/>
    </row>
    <row r="689" spans="1:17" ht="18.25" customHeight="1" outlineLevel="2">
      <c r="B689" s="5" t="s">
        <v>186</v>
      </c>
      <c r="C689" s="6" t="s">
        <v>457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1">
        <v>0</v>
      </c>
      <c r="J689" s="406">
        <v>0</v>
      </c>
      <c r="K689" s="410">
        <v>0</v>
      </c>
      <c r="L689" s="427"/>
    </row>
    <row r="690" spans="1:17" ht="18.25" customHeight="1" outlineLevel="1">
      <c r="B690" s="12" t="s">
        <v>186</v>
      </c>
      <c r="C690" s="13" t="s">
        <v>452</v>
      </c>
      <c r="D690" s="14">
        <v>5</v>
      </c>
      <c r="E690" s="31">
        <v>0</v>
      </c>
      <c r="F690" s="32">
        <v>0</v>
      </c>
      <c r="G690" s="31">
        <v>3</v>
      </c>
      <c r="H690" s="35">
        <v>32055</v>
      </c>
      <c r="I690" s="326">
        <v>2</v>
      </c>
      <c r="J690" s="327">
        <v>2</v>
      </c>
      <c r="K690" s="418">
        <v>1</v>
      </c>
      <c r="L690" s="438">
        <v>0</v>
      </c>
      <c r="M690" s="1" t="s">
        <v>166</v>
      </c>
    </row>
    <row r="691" spans="1:17" ht="18.25" customHeight="1" outlineLevel="2">
      <c r="B691" s="5" t="s">
        <v>186</v>
      </c>
      <c r="C691" s="39" t="s">
        <v>538</v>
      </c>
      <c r="D691" s="529" t="s">
        <v>713</v>
      </c>
      <c r="E691" s="8">
        <v>0</v>
      </c>
      <c r="F691" s="9">
        <v>0</v>
      </c>
      <c r="G691" s="8">
        <v>0</v>
      </c>
      <c r="H691" s="10">
        <v>0</v>
      </c>
      <c r="I691" s="319"/>
      <c r="J691" s="408"/>
      <c r="K691" s="415"/>
      <c r="L691" s="436"/>
    </row>
    <row r="692" spans="1:17" ht="18.25" customHeight="1" outlineLevel="1">
      <c r="B692" s="12" t="s">
        <v>186</v>
      </c>
      <c r="C692" s="13" t="s">
        <v>483</v>
      </c>
      <c r="D692" s="527"/>
      <c r="E692" s="31">
        <v>0</v>
      </c>
      <c r="F692" s="32">
        <v>0</v>
      </c>
      <c r="G692" s="31">
        <v>0</v>
      </c>
      <c r="H692" s="35">
        <v>0</v>
      </c>
      <c r="I692" s="328"/>
      <c r="J692" s="329"/>
      <c r="K692" s="419"/>
      <c r="L692" s="439"/>
    </row>
    <row r="693" spans="1:17" ht="18.25" customHeight="1" outlineLevel="2">
      <c r="B693" s="5" t="s">
        <v>186</v>
      </c>
      <c r="C693" s="39" t="s">
        <v>289</v>
      </c>
      <c r="D693" s="7" t="s">
        <v>752</v>
      </c>
      <c r="E693" s="8">
        <v>0</v>
      </c>
      <c r="F693" s="9">
        <v>0</v>
      </c>
      <c r="G693" s="8">
        <v>1</v>
      </c>
      <c r="H693" s="10">
        <v>21714</v>
      </c>
      <c r="I693" s="311">
        <v>1</v>
      </c>
      <c r="J693" s="406">
        <v>1</v>
      </c>
      <c r="K693" s="410">
        <v>0</v>
      </c>
      <c r="L693" s="427"/>
    </row>
    <row r="694" spans="1:17" ht="18.25" customHeight="1" outlineLevel="1">
      <c r="B694" s="12" t="s">
        <v>186</v>
      </c>
      <c r="C694" s="13" t="s">
        <v>289</v>
      </c>
      <c r="D694" s="14">
        <v>1</v>
      </c>
      <c r="E694" s="31">
        <v>0</v>
      </c>
      <c r="F694" s="32">
        <v>0</v>
      </c>
      <c r="G694" s="31">
        <v>1</v>
      </c>
      <c r="H694" s="35">
        <v>21714</v>
      </c>
      <c r="I694" s="326">
        <v>1</v>
      </c>
      <c r="J694" s="327">
        <v>1</v>
      </c>
      <c r="K694" s="418">
        <v>0</v>
      </c>
      <c r="L694" s="438">
        <v>0</v>
      </c>
      <c r="M694" s="1" t="s">
        <v>351</v>
      </c>
    </row>
    <row r="695" spans="1:17" ht="18.25" customHeight="1" outlineLevel="2">
      <c r="B695" s="5" t="s">
        <v>186</v>
      </c>
      <c r="C695" s="6" t="s">
        <v>196</v>
      </c>
      <c r="D695" s="7" t="s">
        <v>477</v>
      </c>
      <c r="E695" s="8">
        <v>0</v>
      </c>
      <c r="F695" s="9">
        <v>0</v>
      </c>
      <c r="G695" s="8">
        <v>3</v>
      </c>
      <c r="H695" s="10">
        <v>67647</v>
      </c>
      <c r="I695" s="311">
        <v>1</v>
      </c>
      <c r="J695" s="406">
        <v>1</v>
      </c>
      <c r="K695" s="410">
        <v>1</v>
      </c>
      <c r="L695" s="427"/>
    </row>
    <row r="696" spans="1:17" ht="18.25" customHeight="1" outlineLevel="1">
      <c r="B696" s="12" t="s">
        <v>186</v>
      </c>
      <c r="C696" s="13" t="s">
        <v>175</v>
      </c>
      <c r="D696" s="14">
        <v>1</v>
      </c>
      <c r="E696" s="31">
        <v>0</v>
      </c>
      <c r="F696" s="32">
        <v>0</v>
      </c>
      <c r="G696" s="31">
        <v>3</v>
      </c>
      <c r="H696" s="35">
        <v>67647</v>
      </c>
      <c r="I696" s="326">
        <v>1</v>
      </c>
      <c r="J696" s="327">
        <v>1</v>
      </c>
      <c r="K696" s="418">
        <v>1</v>
      </c>
      <c r="L696" s="438">
        <v>0</v>
      </c>
      <c r="M696" s="1" t="s">
        <v>662</v>
      </c>
    </row>
    <row r="697" spans="1:17" ht="18.25" customHeight="1" outlineLevel="2">
      <c r="B697" s="5" t="s">
        <v>186</v>
      </c>
      <c r="C697" s="39" t="s">
        <v>472</v>
      </c>
      <c r="D697" s="23" t="s">
        <v>219</v>
      </c>
      <c r="E697" s="8">
        <v>0</v>
      </c>
      <c r="F697" s="9">
        <v>0</v>
      </c>
      <c r="G697" s="8">
        <v>1</v>
      </c>
      <c r="H697" s="10">
        <v>12268</v>
      </c>
      <c r="I697" s="311">
        <v>1</v>
      </c>
      <c r="J697" s="406">
        <v>0</v>
      </c>
      <c r="K697" s="410">
        <v>0</v>
      </c>
      <c r="L697" s="427"/>
    </row>
    <row r="698" spans="1:17" ht="18.25" customHeight="1" outlineLevel="2">
      <c r="B698" s="5" t="s">
        <v>186</v>
      </c>
      <c r="C698" s="6" t="s">
        <v>636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11">
        <v>0</v>
      </c>
      <c r="J698" s="406">
        <v>0</v>
      </c>
      <c r="K698" s="410">
        <v>0</v>
      </c>
      <c r="L698" s="427"/>
    </row>
    <row r="699" spans="1:17" ht="18.25" customHeight="1" outlineLevel="2">
      <c r="B699" s="5" t="s">
        <v>186</v>
      </c>
      <c r="C699" s="6" t="s">
        <v>337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1">
        <v>0</v>
      </c>
      <c r="J699" s="406">
        <v>0</v>
      </c>
      <c r="K699" s="410">
        <v>0</v>
      </c>
      <c r="L699" s="427"/>
    </row>
    <row r="700" spans="1:17" s="1" customFormat="1" ht="18.25" customHeight="1" outlineLevel="2">
      <c r="A700" s="571"/>
      <c r="B700" s="5" t="s">
        <v>186</v>
      </c>
      <c r="C700" s="39" t="s">
        <v>376</v>
      </c>
      <c r="D700" s="7" t="s">
        <v>38</v>
      </c>
      <c r="E700" s="8">
        <v>0</v>
      </c>
      <c r="F700" s="9">
        <v>0</v>
      </c>
      <c r="G700" s="8">
        <v>0</v>
      </c>
      <c r="H700" s="10">
        <v>0</v>
      </c>
      <c r="I700" s="311">
        <v>0</v>
      </c>
      <c r="J700" s="406">
        <v>0</v>
      </c>
      <c r="K700" s="410">
        <v>0</v>
      </c>
      <c r="L700" s="427"/>
      <c r="O700"/>
      <c r="P700"/>
      <c r="Q700"/>
    </row>
    <row r="701" spans="1:17" s="1" customFormat="1" ht="18.25" customHeight="1" outlineLevel="1">
      <c r="A701" s="571"/>
      <c r="B701" s="12" t="s">
        <v>186</v>
      </c>
      <c r="C701" s="13" t="s">
        <v>176</v>
      </c>
      <c r="D701" s="14">
        <v>4</v>
      </c>
      <c r="E701" s="31">
        <v>0</v>
      </c>
      <c r="F701" s="32">
        <v>0</v>
      </c>
      <c r="G701" s="31">
        <v>1</v>
      </c>
      <c r="H701" s="35">
        <v>12268</v>
      </c>
      <c r="I701" s="326">
        <v>1</v>
      </c>
      <c r="J701" s="327">
        <v>0</v>
      </c>
      <c r="K701" s="418">
        <v>0</v>
      </c>
      <c r="L701" s="438">
        <v>0</v>
      </c>
      <c r="M701" s="1" t="s">
        <v>50</v>
      </c>
      <c r="O701"/>
      <c r="P701"/>
      <c r="Q701"/>
    </row>
    <row r="702" spans="1:17" s="1" customFormat="1" ht="18.25" customHeight="1" outlineLevel="2">
      <c r="A702" s="571"/>
      <c r="B702" s="5" t="s">
        <v>186</v>
      </c>
      <c r="C702" s="39" t="s">
        <v>309</v>
      </c>
      <c r="D702" s="23" t="s">
        <v>477</v>
      </c>
      <c r="E702" s="8">
        <v>0</v>
      </c>
      <c r="F702" s="9">
        <v>0</v>
      </c>
      <c r="G702" s="8">
        <v>2</v>
      </c>
      <c r="H702" s="10">
        <v>25593</v>
      </c>
      <c r="I702" s="311">
        <v>1</v>
      </c>
      <c r="J702" s="406">
        <v>1</v>
      </c>
      <c r="K702" s="410">
        <v>1</v>
      </c>
      <c r="L702" s="427"/>
      <c r="O702"/>
      <c r="P702"/>
      <c r="Q702"/>
    </row>
    <row r="703" spans="1:17" s="1" customFormat="1" ht="18.25" customHeight="1" outlineLevel="1">
      <c r="A703" s="571"/>
      <c r="B703" s="12" t="s">
        <v>186</v>
      </c>
      <c r="C703" s="13" t="s">
        <v>309</v>
      </c>
      <c r="D703" s="14">
        <v>1</v>
      </c>
      <c r="E703" s="31">
        <v>0</v>
      </c>
      <c r="F703" s="32">
        <v>0</v>
      </c>
      <c r="G703" s="31">
        <v>2</v>
      </c>
      <c r="H703" s="35">
        <v>25593</v>
      </c>
      <c r="I703" s="326">
        <v>1</v>
      </c>
      <c r="J703" s="327">
        <v>1</v>
      </c>
      <c r="K703" s="418">
        <v>1</v>
      </c>
      <c r="L703" s="438">
        <v>0</v>
      </c>
      <c r="M703" s="1" t="s">
        <v>662</v>
      </c>
      <c r="O703"/>
      <c r="P703"/>
      <c r="Q703"/>
    </row>
    <row r="704" spans="1:17" s="1" customFormat="1" ht="18.25" customHeight="1" outlineLevel="2">
      <c r="A704" s="571"/>
      <c r="B704" s="5" t="s">
        <v>186</v>
      </c>
      <c r="C704" s="39" t="s">
        <v>496</v>
      </c>
      <c r="D704" s="23" t="s">
        <v>188</v>
      </c>
      <c r="E704" s="8">
        <v>0</v>
      </c>
      <c r="F704" s="9">
        <v>0</v>
      </c>
      <c r="G704" s="8">
        <v>0</v>
      </c>
      <c r="H704" s="10">
        <v>0</v>
      </c>
      <c r="I704" s="311">
        <v>0</v>
      </c>
      <c r="J704" s="406">
        <v>0</v>
      </c>
      <c r="K704" s="410">
        <v>0</v>
      </c>
      <c r="L704" s="427"/>
      <c r="O704"/>
      <c r="P704"/>
      <c r="Q704"/>
    </row>
    <row r="705" spans="1:17" s="1" customFormat="1" ht="18.25" customHeight="1" outlineLevel="2">
      <c r="A705" s="571"/>
      <c r="B705" s="41" t="s">
        <v>186</v>
      </c>
      <c r="C705" s="39" t="s">
        <v>741</v>
      </c>
      <c r="D705" s="23" t="s">
        <v>38</v>
      </c>
      <c r="E705" s="42">
        <v>1</v>
      </c>
      <c r="F705" s="43">
        <v>5409</v>
      </c>
      <c r="G705" s="42">
        <v>1</v>
      </c>
      <c r="H705" s="44">
        <v>5409</v>
      </c>
      <c r="I705" s="314">
        <v>1</v>
      </c>
      <c r="J705" s="406">
        <v>0</v>
      </c>
      <c r="K705" s="410">
        <v>0</v>
      </c>
      <c r="L705" s="427"/>
      <c r="O705"/>
      <c r="P705"/>
      <c r="Q705"/>
    </row>
    <row r="706" spans="1:17" s="1" customFormat="1" ht="18.25" customHeight="1" outlineLevel="1">
      <c r="A706" s="571"/>
      <c r="B706" s="12" t="s">
        <v>186</v>
      </c>
      <c r="C706" s="13" t="s">
        <v>496</v>
      </c>
      <c r="D706" s="14">
        <v>2</v>
      </c>
      <c r="E706" s="31">
        <v>1</v>
      </c>
      <c r="F706" s="32">
        <v>5409</v>
      </c>
      <c r="G706" s="31">
        <v>1</v>
      </c>
      <c r="H706" s="35">
        <v>5409</v>
      </c>
      <c r="I706" s="326">
        <v>1</v>
      </c>
      <c r="J706" s="327">
        <v>0</v>
      </c>
      <c r="K706" s="418">
        <v>0</v>
      </c>
      <c r="L706" s="438">
        <v>0</v>
      </c>
      <c r="M706" s="1" t="s">
        <v>168</v>
      </c>
      <c r="O706"/>
      <c r="P706"/>
      <c r="Q706"/>
    </row>
    <row r="707" spans="1:17" s="1" customFormat="1" ht="18.25" customHeight="1" outlineLevel="2">
      <c r="A707" s="571"/>
      <c r="B707" s="5" t="s">
        <v>186</v>
      </c>
      <c r="C707" s="6" t="s">
        <v>220</v>
      </c>
      <c r="D707" s="7" t="s">
        <v>219</v>
      </c>
      <c r="E707" s="8">
        <v>1</v>
      </c>
      <c r="F707" s="9">
        <v>47088</v>
      </c>
      <c r="G707" s="8">
        <v>1</v>
      </c>
      <c r="H707" s="10">
        <v>47088</v>
      </c>
      <c r="I707" s="311">
        <v>1</v>
      </c>
      <c r="J707" s="406">
        <v>1</v>
      </c>
      <c r="K707" s="410">
        <v>1</v>
      </c>
      <c r="L707" s="427"/>
      <c r="O707"/>
      <c r="P707"/>
      <c r="Q707"/>
    </row>
    <row r="708" spans="1:17" s="1" customFormat="1" ht="18.25" customHeight="1" outlineLevel="2">
      <c r="A708" s="571"/>
      <c r="B708" s="41" t="s">
        <v>186</v>
      </c>
      <c r="C708" s="39" t="s">
        <v>369</v>
      </c>
      <c r="D708" s="23" t="s">
        <v>38</v>
      </c>
      <c r="E708" s="42">
        <v>0</v>
      </c>
      <c r="F708" s="43">
        <v>0</v>
      </c>
      <c r="G708" s="42">
        <v>0</v>
      </c>
      <c r="H708" s="44">
        <v>0</v>
      </c>
      <c r="I708" s="314">
        <v>0</v>
      </c>
      <c r="J708" s="406">
        <v>0</v>
      </c>
      <c r="K708" s="410">
        <v>0</v>
      </c>
      <c r="L708" s="427"/>
      <c r="O708"/>
      <c r="P708"/>
      <c r="Q708"/>
    </row>
    <row r="709" spans="1:17" s="1" customFormat="1" ht="18.25" customHeight="1" outlineLevel="1">
      <c r="A709" s="571"/>
      <c r="B709" s="12" t="s">
        <v>186</v>
      </c>
      <c r="C709" s="13" t="s">
        <v>233</v>
      </c>
      <c r="D709" s="14">
        <v>2</v>
      </c>
      <c r="E709" s="31">
        <v>1</v>
      </c>
      <c r="F709" s="32">
        <v>47088</v>
      </c>
      <c r="G709" s="31">
        <v>1</v>
      </c>
      <c r="H709" s="35">
        <v>47088</v>
      </c>
      <c r="I709" s="326">
        <v>1</v>
      </c>
      <c r="J709" s="327">
        <v>1</v>
      </c>
      <c r="K709" s="418">
        <v>1</v>
      </c>
      <c r="L709" s="438">
        <v>0</v>
      </c>
      <c r="M709" s="1" t="s">
        <v>50</v>
      </c>
      <c r="O709"/>
      <c r="P709"/>
      <c r="Q709"/>
    </row>
    <row r="710" spans="1:17" s="1" customFormat="1" ht="18" customHeight="1" outlineLevel="2">
      <c r="A710" s="571"/>
      <c r="B710" s="5" t="s">
        <v>186</v>
      </c>
      <c r="C710" s="6" t="s">
        <v>173</v>
      </c>
      <c r="D710" s="19" t="s">
        <v>39</v>
      </c>
      <c r="E710" s="8">
        <v>0</v>
      </c>
      <c r="F710" s="9">
        <v>0</v>
      </c>
      <c r="G710" s="8">
        <v>2</v>
      </c>
      <c r="H710" s="10">
        <v>5726</v>
      </c>
      <c r="I710" s="311">
        <v>1</v>
      </c>
      <c r="J710" s="406">
        <v>0</v>
      </c>
      <c r="K710" s="410">
        <v>0</v>
      </c>
      <c r="L710" s="427"/>
      <c r="O710"/>
      <c r="P710"/>
      <c r="Q710"/>
    </row>
    <row r="711" spans="1:17" s="1" customFormat="1" ht="18.25" customHeight="1" outlineLevel="2">
      <c r="A711" s="571"/>
      <c r="B711" s="5" t="s">
        <v>186</v>
      </c>
      <c r="C711" s="39" t="s">
        <v>789</v>
      </c>
      <c r="D711" s="7" t="s">
        <v>38</v>
      </c>
      <c r="E711" s="8">
        <v>0</v>
      </c>
      <c r="F711" s="9">
        <v>0</v>
      </c>
      <c r="G711" s="8">
        <v>5</v>
      </c>
      <c r="H711" s="10">
        <v>54285</v>
      </c>
      <c r="I711" s="311">
        <v>1</v>
      </c>
      <c r="J711" s="406">
        <v>1</v>
      </c>
      <c r="K711" s="410">
        <v>1</v>
      </c>
      <c r="L711" s="427"/>
      <c r="O711"/>
      <c r="P711"/>
      <c r="Q711"/>
    </row>
    <row r="712" spans="1:17" s="1" customFormat="1" ht="18.25" customHeight="1" outlineLevel="2">
      <c r="A712" s="571"/>
      <c r="B712" s="5" t="s">
        <v>186</v>
      </c>
      <c r="C712" s="39" t="s">
        <v>712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1">
        <v>0</v>
      </c>
      <c r="J712" s="406">
        <v>0</v>
      </c>
      <c r="K712" s="410">
        <v>0</v>
      </c>
      <c r="L712" s="427"/>
      <c r="O712"/>
      <c r="P712"/>
      <c r="Q712"/>
    </row>
    <row r="713" spans="1:17" s="1" customFormat="1" ht="18.25" customHeight="1" outlineLevel="2">
      <c r="A713" s="571"/>
      <c r="B713" s="5" t="s">
        <v>186</v>
      </c>
      <c r="C713" s="39" t="s">
        <v>698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1">
        <v>0</v>
      </c>
      <c r="J713" s="406">
        <v>0</v>
      </c>
      <c r="K713" s="410">
        <v>0</v>
      </c>
      <c r="L713" s="427"/>
      <c r="O713"/>
      <c r="P713"/>
      <c r="Q713"/>
    </row>
    <row r="714" spans="1:17" s="1" customFormat="1" ht="18.25" customHeight="1" outlineLevel="1">
      <c r="A714" s="571"/>
      <c r="B714" s="12" t="s">
        <v>186</v>
      </c>
      <c r="C714" s="13" t="s">
        <v>174</v>
      </c>
      <c r="D714" s="14">
        <v>4</v>
      </c>
      <c r="E714" s="31">
        <v>0</v>
      </c>
      <c r="F714" s="32">
        <v>0</v>
      </c>
      <c r="G714" s="31">
        <v>7</v>
      </c>
      <c r="H714" s="35">
        <v>60011</v>
      </c>
      <c r="I714" s="326">
        <v>2</v>
      </c>
      <c r="J714" s="327">
        <v>1</v>
      </c>
      <c r="K714" s="418">
        <v>1</v>
      </c>
      <c r="L714" s="438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71"/>
      <c r="B715" s="41" t="s">
        <v>186</v>
      </c>
      <c r="C715" s="75" t="s">
        <v>905</v>
      </c>
      <c r="D715" s="45"/>
      <c r="E715" s="8">
        <v>1</v>
      </c>
      <c r="F715" s="9">
        <v>1223</v>
      </c>
      <c r="G715" s="8">
        <v>3</v>
      </c>
      <c r="H715" s="10">
        <v>9299</v>
      </c>
      <c r="I715" s="319"/>
      <c r="J715" s="408"/>
      <c r="K715" s="415"/>
      <c r="L715" s="427"/>
      <c r="O715"/>
      <c r="P715"/>
      <c r="Q715"/>
    </row>
    <row r="716" spans="1:17" ht="18.25" customHeight="1" outlineLevel="1">
      <c r="B716" s="12" t="s">
        <v>186</v>
      </c>
      <c r="C716" s="13" t="s">
        <v>639</v>
      </c>
      <c r="D716" s="14">
        <v>0</v>
      </c>
      <c r="E716" s="31">
        <v>1</v>
      </c>
      <c r="F716" s="32">
        <v>1223</v>
      </c>
      <c r="G716" s="31">
        <v>3</v>
      </c>
      <c r="H716" s="35">
        <v>9299</v>
      </c>
      <c r="I716" s="326">
        <v>0</v>
      </c>
      <c r="J716" s="327">
        <v>0</v>
      </c>
      <c r="K716" s="418">
        <v>0</v>
      </c>
      <c r="L716" s="438">
        <v>0</v>
      </c>
      <c r="M716" s="1" t="s">
        <v>168</v>
      </c>
    </row>
    <row r="717" spans="1:17" ht="18.25" customHeight="1" outlineLevel="2">
      <c r="B717" s="41" t="s">
        <v>186</v>
      </c>
      <c r="C717" s="39" t="s">
        <v>486</v>
      </c>
      <c r="D717" s="23" t="s">
        <v>365</v>
      </c>
      <c r="E717" s="8">
        <v>0</v>
      </c>
      <c r="F717" s="9">
        <v>0</v>
      </c>
      <c r="G717" s="8">
        <v>0</v>
      </c>
      <c r="H717" s="10">
        <v>0</v>
      </c>
      <c r="I717" s="311">
        <v>0</v>
      </c>
      <c r="J717" s="406">
        <v>0</v>
      </c>
      <c r="K717" s="410">
        <v>0</v>
      </c>
      <c r="L717" s="427"/>
    </row>
    <row r="718" spans="1:17" ht="18.25" customHeight="1" outlineLevel="1">
      <c r="B718" s="12" t="s">
        <v>186</v>
      </c>
      <c r="C718" s="13" t="s">
        <v>486</v>
      </c>
      <c r="D718" s="14">
        <v>1</v>
      </c>
      <c r="E718" s="31">
        <v>0</v>
      </c>
      <c r="F718" s="32">
        <v>0</v>
      </c>
      <c r="G718" s="31">
        <v>0</v>
      </c>
      <c r="H718" s="35">
        <v>0</v>
      </c>
      <c r="I718" s="326">
        <v>0</v>
      </c>
      <c r="J718" s="327">
        <v>0</v>
      </c>
      <c r="K718" s="418">
        <v>0</v>
      </c>
      <c r="L718" s="438">
        <v>0</v>
      </c>
      <c r="M718" s="1" t="s">
        <v>663</v>
      </c>
    </row>
    <row r="719" spans="1:17" ht="18.25" customHeight="1" outlineLevel="2">
      <c r="B719" s="5" t="s">
        <v>186</v>
      </c>
      <c r="C719" s="39" t="s">
        <v>478</v>
      </c>
      <c r="D719" s="7" t="s">
        <v>477</v>
      </c>
      <c r="E719" s="8">
        <v>2</v>
      </c>
      <c r="F719" s="9">
        <v>12746</v>
      </c>
      <c r="G719" s="8">
        <v>5</v>
      </c>
      <c r="H719" s="10">
        <v>45231</v>
      </c>
      <c r="I719" s="311">
        <v>1</v>
      </c>
      <c r="J719" s="406">
        <v>1</v>
      </c>
      <c r="K719" s="410">
        <v>1</v>
      </c>
      <c r="L719" s="427"/>
    </row>
    <row r="720" spans="1:17" ht="18.25" customHeight="1" outlineLevel="1">
      <c r="B720" s="12" t="s">
        <v>186</v>
      </c>
      <c r="C720" s="13" t="s">
        <v>499</v>
      </c>
      <c r="D720" s="14">
        <v>1</v>
      </c>
      <c r="E720" s="31">
        <v>2</v>
      </c>
      <c r="F720" s="32">
        <v>12746</v>
      </c>
      <c r="G720" s="31">
        <v>5</v>
      </c>
      <c r="H720" s="35">
        <v>45231</v>
      </c>
      <c r="I720" s="326">
        <v>1</v>
      </c>
      <c r="J720" s="327">
        <v>1</v>
      </c>
      <c r="K720" s="418">
        <v>1</v>
      </c>
      <c r="L720" s="438">
        <v>0</v>
      </c>
      <c r="M720" s="1" t="s">
        <v>662</v>
      </c>
    </row>
    <row r="721" spans="1:14" ht="18.25" customHeight="1" outlineLevel="2">
      <c r="B721" s="41" t="s">
        <v>186</v>
      </c>
      <c r="C721" s="39" t="s">
        <v>229</v>
      </c>
      <c r="D721" s="23" t="s">
        <v>188</v>
      </c>
      <c r="E721" s="8">
        <v>0</v>
      </c>
      <c r="F721" s="9">
        <v>0</v>
      </c>
      <c r="G721" s="8">
        <v>0</v>
      </c>
      <c r="H721" s="10">
        <v>0</v>
      </c>
      <c r="I721" s="311">
        <v>0</v>
      </c>
      <c r="J721" s="406">
        <v>0</v>
      </c>
      <c r="K721" s="410">
        <v>0</v>
      </c>
      <c r="L721" s="427"/>
    </row>
    <row r="722" spans="1:14" ht="18.25" customHeight="1" outlineLevel="2">
      <c r="B722" s="53" t="s">
        <v>186</v>
      </c>
      <c r="C722" s="39" t="s">
        <v>361</v>
      </c>
      <c r="D722" s="7" t="s">
        <v>26</v>
      </c>
      <c r="E722" s="59">
        <v>0</v>
      </c>
      <c r="F722" s="60">
        <v>0</v>
      </c>
      <c r="G722" s="59">
        <v>1</v>
      </c>
      <c r="H722" s="77">
        <v>7816</v>
      </c>
      <c r="I722" s="320">
        <v>1</v>
      </c>
      <c r="J722" s="406">
        <v>0</v>
      </c>
      <c r="K722" s="410">
        <v>0</v>
      </c>
      <c r="L722" s="427"/>
    </row>
    <row r="723" spans="1:14" ht="18.25" customHeight="1" outlineLevel="1">
      <c r="B723" s="12" t="s">
        <v>186</v>
      </c>
      <c r="C723" s="13" t="s">
        <v>480</v>
      </c>
      <c r="D723" s="14">
        <v>2</v>
      </c>
      <c r="E723" s="31">
        <v>0</v>
      </c>
      <c r="F723" s="32">
        <v>0</v>
      </c>
      <c r="G723" s="31">
        <v>1</v>
      </c>
      <c r="H723" s="35">
        <v>7816</v>
      </c>
      <c r="I723" s="326">
        <v>1</v>
      </c>
      <c r="J723" s="327">
        <v>0</v>
      </c>
      <c r="K723" s="418">
        <v>0</v>
      </c>
      <c r="L723" s="438">
        <v>0</v>
      </c>
      <c r="M723" s="1" t="s">
        <v>168</v>
      </c>
    </row>
    <row r="724" spans="1:14" ht="18.25" customHeight="1" outlineLevel="2">
      <c r="B724" s="54" t="s">
        <v>186</v>
      </c>
      <c r="C724" s="56" t="s">
        <v>455</v>
      </c>
      <c r="D724" s="7" t="s">
        <v>752</v>
      </c>
      <c r="E724" s="59">
        <v>0</v>
      </c>
      <c r="F724" s="60">
        <v>0</v>
      </c>
      <c r="G724" s="59">
        <v>1</v>
      </c>
      <c r="H724" s="77">
        <v>63507</v>
      </c>
      <c r="I724" s="320">
        <v>1</v>
      </c>
      <c r="J724" s="406">
        <v>1</v>
      </c>
      <c r="K724" s="410">
        <v>1</v>
      </c>
      <c r="L724" s="427"/>
    </row>
    <row r="725" spans="1:14" s="66" customFormat="1" ht="18.25" customHeight="1" outlineLevel="1">
      <c r="A725" s="572"/>
      <c r="B725" s="68" t="s">
        <v>186</v>
      </c>
      <c r="C725" s="62" t="s">
        <v>455</v>
      </c>
      <c r="D725" s="26">
        <v>1</v>
      </c>
      <c r="E725" s="70">
        <v>0</v>
      </c>
      <c r="F725" s="71">
        <v>0</v>
      </c>
      <c r="G725" s="70">
        <v>1</v>
      </c>
      <c r="H725" s="78">
        <v>63507</v>
      </c>
      <c r="I725" s="321">
        <v>1</v>
      </c>
      <c r="J725" s="322">
        <v>1</v>
      </c>
      <c r="K725" s="323">
        <v>1</v>
      </c>
      <c r="L725" s="435">
        <v>0</v>
      </c>
      <c r="M725" s="250" t="s">
        <v>351</v>
      </c>
      <c r="N725" s="250"/>
    </row>
    <row r="726" spans="1:14" ht="18.25" customHeight="1" outlineLevel="2">
      <c r="B726" s="54" t="s">
        <v>186</v>
      </c>
      <c r="C726" s="56" t="s">
        <v>456</v>
      </c>
      <c r="D726" s="23" t="s">
        <v>477</v>
      </c>
      <c r="E726" s="59">
        <v>0</v>
      </c>
      <c r="F726" s="60">
        <v>0</v>
      </c>
      <c r="G726" s="59">
        <v>0</v>
      </c>
      <c r="H726" s="77">
        <v>0</v>
      </c>
      <c r="I726" s="320">
        <v>0</v>
      </c>
      <c r="J726" s="406">
        <v>0</v>
      </c>
      <c r="K726" s="410">
        <v>0</v>
      </c>
      <c r="L726" s="427"/>
    </row>
    <row r="727" spans="1:14" s="66" customFormat="1" ht="18.25" customHeight="1" outlineLevel="1">
      <c r="A727" s="572"/>
      <c r="B727" s="68" t="s">
        <v>186</v>
      </c>
      <c r="C727" s="62" t="s">
        <v>456</v>
      </c>
      <c r="D727" s="26">
        <v>1</v>
      </c>
      <c r="E727" s="70">
        <v>0</v>
      </c>
      <c r="F727" s="71">
        <v>0</v>
      </c>
      <c r="G727" s="70">
        <v>0</v>
      </c>
      <c r="H727" s="78">
        <v>0</v>
      </c>
      <c r="I727" s="321">
        <v>0</v>
      </c>
      <c r="J727" s="322">
        <v>0</v>
      </c>
      <c r="K727" s="323">
        <v>0</v>
      </c>
      <c r="L727" s="435">
        <v>0</v>
      </c>
      <c r="M727" s="250" t="s">
        <v>662</v>
      </c>
      <c r="N727" s="250"/>
    </row>
    <row r="728" spans="1:14" ht="18.25" customHeight="1" outlineLevel="2">
      <c r="B728" s="53" t="s">
        <v>186</v>
      </c>
      <c r="C728" s="55" t="s">
        <v>448</v>
      </c>
      <c r="D728" s="7" t="s">
        <v>219</v>
      </c>
      <c r="E728" s="59">
        <v>0</v>
      </c>
      <c r="F728" s="60">
        <v>0</v>
      </c>
      <c r="G728" s="59">
        <v>0</v>
      </c>
      <c r="H728" s="77">
        <v>0</v>
      </c>
      <c r="I728" s="320">
        <v>0</v>
      </c>
      <c r="J728" s="406">
        <v>0</v>
      </c>
      <c r="K728" s="410">
        <v>0</v>
      </c>
      <c r="L728" s="427"/>
    </row>
    <row r="729" spans="1:14" ht="18.25" customHeight="1" outlineLevel="2">
      <c r="B729" s="53" t="s">
        <v>186</v>
      </c>
      <c r="C729" s="56" t="s">
        <v>813</v>
      </c>
      <c r="D729" s="7" t="s">
        <v>26</v>
      </c>
      <c r="E729" s="59">
        <v>0</v>
      </c>
      <c r="F729" s="60">
        <v>0</v>
      </c>
      <c r="G729" s="59">
        <v>0</v>
      </c>
      <c r="H729" s="77">
        <v>0</v>
      </c>
      <c r="I729" s="320">
        <v>0</v>
      </c>
      <c r="J729" s="406">
        <v>0</v>
      </c>
      <c r="K729" s="410">
        <v>0</v>
      </c>
      <c r="L729" s="427"/>
    </row>
    <row r="730" spans="1:14" ht="18.25" customHeight="1" outlineLevel="2">
      <c r="B730" s="53" t="s">
        <v>186</v>
      </c>
      <c r="C730" s="56" t="s">
        <v>449</v>
      </c>
      <c r="D730" s="7" t="s">
        <v>26</v>
      </c>
      <c r="E730" s="59">
        <v>0</v>
      </c>
      <c r="F730" s="60">
        <v>0</v>
      </c>
      <c r="G730" s="59">
        <v>3</v>
      </c>
      <c r="H730" s="77">
        <v>59536</v>
      </c>
      <c r="I730" s="320">
        <v>1</v>
      </c>
      <c r="J730" s="406">
        <v>1</v>
      </c>
      <c r="K730" s="410">
        <v>1</v>
      </c>
      <c r="L730" s="427"/>
    </row>
    <row r="731" spans="1:14" s="66" customFormat="1" ht="18.25" customHeight="1" outlineLevel="1">
      <c r="A731" s="572"/>
      <c r="B731" s="68" t="s">
        <v>186</v>
      </c>
      <c r="C731" s="62" t="s">
        <v>448</v>
      </c>
      <c r="D731" s="26">
        <v>3</v>
      </c>
      <c r="E731" s="70">
        <v>0</v>
      </c>
      <c r="F731" s="71">
        <v>0</v>
      </c>
      <c r="G731" s="70">
        <v>3</v>
      </c>
      <c r="H731" s="78">
        <v>59536</v>
      </c>
      <c r="I731" s="321">
        <v>1</v>
      </c>
      <c r="J731" s="322">
        <v>1</v>
      </c>
      <c r="K731" s="323">
        <v>1</v>
      </c>
      <c r="L731" s="435">
        <v>0</v>
      </c>
      <c r="M731" s="250" t="s">
        <v>50</v>
      </c>
      <c r="N731" s="250"/>
    </row>
    <row r="732" spans="1:14" ht="18.25" customHeight="1" outlineLevel="2">
      <c r="B732" s="54" t="s">
        <v>186</v>
      </c>
      <c r="C732" s="55" t="s">
        <v>450</v>
      </c>
      <c r="D732" s="23" t="s">
        <v>238</v>
      </c>
      <c r="E732" s="59">
        <v>0</v>
      </c>
      <c r="F732" s="60">
        <v>0</v>
      </c>
      <c r="G732" s="59">
        <v>0</v>
      </c>
      <c r="H732" s="77">
        <v>0</v>
      </c>
      <c r="I732" s="320">
        <v>0</v>
      </c>
      <c r="J732" s="406">
        <v>0</v>
      </c>
      <c r="K732" s="410">
        <v>0</v>
      </c>
      <c r="L732" s="427"/>
    </row>
    <row r="733" spans="1:14" ht="18.25" customHeight="1" outlineLevel="2">
      <c r="B733" s="54" t="s">
        <v>186</v>
      </c>
      <c r="C733" s="55" t="s">
        <v>465</v>
      </c>
      <c r="D733" s="7" t="s">
        <v>26</v>
      </c>
      <c r="E733" s="59">
        <v>0</v>
      </c>
      <c r="F733" s="60">
        <v>0</v>
      </c>
      <c r="G733" s="59">
        <v>0</v>
      </c>
      <c r="H733" s="77">
        <v>0</v>
      </c>
      <c r="I733" s="320">
        <v>0</v>
      </c>
      <c r="J733" s="406">
        <v>0</v>
      </c>
      <c r="K733" s="410">
        <v>0</v>
      </c>
      <c r="L733" s="427"/>
    </row>
    <row r="734" spans="1:14" ht="18.25" customHeight="1" outlineLevel="2">
      <c r="B734" s="54" t="s">
        <v>186</v>
      </c>
      <c r="C734" s="55" t="s">
        <v>451</v>
      </c>
      <c r="D734" s="7" t="s">
        <v>26</v>
      </c>
      <c r="E734" s="59">
        <v>0</v>
      </c>
      <c r="F734" s="60">
        <v>0</v>
      </c>
      <c r="G734" s="59">
        <v>0</v>
      </c>
      <c r="H734" s="77">
        <v>0</v>
      </c>
      <c r="I734" s="320">
        <v>0</v>
      </c>
      <c r="J734" s="406">
        <v>0</v>
      </c>
      <c r="K734" s="410">
        <v>0</v>
      </c>
      <c r="L734" s="427"/>
    </row>
    <row r="735" spans="1:14" s="66" customFormat="1" ht="18.25" customHeight="1" outlineLevel="1">
      <c r="A735" s="572"/>
      <c r="B735" s="68" t="s">
        <v>186</v>
      </c>
      <c r="C735" s="62" t="s">
        <v>450</v>
      </c>
      <c r="D735" s="26">
        <v>3</v>
      </c>
      <c r="E735" s="70">
        <v>0</v>
      </c>
      <c r="F735" s="71">
        <v>0</v>
      </c>
      <c r="G735" s="70">
        <v>0</v>
      </c>
      <c r="H735" s="78">
        <v>0</v>
      </c>
      <c r="I735" s="321">
        <v>0</v>
      </c>
      <c r="J735" s="322">
        <v>0</v>
      </c>
      <c r="K735" s="323">
        <v>0</v>
      </c>
      <c r="L735" s="435">
        <v>0</v>
      </c>
      <c r="M735" s="250" t="s">
        <v>170</v>
      </c>
      <c r="N735" s="250"/>
    </row>
    <row r="736" spans="1:14" s="150" customFormat="1" ht="18.25" customHeight="1">
      <c r="A736" s="570" t="s">
        <v>835</v>
      </c>
      <c r="B736" s="949" t="s">
        <v>325</v>
      </c>
      <c r="C736" s="950"/>
      <c r="D736" s="146">
        <v>32</v>
      </c>
      <c r="E736" s="157">
        <v>5</v>
      </c>
      <c r="F736" s="155">
        <v>66466</v>
      </c>
      <c r="G736" s="353">
        <v>32</v>
      </c>
      <c r="H736" s="354">
        <v>457174</v>
      </c>
      <c r="I736" s="355">
        <v>14</v>
      </c>
      <c r="J736" s="356">
        <v>10</v>
      </c>
      <c r="K736" s="420">
        <v>8</v>
      </c>
      <c r="L736" s="440">
        <v>0</v>
      </c>
      <c r="M736" s="249"/>
      <c r="N736" s="249"/>
    </row>
    <row r="737" spans="1:14" ht="18.25" customHeight="1" outlineLevel="2">
      <c r="B737" s="53" t="s">
        <v>383</v>
      </c>
      <c r="C737" s="55" t="s">
        <v>384</v>
      </c>
      <c r="D737" s="7" t="s">
        <v>182</v>
      </c>
      <c r="E737" s="59">
        <v>0</v>
      </c>
      <c r="F737" s="60">
        <v>0</v>
      </c>
      <c r="G737" s="59">
        <v>1</v>
      </c>
      <c r="H737" s="77">
        <v>8736</v>
      </c>
      <c r="I737" s="320">
        <v>1</v>
      </c>
      <c r="J737" s="406">
        <v>0</v>
      </c>
      <c r="K737" s="410">
        <v>0</v>
      </c>
      <c r="L737" s="427"/>
    </row>
    <row r="738" spans="1:14" ht="18.25" customHeight="1" outlineLevel="2">
      <c r="B738" s="54" t="s">
        <v>383</v>
      </c>
      <c r="C738" s="55" t="s">
        <v>400</v>
      </c>
      <c r="D738" s="7" t="s">
        <v>180</v>
      </c>
      <c r="E738" s="59">
        <v>0</v>
      </c>
      <c r="F738" s="60">
        <v>0</v>
      </c>
      <c r="G738" s="59">
        <v>0</v>
      </c>
      <c r="H738" s="77">
        <v>0</v>
      </c>
      <c r="I738" s="320">
        <v>0</v>
      </c>
      <c r="J738" s="406">
        <v>0</v>
      </c>
      <c r="K738" s="410">
        <v>0</v>
      </c>
      <c r="L738" s="427"/>
    </row>
    <row r="739" spans="1:14" ht="18.25" customHeight="1" outlineLevel="2">
      <c r="B739" s="54" t="s">
        <v>383</v>
      </c>
      <c r="C739" s="55" t="s">
        <v>620</v>
      </c>
      <c r="D739" s="7" t="s">
        <v>187</v>
      </c>
      <c r="E739" s="57">
        <v>0</v>
      </c>
      <c r="F739" s="58">
        <v>0</v>
      </c>
      <c r="G739" s="57">
        <v>2</v>
      </c>
      <c r="H739" s="79">
        <v>21711</v>
      </c>
      <c r="I739" s="332">
        <v>1</v>
      </c>
      <c r="J739" s="406">
        <v>1</v>
      </c>
      <c r="K739" s="410">
        <v>0</v>
      </c>
      <c r="L739" s="427"/>
    </row>
    <row r="740" spans="1:14" ht="18.25" customHeight="1" outlineLevel="2">
      <c r="B740" s="54" t="s">
        <v>383</v>
      </c>
      <c r="C740" s="55" t="s">
        <v>391</v>
      </c>
      <c r="D740" s="7" t="s">
        <v>187</v>
      </c>
      <c r="E740" s="57">
        <v>0</v>
      </c>
      <c r="F740" s="58">
        <v>0</v>
      </c>
      <c r="G740" s="57">
        <v>0</v>
      </c>
      <c r="H740" s="79">
        <v>0</v>
      </c>
      <c r="I740" s="332">
        <v>0</v>
      </c>
      <c r="J740" s="406">
        <v>0</v>
      </c>
      <c r="K740" s="410">
        <v>0</v>
      </c>
      <c r="L740" s="427"/>
    </row>
    <row r="741" spans="1:14" ht="18.25" customHeight="1" outlineLevel="2">
      <c r="B741" s="54" t="s">
        <v>383</v>
      </c>
      <c r="C741" s="55" t="s">
        <v>392</v>
      </c>
      <c r="D741" s="7" t="s">
        <v>180</v>
      </c>
      <c r="E741" s="57">
        <v>0</v>
      </c>
      <c r="F741" s="58">
        <v>0</v>
      </c>
      <c r="G741" s="57">
        <v>2</v>
      </c>
      <c r="H741" s="79">
        <v>69574</v>
      </c>
      <c r="I741" s="332">
        <v>1</v>
      </c>
      <c r="J741" s="406">
        <v>1</v>
      </c>
      <c r="K741" s="410">
        <v>1</v>
      </c>
      <c r="L741" s="427"/>
    </row>
    <row r="742" spans="1:14" ht="18.25" customHeight="1" outlineLevel="2">
      <c r="B742" s="54" t="s">
        <v>383</v>
      </c>
      <c r="C742" s="55" t="s">
        <v>393</v>
      </c>
      <c r="D742" s="7" t="s">
        <v>180</v>
      </c>
      <c r="E742" s="57">
        <v>0</v>
      </c>
      <c r="F742" s="58">
        <v>0</v>
      </c>
      <c r="G742" s="57">
        <v>0</v>
      </c>
      <c r="H742" s="79">
        <v>0</v>
      </c>
      <c r="I742" s="332">
        <v>0</v>
      </c>
      <c r="J742" s="406">
        <v>0</v>
      </c>
      <c r="K742" s="410">
        <v>0</v>
      </c>
      <c r="L742" s="427"/>
    </row>
    <row r="743" spans="1:14" s="66" customFormat="1" ht="18.25" customHeight="1" outlineLevel="1">
      <c r="A743" s="572"/>
      <c r="B743" s="68" t="s">
        <v>383</v>
      </c>
      <c r="C743" s="62" t="s">
        <v>384</v>
      </c>
      <c r="D743" s="26">
        <v>6</v>
      </c>
      <c r="E743" s="70">
        <v>0</v>
      </c>
      <c r="F743" s="71">
        <v>0</v>
      </c>
      <c r="G743" s="70">
        <v>5</v>
      </c>
      <c r="H743" s="78">
        <v>100021</v>
      </c>
      <c r="I743" s="321">
        <v>3</v>
      </c>
      <c r="J743" s="322">
        <v>2</v>
      </c>
      <c r="K743" s="323">
        <v>1</v>
      </c>
      <c r="L743" s="435">
        <v>0</v>
      </c>
      <c r="M743" s="250" t="s">
        <v>166</v>
      </c>
      <c r="N743" s="250"/>
    </row>
    <row r="744" spans="1:14" ht="18.25" customHeight="1" outlineLevel="2">
      <c r="B744" s="53" t="s">
        <v>383</v>
      </c>
      <c r="C744" s="55" t="s">
        <v>399</v>
      </c>
      <c r="D744" s="7" t="s">
        <v>365</v>
      </c>
      <c r="E744" s="59">
        <v>0</v>
      </c>
      <c r="F744" s="60">
        <v>0</v>
      </c>
      <c r="G744" s="59">
        <v>2</v>
      </c>
      <c r="H744" s="77">
        <v>65811</v>
      </c>
      <c r="I744" s="320">
        <v>1</v>
      </c>
      <c r="J744" s="406">
        <v>1</v>
      </c>
      <c r="K744" s="410">
        <v>1</v>
      </c>
      <c r="L744" s="427"/>
    </row>
    <row r="745" spans="1:14" s="66" customFormat="1" ht="18.25" customHeight="1" outlineLevel="1">
      <c r="A745" s="572"/>
      <c r="B745" s="68" t="s">
        <v>383</v>
      </c>
      <c r="C745" s="62" t="s">
        <v>399</v>
      </c>
      <c r="D745" s="26">
        <v>1</v>
      </c>
      <c r="E745" s="70">
        <v>0</v>
      </c>
      <c r="F745" s="71">
        <v>0</v>
      </c>
      <c r="G745" s="70">
        <v>2</v>
      </c>
      <c r="H745" s="78">
        <v>65811</v>
      </c>
      <c r="I745" s="321">
        <v>1</v>
      </c>
      <c r="J745" s="322">
        <v>1</v>
      </c>
      <c r="K745" s="323">
        <v>1</v>
      </c>
      <c r="L745" s="435">
        <v>0</v>
      </c>
      <c r="M745" s="250" t="s">
        <v>663</v>
      </c>
      <c r="N745" s="250"/>
    </row>
    <row r="746" spans="1:14" ht="18.25" customHeight="1" outlineLevel="2">
      <c r="B746" s="54" t="s">
        <v>383</v>
      </c>
      <c r="C746" s="55" t="s">
        <v>385</v>
      </c>
      <c r="D746" s="7" t="s">
        <v>219</v>
      </c>
      <c r="E746" s="57">
        <v>0</v>
      </c>
      <c r="F746" s="58">
        <v>0</v>
      </c>
      <c r="G746" s="57">
        <v>16.5</v>
      </c>
      <c r="H746" s="79">
        <v>349654</v>
      </c>
      <c r="I746" s="332">
        <v>1</v>
      </c>
      <c r="J746" s="406">
        <v>1</v>
      </c>
      <c r="K746" s="410">
        <v>1</v>
      </c>
      <c r="L746" s="427"/>
    </row>
    <row r="747" spans="1:14" ht="18.25" customHeight="1" outlineLevel="2">
      <c r="B747" s="54" t="s">
        <v>383</v>
      </c>
      <c r="C747" s="55" t="s">
        <v>773</v>
      </c>
      <c r="D747" s="7" t="s">
        <v>180</v>
      </c>
      <c r="E747" s="57">
        <v>0</v>
      </c>
      <c r="F747" s="58">
        <v>0</v>
      </c>
      <c r="G747" s="57">
        <v>0</v>
      </c>
      <c r="H747" s="79">
        <v>0</v>
      </c>
      <c r="I747" s="332">
        <v>0</v>
      </c>
      <c r="J747" s="406">
        <v>0</v>
      </c>
      <c r="K747" s="410">
        <v>0</v>
      </c>
      <c r="L747" s="427"/>
    </row>
    <row r="748" spans="1:14" ht="18.25" customHeight="1" outlineLevel="2">
      <c r="B748" s="54" t="s">
        <v>383</v>
      </c>
      <c r="C748" s="55" t="s">
        <v>646</v>
      </c>
      <c r="D748" s="7" t="s">
        <v>180</v>
      </c>
      <c r="E748" s="57">
        <v>0</v>
      </c>
      <c r="F748" s="58">
        <v>0</v>
      </c>
      <c r="G748" s="57">
        <v>2.5</v>
      </c>
      <c r="H748" s="79">
        <v>55425</v>
      </c>
      <c r="I748" s="332">
        <v>1</v>
      </c>
      <c r="J748" s="406">
        <v>1</v>
      </c>
      <c r="K748" s="410">
        <v>1</v>
      </c>
      <c r="L748" s="427"/>
    </row>
    <row r="749" spans="1:14" ht="18.25" customHeight="1" outlineLevel="2">
      <c r="B749" s="54" t="s">
        <v>383</v>
      </c>
      <c r="C749" s="55" t="s">
        <v>566</v>
      </c>
      <c r="D749" s="7" t="s">
        <v>180</v>
      </c>
      <c r="E749" s="57">
        <v>0</v>
      </c>
      <c r="F749" s="58">
        <v>0</v>
      </c>
      <c r="G749" s="57">
        <v>0</v>
      </c>
      <c r="H749" s="79">
        <v>0</v>
      </c>
      <c r="I749" s="332">
        <v>0</v>
      </c>
      <c r="J749" s="406">
        <v>0</v>
      </c>
      <c r="K749" s="410">
        <v>0</v>
      </c>
      <c r="L749" s="427"/>
    </row>
    <row r="750" spans="1:14" s="66" customFormat="1" ht="18.25" customHeight="1" outlineLevel="1">
      <c r="A750" s="572"/>
      <c r="B750" s="68" t="s">
        <v>383</v>
      </c>
      <c r="C750" s="62" t="s">
        <v>385</v>
      </c>
      <c r="D750" s="26">
        <v>4</v>
      </c>
      <c r="E750" s="70">
        <v>0</v>
      </c>
      <c r="F750" s="71">
        <v>0</v>
      </c>
      <c r="G750" s="70">
        <v>19</v>
      </c>
      <c r="H750" s="78">
        <v>405079</v>
      </c>
      <c r="I750" s="321">
        <v>2</v>
      </c>
      <c r="J750" s="322">
        <v>2</v>
      </c>
      <c r="K750" s="323">
        <v>2</v>
      </c>
      <c r="L750" s="435">
        <v>0</v>
      </c>
      <c r="M750" s="250" t="s">
        <v>50</v>
      </c>
      <c r="N750" s="250"/>
    </row>
    <row r="751" spans="1:14" ht="18.25" customHeight="1" outlineLevel="2">
      <c r="B751" s="54" t="s">
        <v>383</v>
      </c>
      <c r="C751" s="55" t="s">
        <v>386</v>
      </c>
      <c r="D751" s="7" t="s">
        <v>183</v>
      </c>
      <c r="E751" s="57">
        <v>0</v>
      </c>
      <c r="F751" s="58">
        <v>0</v>
      </c>
      <c r="G751" s="57">
        <v>0</v>
      </c>
      <c r="H751" s="79">
        <v>0</v>
      </c>
      <c r="I751" s="332">
        <v>0</v>
      </c>
      <c r="J751" s="406">
        <v>0</v>
      </c>
      <c r="K751" s="410">
        <v>0</v>
      </c>
      <c r="L751" s="427"/>
    </row>
    <row r="752" spans="1:14" ht="18.25" customHeight="1" outlineLevel="2">
      <c r="B752" s="54" t="s">
        <v>383</v>
      </c>
      <c r="C752" s="55" t="s">
        <v>796</v>
      </c>
      <c r="D752" s="7" t="s">
        <v>180</v>
      </c>
      <c r="E752" s="57">
        <v>0</v>
      </c>
      <c r="F752" s="58">
        <v>0</v>
      </c>
      <c r="G752" s="57">
        <v>0</v>
      </c>
      <c r="H752" s="79">
        <v>0</v>
      </c>
      <c r="I752" s="332">
        <v>0</v>
      </c>
      <c r="J752" s="406">
        <v>0</v>
      </c>
      <c r="K752" s="410">
        <v>0</v>
      </c>
      <c r="L752" s="427"/>
    </row>
    <row r="753" spans="1:14" ht="18.25" customHeight="1" outlineLevel="2">
      <c r="B753" s="54" t="s">
        <v>383</v>
      </c>
      <c r="C753" s="55" t="s">
        <v>390</v>
      </c>
      <c r="D753" s="74" t="s">
        <v>779</v>
      </c>
      <c r="E753" s="57">
        <v>0</v>
      </c>
      <c r="F753" s="58">
        <v>0</v>
      </c>
      <c r="G753" s="57">
        <v>3</v>
      </c>
      <c r="H753" s="79">
        <v>78844</v>
      </c>
      <c r="I753" s="332">
        <v>1</v>
      </c>
      <c r="J753" s="406">
        <v>1</v>
      </c>
      <c r="K753" s="410">
        <v>1</v>
      </c>
      <c r="L753" s="427"/>
    </row>
    <row r="754" spans="1:14" ht="18.25" customHeight="1" outlineLevel="2">
      <c r="B754" s="54" t="s">
        <v>383</v>
      </c>
      <c r="C754" s="55" t="s">
        <v>387</v>
      </c>
      <c r="D754" s="74" t="s">
        <v>466</v>
      </c>
      <c r="E754" s="57">
        <v>0</v>
      </c>
      <c r="F754" s="58">
        <v>0</v>
      </c>
      <c r="G754" s="57">
        <v>1</v>
      </c>
      <c r="H754" s="79">
        <v>32622</v>
      </c>
      <c r="I754" s="332">
        <v>1</v>
      </c>
      <c r="J754" s="406">
        <v>1</v>
      </c>
      <c r="K754" s="410">
        <v>1</v>
      </c>
      <c r="L754" s="427"/>
    </row>
    <row r="755" spans="1:14" ht="18.25" customHeight="1" outlineLevel="2">
      <c r="B755" s="54" t="s">
        <v>383</v>
      </c>
      <c r="C755" s="55" t="s">
        <v>388</v>
      </c>
      <c r="D755" s="7" t="s">
        <v>180</v>
      </c>
      <c r="E755" s="57">
        <v>0</v>
      </c>
      <c r="F755" s="58">
        <v>0</v>
      </c>
      <c r="G755" s="57">
        <v>1</v>
      </c>
      <c r="H755" s="79">
        <v>17091</v>
      </c>
      <c r="I755" s="332">
        <v>1</v>
      </c>
      <c r="J755" s="406">
        <v>1</v>
      </c>
      <c r="K755" s="410">
        <v>0</v>
      </c>
      <c r="L755" s="427"/>
    </row>
    <row r="756" spans="1:14" s="66" customFormat="1" ht="18.25" customHeight="1" outlineLevel="1">
      <c r="A756" s="572"/>
      <c r="B756" s="68" t="s">
        <v>383</v>
      </c>
      <c r="C756" s="62" t="s">
        <v>386</v>
      </c>
      <c r="D756" s="26">
        <v>5</v>
      </c>
      <c r="E756" s="70">
        <v>0</v>
      </c>
      <c r="F756" s="71">
        <v>0</v>
      </c>
      <c r="G756" s="70">
        <v>5</v>
      </c>
      <c r="H756" s="78">
        <v>128557</v>
      </c>
      <c r="I756" s="321">
        <v>3</v>
      </c>
      <c r="J756" s="322">
        <v>3</v>
      </c>
      <c r="K756" s="323">
        <v>2</v>
      </c>
      <c r="L756" s="435">
        <v>0</v>
      </c>
      <c r="M756" s="250" t="s">
        <v>50</v>
      </c>
      <c r="N756" s="250"/>
    </row>
    <row r="757" spans="1:14" ht="18.25" customHeight="1" outlineLevel="2">
      <c r="B757" s="54" t="s">
        <v>383</v>
      </c>
      <c r="C757" s="55" t="s">
        <v>389</v>
      </c>
      <c r="D757" s="7" t="s">
        <v>365</v>
      </c>
      <c r="E757" s="57">
        <v>0</v>
      </c>
      <c r="F757" s="58">
        <v>0</v>
      </c>
      <c r="G757" s="57">
        <v>0</v>
      </c>
      <c r="H757" s="79">
        <v>0</v>
      </c>
      <c r="I757" s="332">
        <v>0</v>
      </c>
      <c r="J757" s="406">
        <v>0</v>
      </c>
      <c r="K757" s="410">
        <v>0</v>
      </c>
      <c r="L757" s="427"/>
    </row>
    <row r="758" spans="1:14" s="66" customFormat="1" ht="18.25" customHeight="1" outlineLevel="1">
      <c r="A758" s="572"/>
      <c r="B758" s="68" t="s">
        <v>383</v>
      </c>
      <c r="C758" s="62" t="s">
        <v>389</v>
      </c>
      <c r="D758" s="26">
        <v>1</v>
      </c>
      <c r="E758" s="70">
        <v>0</v>
      </c>
      <c r="F758" s="71">
        <v>0</v>
      </c>
      <c r="G758" s="70">
        <v>0</v>
      </c>
      <c r="H758" s="78">
        <v>0</v>
      </c>
      <c r="I758" s="321">
        <v>0</v>
      </c>
      <c r="J758" s="322">
        <v>0</v>
      </c>
      <c r="K758" s="323">
        <v>0</v>
      </c>
      <c r="L758" s="435">
        <v>0</v>
      </c>
      <c r="M758" s="250" t="s">
        <v>663</v>
      </c>
      <c r="N758" s="250"/>
    </row>
    <row r="759" spans="1:14" ht="18.25" customHeight="1" outlineLevel="2">
      <c r="B759" s="54" t="s">
        <v>383</v>
      </c>
      <c r="C759" s="55" t="s">
        <v>394</v>
      </c>
      <c r="D759" s="7" t="s">
        <v>183</v>
      </c>
      <c r="E759" s="57">
        <v>0</v>
      </c>
      <c r="F759" s="58">
        <v>0</v>
      </c>
      <c r="G759" s="57">
        <v>1</v>
      </c>
      <c r="H759" s="79">
        <v>31908</v>
      </c>
      <c r="I759" s="332">
        <v>1</v>
      </c>
      <c r="J759" s="406">
        <v>1</v>
      </c>
      <c r="K759" s="410">
        <v>1</v>
      </c>
      <c r="L759" s="427"/>
    </row>
    <row r="760" spans="1:14" ht="18.25" customHeight="1" outlineLevel="2">
      <c r="B760" s="54" t="s">
        <v>383</v>
      </c>
      <c r="C760" s="55" t="s">
        <v>395</v>
      </c>
      <c r="D760" s="23" t="s">
        <v>180</v>
      </c>
      <c r="E760" s="57">
        <v>0</v>
      </c>
      <c r="F760" s="58">
        <v>0</v>
      </c>
      <c r="G760" s="57">
        <v>3</v>
      </c>
      <c r="H760" s="79">
        <v>45554</v>
      </c>
      <c r="I760" s="332">
        <v>1</v>
      </c>
      <c r="J760" s="406">
        <v>1</v>
      </c>
      <c r="K760" s="410">
        <v>1</v>
      </c>
      <c r="L760" s="427"/>
    </row>
    <row r="761" spans="1:14" ht="18.25" customHeight="1" outlineLevel="2">
      <c r="B761" s="54" t="s">
        <v>383</v>
      </c>
      <c r="C761" s="55" t="s">
        <v>396</v>
      </c>
      <c r="D761" s="7" t="s">
        <v>180</v>
      </c>
      <c r="E761" s="57">
        <v>0</v>
      </c>
      <c r="F761" s="58">
        <v>0</v>
      </c>
      <c r="G761" s="57">
        <v>0</v>
      </c>
      <c r="H761" s="79">
        <v>0</v>
      </c>
      <c r="I761" s="332">
        <v>0</v>
      </c>
      <c r="J761" s="406">
        <v>0</v>
      </c>
      <c r="K761" s="410">
        <v>0</v>
      </c>
      <c r="L761" s="427"/>
    </row>
    <row r="762" spans="1:14" ht="18.25" customHeight="1" outlineLevel="2">
      <c r="B762" s="54" t="s">
        <v>383</v>
      </c>
      <c r="C762" s="55" t="s">
        <v>397</v>
      </c>
      <c r="D762" s="74" t="s">
        <v>779</v>
      </c>
      <c r="E762" s="57">
        <v>0</v>
      </c>
      <c r="F762" s="58">
        <v>0</v>
      </c>
      <c r="G762" s="57">
        <v>1</v>
      </c>
      <c r="H762" s="79">
        <v>12282</v>
      </c>
      <c r="I762" s="332">
        <v>1</v>
      </c>
      <c r="J762" s="406">
        <v>1</v>
      </c>
      <c r="K762" s="410">
        <v>0</v>
      </c>
      <c r="L762" s="427"/>
    </row>
    <row r="763" spans="1:14" s="66" customFormat="1" ht="18.25" customHeight="1" outlineLevel="1">
      <c r="A763" s="572"/>
      <c r="B763" s="68" t="s">
        <v>383</v>
      </c>
      <c r="C763" s="62" t="s">
        <v>394</v>
      </c>
      <c r="D763" s="26">
        <v>4</v>
      </c>
      <c r="E763" s="70">
        <v>0</v>
      </c>
      <c r="F763" s="70">
        <v>0</v>
      </c>
      <c r="G763" s="70">
        <v>5</v>
      </c>
      <c r="H763" s="80">
        <v>89744</v>
      </c>
      <c r="I763" s="321">
        <v>3</v>
      </c>
      <c r="J763" s="322">
        <v>3</v>
      </c>
      <c r="K763" s="323">
        <v>2</v>
      </c>
      <c r="L763" s="435">
        <v>0</v>
      </c>
      <c r="M763" s="250" t="s">
        <v>50</v>
      </c>
      <c r="N763" s="250"/>
    </row>
    <row r="764" spans="1:14" ht="18.25" customHeight="1" outlineLevel="2">
      <c r="B764" s="53" t="s">
        <v>383</v>
      </c>
      <c r="C764" s="55" t="s">
        <v>398</v>
      </c>
      <c r="D764" s="7" t="s">
        <v>179</v>
      </c>
      <c r="E764" s="59">
        <v>0</v>
      </c>
      <c r="F764" s="60">
        <v>0</v>
      </c>
      <c r="G764" s="59">
        <v>4</v>
      </c>
      <c r="H764" s="77">
        <v>44060</v>
      </c>
      <c r="I764" s="320">
        <v>1</v>
      </c>
      <c r="J764" s="406">
        <v>1</v>
      </c>
      <c r="K764" s="410">
        <v>1</v>
      </c>
      <c r="L764" s="427"/>
    </row>
    <row r="765" spans="1:14" ht="18.25" customHeight="1" outlineLevel="2">
      <c r="B765" s="53" t="s">
        <v>383</v>
      </c>
      <c r="C765" s="55" t="s">
        <v>528</v>
      </c>
      <c r="D765" s="23" t="s">
        <v>180</v>
      </c>
      <c r="E765" s="59">
        <v>2</v>
      </c>
      <c r="F765" s="60">
        <v>5520</v>
      </c>
      <c r="G765" s="59">
        <v>2</v>
      </c>
      <c r="H765" s="77">
        <v>5520</v>
      </c>
      <c r="I765" s="320">
        <v>1</v>
      </c>
      <c r="J765" s="406">
        <v>0</v>
      </c>
      <c r="K765" s="410">
        <v>0</v>
      </c>
      <c r="L765" s="427"/>
    </row>
    <row r="766" spans="1:14" s="66" customFormat="1" ht="18.25" customHeight="1" outlineLevel="1">
      <c r="A766" s="572"/>
      <c r="B766" s="68" t="s">
        <v>383</v>
      </c>
      <c r="C766" s="62" t="s">
        <v>398</v>
      </c>
      <c r="D766" s="26">
        <v>2</v>
      </c>
      <c r="E766" s="70">
        <v>2</v>
      </c>
      <c r="F766" s="71">
        <v>5520</v>
      </c>
      <c r="G766" s="70">
        <v>6</v>
      </c>
      <c r="H766" s="78">
        <v>49580</v>
      </c>
      <c r="I766" s="321">
        <v>2</v>
      </c>
      <c r="J766" s="322">
        <v>1</v>
      </c>
      <c r="K766" s="323">
        <v>1</v>
      </c>
      <c r="L766" s="435">
        <v>0</v>
      </c>
      <c r="M766" s="250" t="s">
        <v>170</v>
      </c>
      <c r="N766" s="250"/>
    </row>
    <row r="767" spans="1:14" ht="18.25" customHeight="1" outlineLevel="2">
      <c r="B767" s="54" t="s">
        <v>383</v>
      </c>
      <c r="C767" s="55" t="s">
        <v>401</v>
      </c>
      <c r="D767" s="7" t="s">
        <v>183</v>
      </c>
      <c r="E767" s="59">
        <v>0</v>
      </c>
      <c r="F767" s="60">
        <v>0</v>
      </c>
      <c r="G767" s="59">
        <v>2</v>
      </c>
      <c r="H767" s="77">
        <v>24693</v>
      </c>
      <c r="I767" s="320">
        <v>1</v>
      </c>
      <c r="J767" s="406">
        <v>1</v>
      </c>
      <c r="K767" s="410">
        <v>0</v>
      </c>
      <c r="L767" s="427"/>
    </row>
    <row r="768" spans="1:14" ht="18.25" customHeight="1" outlineLevel="2">
      <c r="B768" s="54" t="s">
        <v>383</v>
      </c>
      <c r="C768" s="55" t="s">
        <v>405</v>
      </c>
      <c r="D768" s="7" t="s">
        <v>180</v>
      </c>
      <c r="E768" s="59">
        <v>0</v>
      </c>
      <c r="F768" s="60">
        <v>0</v>
      </c>
      <c r="G768" s="59">
        <v>4</v>
      </c>
      <c r="H768" s="77">
        <v>107267</v>
      </c>
      <c r="I768" s="320">
        <v>1</v>
      </c>
      <c r="J768" s="406">
        <v>1</v>
      </c>
      <c r="K768" s="410">
        <v>1</v>
      </c>
      <c r="L768" s="427"/>
    </row>
    <row r="769" spans="1:14" ht="18.25" customHeight="1" outlineLevel="2">
      <c r="B769" s="54" t="s">
        <v>383</v>
      </c>
      <c r="C769" s="55" t="s">
        <v>464</v>
      </c>
      <c r="D769" s="7" t="s">
        <v>180</v>
      </c>
      <c r="E769" s="59">
        <v>0</v>
      </c>
      <c r="F769" s="60">
        <v>0</v>
      </c>
      <c r="G769" s="59">
        <v>5</v>
      </c>
      <c r="H769" s="77">
        <v>47071</v>
      </c>
      <c r="I769" s="320">
        <v>1</v>
      </c>
      <c r="J769" s="406">
        <v>1</v>
      </c>
      <c r="K769" s="410">
        <v>1</v>
      </c>
      <c r="L769" s="427"/>
    </row>
    <row r="770" spans="1:14" ht="18.25" customHeight="1" outlineLevel="2">
      <c r="B770" s="54" t="s">
        <v>383</v>
      </c>
      <c r="C770" s="55" t="s">
        <v>402</v>
      </c>
      <c r="D770" s="74" t="s">
        <v>466</v>
      </c>
      <c r="E770" s="59">
        <v>0</v>
      </c>
      <c r="F770" s="60">
        <v>0</v>
      </c>
      <c r="G770" s="59">
        <v>8</v>
      </c>
      <c r="H770" s="77">
        <v>183812</v>
      </c>
      <c r="I770" s="320">
        <v>1</v>
      </c>
      <c r="J770" s="406">
        <v>1</v>
      </c>
      <c r="K770" s="410">
        <v>1</v>
      </c>
      <c r="L770" s="427"/>
    </row>
    <row r="771" spans="1:14" ht="18.25" customHeight="1" outlineLevel="2">
      <c r="B771" s="54" t="s">
        <v>383</v>
      </c>
      <c r="C771" s="55" t="s">
        <v>403</v>
      </c>
      <c r="D771" s="7" t="s">
        <v>180</v>
      </c>
      <c r="E771" s="59">
        <v>0</v>
      </c>
      <c r="F771" s="60">
        <v>0</v>
      </c>
      <c r="G771" s="59">
        <v>0</v>
      </c>
      <c r="H771" s="77">
        <v>0</v>
      </c>
      <c r="I771" s="320">
        <v>0</v>
      </c>
      <c r="J771" s="406">
        <v>0</v>
      </c>
      <c r="K771" s="410">
        <v>0</v>
      </c>
      <c r="L771" s="427"/>
    </row>
    <row r="772" spans="1:14" ht="18.5" customHeight="1" outlineLevel="2">
      <c r="B772" s="54" t="s">
        <v>383</v>
      </c>
      <c r="C772" s="55" t="s">
        <v>404</v>
      </c>
      <c r="D772" s="7" t="s">
        <v>180</v>
      </c>
      <c r="E772" s="59">
        <v>0</v>
      </c>
      <c r="F772" s="60">
        <v>0</v>
      </c>
      <c r="G772" s="59">
        <v>1</v>
      </c>
      <c r="H772" s="77">
        <v>10051</v>
      </c>
      <c r="I772" s="320">
        <v>1</v>
      </c>
      <c r="J772" s="406">
        <v>1</v>
      </c>
      <c r="K772" s="410">
        <v>0</v>
      </c>
      <c r="L772" s="427"/>
    </row>
    <row r="773" spans="1:14" ht="18.25" customHeight="1" outlineLevel="2">
      <c r="B773" s="54" t="s">
        <v>383</v>
      </c>
      <c r="C773" s="55" t="s">
        <v>406</v>
      </c>
      <c r="D773" s="7" t="s">
        <v>180</v>
      </c>
      <c r="E773" s="59">
        <v>0</v>
      </c>
      <c r="F773" s="60">
        <v>0</v>
      </c>
      <c r="G773" s="59">
        <v>2</v>
      </c>
      <c r="H773" s="77">
        <v>16261</v>
      </c>
      <c r="I773" s="320">
        <v>1</v>
      </c>
      <c r="J773" s="406">
        <v>1</v>
      </c>
      <c r="K773" s="410">
        <v>0</v>
      </c>
      <c r="L773" s="427"/>
    </row>
    <row r="774" spans="1:14" s="66" customFormat="1" ht="18.25" customHeight="1" outlineLevel="1">
      <c r="A774" s="572"/>
      <c r="B774" s="68" t="s">
        <v>383</v>
      </c>
      <c r="C774" s="62" t="s">
        <v>401</v>
      </c>
      <c r="D774" s="26">
        <v>7</v>
      </c>
      <c r="E774" s="70">
        <v>0</v>
      </c>
      <c r="F774" s="71">
        <v>0</v>
      </c>
      <c r="G774" s="70">
        <v>22</v>
      </c>
      <c r="H774" s="78">
        <v>389155</v>
      </c>
      <c r="I774" s="321">
        <v>6</v>
      </c>
      <c r="J774" s="322">
        <v>6</v>
      </c>
      <c r="K774" s="323">
        <v>3</v>
      </c>
      <c r="L774" s="435">
        <v>1</v>
      </c>
      <c r="M774" s="250" t="s">
        <v>50</v>
      </c>
      <c r="N774" s="250"/>
    </row>
    <row r="775" spans="1:14" ht="18.25" customHeight="1" outlineLevel="2">
      <c r="B775" s="53" t="s">
        <v>383</v>
      </c>
      <c r="C775" s="55" t="s">
        <v>407</v>
      </c>
      <c r="D775" s="23" t="s">
        <v>179</v>
      </c>
      <c r="E775" s="59">
        <v>0</v>
      </c>
      <c r="F775" s="60">
        <v>0</v>
      </c>
      <c r="G775" s="59">
        <v>4</v>
      </c>
      <c r="H775" s="77">
        <v>94524</v>
      </c>
      <c r="I775" s="320">
        <v>1</v>
      </c>
      <c r="J775" s="406">
        <v>1</v>
      </c>
      <c r="K775" s="410">
        <v>1</v>
      </c>
      <c r="L775" s="427"/>
    </row>
    <row r="776" spans="1:14" ht="18.25" customHeight="1" outlineLevel="1">
      <c r="B776" s="68" t="s">
        <v>383</v>
      </c>
      <c r="C776" s="62" t="s">
        <v>407</v>
      </c>
      <c r="D776" s="26">
        <v>1</v>
      </c>
      <c r="E776" s="70">
        <v>0</v>
      </c>
      <c r="F776" s="71">
        <v>0</v>
      </c>
      <c r="G776" s="70">
        <v>4</v>
      </c>
      <c r="H776" s="78">
        <v>94524</v>
      </c>
      <c r="I776" s="321">
        <v>1</v>
      </c>
      <c r="J776" s="322">
        <v>1</v>
      </c>
      <c r="K776" s="323">
        <v>1</v>
      </c>
      <c r="L776" s="435">
        <v>0</v>
      </c>
      <c r="M776" s="1" t="s">
        <v>170</v>
      </c>
    </row>
    <row r="777" spans="1:14" s="162" customFormat="1" ht="18.25" customHeight="1">
      <c r="A777" s="574" t="s">
        <v>834</v>
      </c>
      <c r="B777" s="948" t="s">
        <v>459</v>
      </c>
      <c r="C777" s="948"/>
      <c r="D777" s="158">
        <v>31</v>
      </c>
      <c r="E777" s="159">
        <v>2</v>
      </c>
      <c r="F777" s="160">
        <v>5520</v>
      </c>
      <c r="G777" s="159">
        <v>68</v>
      </c>
      <c r="H777" s="161">
        <v>1322471</v>
      </c>
      <c r="I777" s="159">
        <v>21</v>
      </c>
      <c r="J777" s="352">
        <v>19</v>
      </c>
      <c r="K777" s="421">
        <v>13</v>
      </c>
      <c r="L777" s="441">
        <v>1</v>
      </c>
      <c r="M777" s="253"/>
      <c r="N777" s="253"/>
    </row>
    <row r="778" spans="1:14" ht="18.25" customHeight="1" outlineLevel="2">
      <c r="B778" s="53" t="s">
        <v>458</v>
      </c>
      <c r="C778" s="55" t="s">
        <v>421</v>
      </c>
      <c r="D778" s="7" t="s">
        <v>182</v>
      </c>
      <c r="E778" s="59">
        <v>0</v>
      </c>
      <c r="F778" s="60">
        <v>0</v>
      </c>
      <c r="G778" s="59">
        <v>2</v>
      </c>
      <c r="H778" s="77">
        <v>3000</v>
      </c>
      <c r="I778" s="320">
        <v>1</v>
      </c>
      <c r="J778" s="406">
        <v>0</v>
      </c>
      <c r="K778" s="410">
        <v>0</v>
      </c>
      <c r="L778" s="427"/>
    </row>
    <row r="779" spans="1:14" ht="18.25" customHeight="1" outlineLevel="2">
      <c r="B779" s="53" t="s">
        <v>458</v>
      </c>
      <c r="C779" s="55" t="s">
        <v>428</v>
      </c>
      <c r="D779" s="23" t="s">
        <v>180</v>
      </c>
      <c r="E779" s="59">
        <v>0</v>
      </c>
      <c r="F779" s="60">
        <v>0</v>
      </c>
      <c r="G779" s="59">
        <v>0</v>
      </c>
      <c r="H779" s="77">
        <v>0</v>
      </c>
      <c r="I779" s="320">
        <v>0</v>
      </c>
      <c r="J779" s="406">
        <v>0</v>
      </c>
      <c r="K779" s="410">
        <v>0</v>
      </c>
      <c r="L779" s="427"/>
    </row>
    <row r="780" spans="1:14" ht="18.25" customHeight="1" outlineLevel="2">
      <c r="B780" s="53" t="s">
        <v>458</v>
      </c>
      <c r="C780" s="55" t="s">
        <v>424</v>
      </c>
      <c r="D780" s="23" t="s">
        <v>180</v>
      </c>
      <c r="E780" s="59">
        <v>0</v>
      </c>
      <c r="F780" s="60">
        <v>0</v>
      </c>
      <c r="G780" s="59">
        <v>0</v>
      </c>
      <c r="H780" s="77">
        <v>0</v>
      </c>
      <c r="I780" s="320">
        <v>0</v>
      </c>
      <c r="J780" s="406">
        <v>0</v>
      </c>
      <c r="K780" s="410">
        <v>0</v>
      </c>
      <c r="L780" s="427"/>
    </row>
    <row r="781" spans="1:14" ht="18.25" customHeight="1" outlineLevel="2">
      <c r="B781" s="53" t="s">
        <v>458</v>
      </c>
      <c r="C781" s="55" t="s">
        <v>470</v>
      </c>
      <c r="D781" s="23" t="s">
        <v>180</v>
      </c>
      <c r="E781" s="59">
        <v>0</v>
      </c>
      <c r="F781" s="60">
        <v>0</v>
      </c>
      <c r="G781" s="59">
        <v>5</v>
      </c>
      <c r="H781" s="77">
        <v>85398</v>
      </c>
      <c r="I781" s="320">
        <v>1</v>
      </c>
      <c r="J781" s="406">
        <v>1</v>
      </c>
      <c r="K781" s="410">
        <v>1</v>
      </c>
      <c r="L781" s="427"/>
    </row>
    <row r="782" spans="1:14" ht="18.25" customHeight="1" outlineLevel="2">
      <c r="B782" s="53" t="s">
        <v>458</v>
      </c>
      <c r="C782" s="55" t="s">
        <v>427</v>
      </c>
      <c r="D782" s="23" t="s">
        <v>180</v>
      </c>
      <c r="E782" s="59">
        <v>0</v>
      </c>
      <c r="F782" s="60">
        <v>0</v>
      </c>
      <c r="G782" s="59">
        <v>0</v>
      </c>
      <c r="H782" s="77">
        <v>0</v>
      </c>
      <c r="I782" s="320">
        <v>0</v>
      </c>
      <c r="J782" s="406">
        <v>0</v>
      </c>
      <c r="K782" s="410">
        <v>0</v>
      </c>
      <c r="L782" s="427"/>
    </row>
    <row r="783" spans="1:14" s="66" customFormat="1" ht="18.25" customHeight="1" outlineLevel="1">
      <c r="A783" s="572"/>
      <c r="B783" s="68" t="s">
        <v>458</v>
      </c>
      <c r="C783" s="62" t="s">
        <v>421</v>
      </c>
      <c r="D783" s="26">
        <v>5</v>
      </c>
      <c r="E783" s="70">
        <v>0</v>
      </c>
      <c r="F783" s="71">
        <v>0</v>
      </c>
      <c r="G783" s="70">
        <v>7</v>
      </c>
      <c r="H783" s="78">
        <v>88398</v>
      </c>
      <c r="I783" s="321">
        <v>2</v>
      </c>
      <c r="J783" s="322">
        <v>1</v>
      </c>
      <c r="K783" s="323">
        <v>1</v>
      </c>
      <c r="L783" s="435">
        <v>0</v>
      </c>
      <c r="M783" s="250" t="s">
        <v>166</v>
      </c>
      <c r="N783" s="250"/>
    </row>
    <row r="784" spans="1:14" ht="18.25" customHeight="1" outlineLevel="2">
      <c r="B784" s="53" t="s">
        <v>458</v>
      </c>
      <c r="C784" s="56" t="s">
        <v>425</v>
      </c>
      <c r="D784" s="7" t="s">
        <v>188</v>
      </c>
      <c r="E784" s="59">
        <v>0</v>
      </c>
      <c r="F784" s="60">
        <v>0</v>
      </c>
      <c r="G784" s="59">
        <v>0</v>
      </c>
      <c r="H784" s="77">
        <v>0</v>
      </c>
      <c r="I784" s="320">
        <v>0</v>
      </c>
      <c r="J784" s="406">
        <v>0</v>
      </c>
      <c r="K784" s="410">
        <v>0</v>
      </c>
      <c r="L784" s="427"/>
    </row>
    <row r="785" spans="1:14" ht="18.25" customHeight="1" outlineLevel="2">
      <c r="B785" s="53" t="s">
        <v>458</v>
      </c>
      <c r="C785" s="56" t="s">
        <v>426</v>
      </c>
      <c r="D785" s="7" t="s">
        <v>26</v>
      </c>
      <c r="E785" s="59">
        <v>0</v>
      </c>
      <c r="F785" s="60">
        <v>0</v>
      </c>
      <c r="G785" s="59">
        <v>0</v>
      </c>
      <c r="H785" s="77">
        <v>0</v>
      </c>
      <c r="I785" s="320">
        <v>0</v>
      </c>
      <c r="J785" s="406">
        <v>0</v>
      </c>
      <c r="K785" s="410">
        <v>0</v>
      </c>
      <c r="L785" s="427"/>
    </row>
    <row r="786" spans="1:14" ht="18.25" customHeight="1" outlineLevel="2">
      <c r="B786" s="53" t="s">
        <v>458</v>
      </c>
      <c r="C786" s="56" t="s">
        <v>431</v>
      </c>
      <c r="D786" s="7" t="s">
        <v>26</v>
      </c>
      <c r="E786" s="59">
        <v>0</v>
      </c>
      <c r="F786" s="60">
        <v>0</v>
      </c>
      <c r="G786" s="59">
        <v>0</v>
      </c>
      <c r="H786" s="77">
        <v>0</v>
      </c>
      <c r="I786" s="320">
        <v>0</v>
      </c>
      <c r="J786" s="406">
        <v>0</v>
      </c>
      <c r="K786" s="410">
        <v>0</v>
      </c>
      <c r="L786" s="427"/>
    </row>
    <row r="787" spans="1:14" s="66" customFormat="1" ht="18.25" customHeight="1" outlineLevel="1">
      <c r="A787" s="572"/>
      <c r="B787" s="68" t="s">
        <v>458</v>
      </c>
      <c r="C787" s="62" t="s">
        <v>425</v>
      </c>
      <c r="D787" s="26">
        <v>3</v>
      </c>
      <c r="E787" s="70">
        <v>0</v>
      </c>
      <c r="F787" s="71">
        <v>0</v>
      </c>
      <c r="G787" s="70">
        <v>0</v>
      </c>
      <c r="H787" s="78">
        <v>0</v>
      </c>
      <c r="I787" s="321">
        <v>0</v>
      </c>
      <c r="J787" s="322">
        <v>0</v>
      </c>
      <c r="K787" s="323">
        <v>0</v>
      </c>
      <c r="L787" s="435">
        <v>0</v>
      </c>
      <c r="M787" s="250" t="s">
        <v>168</v>
      </c>
      <c r="N787" s="250"/>
    </row>
    <row r="788" spans="1:14" ht="18.25" customHeight="1" outlineLevel="2">
      <c r="B788" s="53" t="s">
        <v>458</v>
      </c>
      <c r="C788" s="56" t="s">
        <v>422</v>
      </c>
      <c r="D788" s="7" t="s">
        <v>188</v>
      </c>
      <c r="E788" s="59">
        <v>0</v>
      </c>
      <c r="F788" s="60">
        <v>0</v>
      </c>
      <c r="G788" s="59">
        <v>3</v>
      </c>
      <c r="H788" s="77">
        <v>33422</v>
      </c>
      <c r="I788" s="320">
        <v>1</v>
      </c>
      <c r="J788" s="406">
        <v>1</v>
      </c>
      <c r="K788" s="410">
        <v>1</v>
      </c>
      <c r="L788" s="427"/>
    </row>
    <row r="789" spans="1:14" ht="18.25" customHeight="1" outlineLevel="2">
      <c r="B789" s="53" t="s">
        <v>458</v>
      </c>
      <c r="C789" s="56" t="s">
        <v>423</v>
      </c>
      <c r="D789" s="7" t="s">
        <v>26</v>
      </c>
      <c r="E789" s="59">
        <v>0</v>
      </c>
      <c r="F789" s="60">
        <v>0</v>
      </c>
      <c r="G789" s="59">
        <v>1</v>
      </c>
      <c r="H789" s="77">
        <v>16696</v>
      </c>
      <c r="I789" s="320">
        <v>1</v>
      </c>
      <c r="J789" s="406">
        <v>1</v>
      </c>
      <c r="K789" s="410">
        <v>0</v>
      </c>
      <c r="L789" s="427"/>
    </row>
    <row r="790" spans="1:14" s="66" customFormat="1" ht="18.25" customHeight="1" outlineLevel="1">
      <c r="A790" s="572"/>
      <c r="B790" s="68" t="s">
        <v>458</v>
      </c>
      <c r="C790" s="62" t="s">
        <v>422</v>
      </c>
      <c r="D790" s="26">
        <v>2</v>
      </c>
      <c r="E790" s="70">
        <v>0</v>
      </c>
      <c r="F790" s="71">
        <v>0</v>
      </c>
      <c r="G790" s="70">
        <v>4</v>
      </c>
      <c r="H790" s="78">
        <v>50118</v>
      </c>
      <c r="I790" s="321">
        <v>2</v>
      </c>
      <c r="J790" s="322">
        <v>2</v>
      </c>
      <c r="K790" s="323">
        <v>1</v>
      </c>
      <c r="L790" s="435">
        <v>1</v>
      </c>
      <c r="M790" s="250" t="s">
        <v>168</v>
      </c>
      <c r="N790" s="250"/>
    </row>
    <row r="791" spans="1:14" ht="18.25" customHeight="1" outlineLevel="2">
      <c r="B791" s="53" t="s">
        <v>458</v>
      </c>
      <c r="C791" s="56" t="s">
        <v>429</v>
      </c>
      <c r="D791" s="7" t="s">
        <v>188</v>
      </c>
      <c r="E791" s="59">
        <v>0</v>
      </c>
      <c r="F791" s="60">
        <v>0</v>
      </c>
      <c r="G791" s="59">
        <v>5</v>
      </c>
      <c r="H791" s="77">
        <v>57203</v>
      </c>
      <c r="I791" s="320">
        <v>1</v>
      </c>
      <c r="J791" s="406">
        <v>1</v>
      </c>
      <c r="K791" s="410">
        <v>1</v>
      </c>
      <c r="L791" s="427"/>
    </row>
    <row r="792" spans="1:14" ht="18.25" customHeight="1" outlineLevel="2">
      <c r="B792" s="53" t="s">
        <v>458</v>
      </c>
      <c r="C792" s="56" t="s">
        <v>637</v>
      </c>
      <c r="D792" s="7" t="s">
        <v>26</v>
      </c>
      <c r="E792" s="59">
        <v>0</v>
      </c>
      <c r="F792" s="60">
        <v>0</v>
      </c>
      <c r="G792" s="59">
        <v>0</v>
      </c>
      <c r="H792" s="77">
        <v>0</v>
      </c>
      <c r="I792" s="320">
        <v>0</v>
      </c>
      <c r="J792" s="406">
        <v>0</v>
      </c>
      <c r="K792" s="410">
        <v>0</v>
      </c>
      <c r="L792" s="427"/>
    </row>
    <row r="793" spans="1:14" ht="18.25" customHeight="1" outlineLevel="2">
      <c r="B793" s="53" t="s">
        <v>458</v>
      </c>
      <c r="C793" s="56" t="s">
        <v>468</v>
      </c>
      <c r="D793" s="7" t="s">
        <v>26</v>
      </c>
      <c r="E793" s="59">
        <v>0</v>
      </c>
      <c r="F793" s="60">
        <v>0</v>
      </c>
      <c r="G793" s="59">
        <v>2</v>
      </c>
      <c r="H793" s="77">
        <v>29738</v>
      </c>
      <c r="I793" s="320">
        <v>1</v>
      </c>
      <c r="J793" s="406">
        <v>1</v>
      </c>
      <c r="K793" s="410">
        <v>1</v>
      </c>
      <c r="L793" s="427"/>
    </row>
    <row r="794" spans="1:14" s="66" customFormat="1" ht="18.25" customHeight="1" outlineLevel="1">
      <c r="A794" s="572"/>
      <c r="B794" s="68" t="s">
        <v>458</v>
      </c>
      <c r="C794" s="62" t="s">
        <v>429</v>
      </c>
      <c r="D794" s="26">
        <v>3</v>
      </c>
      <c r="E794" s="70">
        <v>0</v>
      </c>
      <c r="F794" s="71">
        <v>0</v>
      </c>
      <c r="G794" s="70">
        <v>7</v>
      </c>
      <c r="H794" s="78">
        <v>86941</v>
      </c>
      <c r="I794" s="321">
        <v>2</v>
      </c>
      <c r="J794" s="322">
        <v>2</v>
      </c>
      <c r="K794" s="323">
        <v>2</v>
      </c>
      <c r="L794" s="435">
        <v>1</v>
      </c>
      <c r="M794" s="250" t="s">
        <v>168</v>
      </c>
      <c r="N794" s="250"/>
    </row>
    <row r="795" spans="1:14" ht="18.25" customHeight="1" outlineLevel="2">
      <c r="B795" s="53" t="s">
        <v>458</v>
      </c>
      <c r="C795" s="56" t="s">
        <v>430</v>
      </c>
      <c r="D795" s="7" t="s">
        <v>365</v>
      </c>
      <c r="E795" s="59">
        <v>0</v>
      </c>
      <c r="F795" s="60">
        <v>0</v>
      </c>
      <c r="G795" s="59">
        <v>2</v>
      </c>
      <c r="H795" s="77">
        <v>23550</v>
      </c>
      <c r="I795" s="320">
        <v>1</v>
      </c>
      <c r="J795" s="406">
        <v>1</v>
      </c>
      <c r="K795" s="410">
        <v>0</v>
      </c>
      <c r="L795" s="427"/>
    </row>
    <row r="796" spans="1:14" s="66" customFormat="1" ht="18.25" customHeight="1" outlineLevel="1">
      <c r="A796" s="572"/>
      <c r="B796" s="68" t="s">
        <v>458</v>
      </c>
      <c r="C796" s="62" t="s">
        <v>430</v>
      </c>
      <c r="D796" s="26">
        <v>1</v>
      </c>
      <c r="E796" s="70">
        <v>0</v>
      </c>
      <c r="F796" s="71">
        <v>0</v>
      </c>
      <c r="G796" s="70">
        <v>2</v>
      </c>
      <c r="H796" s="78">
        <v>23550</v>
      </c>
      <c r="I796" s="321">
        <v>1</v>
      </c>
      <c r="J796" s="322">
        <v>1</v>
      </c>
      <c r="K796" s="323">
        <v>0</v>
      </c>
      <c r="L796" s="435">
        <v>0</v>
      </c>
      <c r="M796" s="250" t="s">
        <v>663</v>
      </c>
      <c r="N796" s="250"/>
    </row>
    <row r="797" spans="1:14" ht="18.25" customHeight="1" outlineLevel="2">
      <c r="B797" s="54" t="s">
        <v>458</v>
      </c>
      <c r="C797" s="55" t="s">
        <v>432</v>
      </c>
      <c r="D797" s="7" t="s">
        <v>238</v>
      </c>
      <c r="E797" s="59">
        <v>1</v>
      </c>
      <c r="F797" s="60">
        <v>8250</v>
      </c>
      <c r="G797" s="59">
        <v>4</v>
      </c>
      <c r="H797" s="77">
        <v>102259</v>
      </c>
      <c r="I797" s="320">
        <v>1</v>
      </c>
      <c r="J797" s="406">
        <v>1</v>
      </c>
      <c r="K797" s="410">
        <v>1</v>
      </c>
      <c r="L797" s="427"/>
    </row>
    <row r="798" spans="1:14" ht="18.25" customHeight="1" outlineLevel="2">
      <c r="B798" s="54" t="s">
        <v>458</v>
      </c>
      <c r="C798" s="56" t="s">
        <v>694</v>
      </c>
      <c r="D798" s="23" t="s">
        <v>187</v>
      </c>
      <c r="E798" s="59">
        <v>0</v>
      </c>
      <c r="F798" s="60">
        <v>0</v>
      </c>
      <c r="G798" s="59">
        <v>1</v>
      </c>
      <c r="H798" s="77">
        <v>2648</v>
      </c>
      <c r="I798" s="320">
        <v>1</v>
      </c>
      <c r="J798" s="406">
        <v>0</v>
      </c>
      <c r="K798" s="410">
        <v>0</v>
      </c>
      <c r="L798" s="427"/>
    </row>
    <row r="799" spans="1:14" s="66" customFormat="1" ht="18.25" customHeight="1" outlineLevel="1">
      <c r="A799" s="572"/>
      <c r="B799" s="68" t="s">
        <v>458</v>
      </c>
      <c r="C799" s="62" t="s">
        <v>432</v>
      </c>
      <c r="D799" s="26">
        <v>2</v>
      </c>
      <c r="E799" s="70">
        <v>1</v>
      </c>
      <c r="F799" s="71">
        <v>8250</v>
      </c>
      <c r="G799" s="70">
        <v>5</v>
      </c>
      <c r="H799" s="78">
        <v>104907</v>
      </c>
      <c r="I799" s="321">
        <v>2</v>
      </c>
      <c r="J799" s="322">
        <v>1</v>
      </c>
      <c r="K799" s="323">
        <v>1</v>
      </c>
      <c r="L799" s="435">
        <v>0</v>
      </c>
      <c r="M799" s="250" t="s">
        <v>170</v>
      </c>
      <c r="N799" s="250"/>
    </row>
    <row r="800" spans="1:14" ht="18.25" customHeight="1" outlineLevel="2">
      <c r="B800" s="54" t="s">
        <v>458</v>
      </c>
      <c r="C800" s="56" t="s">
        <v>433</v>
      </c>
      <c r="D800" s="7" t="s">
        <v>188</v>
      </c>
      <c r="E800" s="59">
        <v>0</v>
      </c>
      <c r="F800" s="60">
        <v>0</v>
      </c>
      <c r="G800" s="59">
        <v>0</v>
      </c>
      <c r="H800" s="77">
        <v>0</v>
      </c>
      <c r="I800" s="320">
        <v>0</v>
      </c>
      <c r="J800" s="406">
        <v>0</v>
      </c>
      <c r="K800" s="410">
        <v>0</v>
      </c>
      <c r="L800" s="427"/>
    </row>
    <row r="801" spans="1:14" ht="18.25" customHeight="1" outlineLevel="2">
      <c r="B801" s="54" t="s">
        <v>458</v>
      </c>
      <c r="C801" s="56" t="s">
        <v>434</v>
      </c>
      <c r="D801" s="23" t="s">
        <v>187</v>
      </c>
      <c r="E801" s="59">
        <v>0</v>
      </c>
      <c r="F801" s="60">
        <v>0</v>
      </c>
      <c r="G801" s="59">
        <v>5</v>
      </c>
      <c r="H801" s="77">
        <v>145625</v>
      </c>
      <c r="I801" s="320">
        <v>1</v>
      </c>
      <c r="J801" s="406">
        <v>1</v>
      </c>
      <c r="K801" s="410">
        <v>1</v>
      </c>
      <c r="L801" s="427"/>
    </row>
    <row r="802" spans="1:14" s="66" customFormat="1" ht="18.25" customHeight="1" outlineLevel="1">
      <c r="A802" s="572"/>
      <c r="B802" s="68" t="s">
        <v>458</v>
      </c>
      <c r="C802" s="62" t="s">
        <v>433</v>
      </c>
      <c r="D802" s="26">
        <v>2</v>
      </c>
      <c r="E802" s="70">
        <v>0</v>
      </c>
      <c r="F802" s="71">
        <v>0</v>
      </c>
      <c r="G802" s="70">
        <v>5</v>
      </c>
      <c r="H802" s="78">
        <v>145625</v>
      </c>
      <c r="I802" s="321">
        <v>1</v>
      </c>
      <c r="J802" s="322">
        <v>1</v>
      </c>
      <c r="K802" s="323">
        <v>1</v>
      </c>
      <c r="L802" s="435">
        <v>1</v>
      </c>
      <c r="M802" s="250" t="s">
        <v>168</v>
      </c>
      <c r="N802" s="250"/>
    </row>
    <row r="803" spans="1:14" ht="18.25" customHeight="1" outlineLevel="2">
      <c r="B803" s="54" t="s">
        <v>458</v>
      </c>
      <c r="C803" s="55" t="s">
        <v>435</v>
      </c>
      <c r="D803" s="7" t="s">
        <v>238</v>
      </c>
      <c r="E803" s="59">
        <v>0</v>
      </c>
      <c r="F803" s="60">
        <v>0</v>
      </c>
      <c r="G803" s="59">
        <v>2</v>
      </c>
      <c r="H803" s="77">
        <v>9920</v>
      </c>
      <c r="I803" s="320">
        <v>1</v>
      </c>
      <c r="J803" s="406">
        <v>0</v>
      </c>
      <c r="K803" s="410">
        <v>0</v>
      </c>
      <c r="L803" s="427"/>
    </row>
    <row r="804" spans="1:14" ht="18.25" customHeight="1" outlineLevel="2">
      <c r="B804" s="54" t="s">
        <v>458</v>
      </c>
      <c r="C804" s="55" t="s">
        <v>436</v>
      </c>
      <c r="D804" s="7" t="s">
        <v>26</v>
      </c>
      <c r="E804" s="59">
        <v>0</v>
      </c>
      <c r="F804" s="60">
        <v>0</v>
      </c>
      <c r="G804" s="59">
        <v>0</v>
      </c>
      <c r="H804" s="77">
        <v>0</v>
      </c>
      <c r="I804" s="320">
        <v>0</v>
      </c>
      <c r="J804" s="406">
        <v>0</v>
      </c>
      <c r="K804" s="410">
        <v>0</v>
      </c>
      <c r="L804" s="427"/>
    </row>
    <row r="805" spans="1:14" s="66" customFormat="1" ht="18.25" customHeight="1" outlineLevel="1">
      <c r="A805" s="572"/>
      <c r="B805" s="68" t="s">
        <v>458</v>
      </c>
      <c r="C805" s="62" t="s">
        <v>435</v>
      </c>
      <c r="D805" s="26">
        <v>2</v>
      </c>
      <c r="E805" s="70">
        <v>0</v>
      </c>
      <c r="F805" s="71">
        <v>0</v>
      </c>
      <c r="G805" s="70">
        <v>2</v>
      </c>
      <c r="H805" s="78">
        <v>9920</v>
      </c>
      <c r="I805" s="321">
        <v>1</v>
      </c>
      <c r="J805" s="322">
        <v>0</v>
      </c>
      <c r="K805" s="323">
        <v>0</v>
      </c>
      <c r="L805" s="435">
        <v>0</v>
      </c>
      <c r="M805" s="250" t="s">
        <v>170</v>
      </c>
      <c r="N805" s="250"/>
    </row>
    <row r="806" spans="1:14" ht="18.25" customHeight="1" outlineLevel="2">
      <c r="B806" s="54" t="s">
        <v>458</v>
      </c>
      <c r="C806" s="55" t="s">
        <v>437</v>
      </c>
      <c r="D806" s="7" t="s">
        <v>477</v>
      </c>
      <c r="E806" s="59">
        <v>0</v>
      </c>
      <c r="F806" s="60">
        <v>0</v>
      </c>
      <c r="G806" s="59">
        <v>4</v>
      </c>
      <c r="H806" s="77">
        <v>215871</v>
      </c>
      <c r="I806" s="320">
        <v>1</v>
      </c>
      <c r="J806" s="406">
        <v>1</v>
      </c>
      <c r="K806" s="410">
        <v>1</v>
      </c>
      <c r="L806" s="427"/>
    </row>
    <row r="807" spans="1:14" s="66" customFormat="1" ht="18.25" customHeight="1" outlineLevel="1">
      <c r="A807" s="572"/>
      <c r="B807" s="68" t="s">
        <v>458</v>
      </c>
      <c r="C807" s="62" t="s">
        <v>437</v>
      </c>
      <c r="D807" s="26">
        <v>1</v>
      </c>
      <c r="E807" s="70">
        <v>0</v>
      </c>
      <c r="F807" s="71">
        <v>0</v>
      </c>
      <c r="G807" s="70">
        <v>4</v>
      </c>
      <c r="H807" s="78">
        <v>215871</v>
      </c>
      <c r="I807" s="321">
        <v>1</v>
      </c>
      <c r="J807" s="322">
        <v>1</v>
      </c>
      <c r="K807" s="323">
        <v>1</v>
      </c>
      <c r="L807" s="435">
        <v>0</v>
      </c>
      <c r="M807" s="250" t="s">
        <v>662</v>
      </c>
      <c r="N807" s="250"/>
    </row>
    <row r="808" spans="1:14" ht="18.25" customHeight="1" outlineLevel="2">
      <c r="B808" s="54" t="s">
        <v>458</v>
      </c>
      <c r="C808" s="55" t="s">
        <v>438</v>
      </c>
      <c r="D808" s="7" t="s">
        <v>219</v>
      </c>
      <c r="E808" s="59">
        <v>0</v>
      </c>
      <c r="F808" s="60">
        <v>0</v>
      </c>
      <c r="G808" s="59">
        <v>0.5</v>
      </c>
      <c r="H808" s="77">
        <v>3735</v>
      </c>
      <c r="I808" s="320">
        <v>1</v>
      </c>
      <c r="J808" s="406">
        <v>0</v>
      </c>
      <c r="K808" s="410">
        <v>0</v>
      </c>
      <c r="L808" s="427"/>
    </row>
    <row r="809" spans="1:14" ht="18.25" customHeight="1" outlineLevel="2">
      <c r="B809" s="54" t="s">
        <v>458</v>
      </c>
      <c r="C809" s="56" t="s">
        <v>408</v>
      </c>
      <c r="D809" s="7" t="s">
        <v>180</v>
      </c>
      <c r="E809" s="59">
        <v>0</v>
      </c>
      <c r="F809" s="60">
        <v>0</v>
      </c>
      <c r="G809" s="59">
        <v>0</v>
      </c>
      <c r="H809" s="77">
        <v>0</v>
      </c>
      <c r="I809" s="320">
        <v>0</v>
      </c>
      <c r="J809" s="406">
        <v>0</v>
      </c>
      <c r="K809" s="410">
        <v>0</v>
      </c>
      <c r="L809" s="427"/>
    </row>
    <row r="810" spans="1:14" ht="18.25" customHeight="1" outlineLevel="2">
      <c r="B810" s="54" t="s">
        <v>458</v>
      </c>
      <c r="C810" s="56" t="s">
        <v>443</v>
      </c>
      <c r="D810" s="7" t="s">
        <v>180</v>
      </c>
      <c r="E810" s="59">
        <v>0</v>
      </c>
      <c r="F810" s="60">
        <v>0</v>
      </c>
      <c r="G810" s="59">
        <v>0</v>
      </c>
      <c r="H810" s="77">
        <v>0</v>
      </c>
      <c r="I810" s="320">
        <v>0</v>
      </c>
      <c r="J810" s="406">
        <v>0</v>
      </c>
      <c r="K810" s="410">
        <v>0</v>
      </c>
      <c r="L810" s="427"/>
    </row>
    <row r="811" spans="1:14" ht="18.25" customHeight="1" outlineLevel="2">
      <c r="B811" s="54" t="s">
        <v>458</v>
      </c>
      <c r="C811" s="56" t="s">
        <v>441</v>
      </c>
      <c r="D811" s="7" t="s">
        <v>180</v>
      </c>
      <c r="E811" s="59">
        <v>0</v>
      </c>
      <c r="F811" s="60">
        <v>0</v>
      </c>
      <c r="G811" s="59">
        <v>0.5</v>
      </c>
      <c r="H811" s="77">
        <v>3735</v>
      </c>
      <c r="I811" s="320">
        <v>1</v>
      </c>
      <c r="J811" s="406">
        <v>0</v>
      </c>
      <c r="K811" s="410">
        <v>0</v>
      </c>
      <c r="L811" s="427"/>
    </row>
    <row r="812" spans="1:14" ht="18.25" customHeight="1" outlineLevel="2">
      <c r="B812" s="54" t="s">
        <v>458</v>
      </c>
      <c r="C812" s="55" t="s">
        <v>442</v>
      </c>
      <c r="D812" s="23" t="s">
        <v>180</v>
      </c>
      <c r="E812" s="59">
        <v>0</v>
      </c>
      <c r="F812" s="60">
        <v>0</v>
      </c>
      <c r="G812" s="59">
        <v>0</v>
      </c>
      <c r="H812" s="77">
        <v>0</v>
      </c>
      <c r="I812" s="320">
        <v>0</v>
      </c>
      <c r="J812" s="406">
        <v>0</v>
      </c>
      <c r="K812" s="410">
        <v>0</v>
      </c>
      <c r="L812" s="427"/>
    </row>
    <row r="813" spans="1:14" s="66" customFormat="1" ht="18.25" customHeight="1" outlineLevel="1">
      <c r="A813" s="572"/>
      <c r="B813" s="68" t="s">
        <v>458</v>
      </c>
      <c r="C813" s="62" t="s">
        <v>438</v>
      </c>
      <c r="D813" s="26">
        <v>5</v>
      </c>
      <c r="E813" s="70">
        <v>0</v>
      </c>
      <c r="F813" s="71">
        <v>0</v>
      </c>
      <c r="G813" s="70">
        <v>1</v>
      </c>
      <c r="H813" s="78">
        <v>7470</v>
      </c>
      <c r="I813" s="321">
        <v>2</v>
      </c>
      <c r="J813" s="322">
        <v>0</v>
      </c>
      <c r="K813" s="323">
        <v>0</v>
      </c>
      <c r="L813" s="435">
        <v>0</v>
      </c>
      <c r="M813" s="250" t="s">
        <v>50</v>
      </c>
      <c r="N813" s="250"/>
    </row>
    <row r="814" spans="1:14" ht="18.25" customHeight="1" outlineLevel="2">
      <c r="B814" s="54" t="s">
        <v>458</v>
      </c>
      <c r="C814" s="55" t="s">
        <v>439</v>
      </c>
      <c r="D814" s="7" t="s">
        <v>188</v>
      </c>
      <c r="E814" s="59">
        <v>0</v>
      </c>
      <c r="F814" s="60">
        <v>0</v>
      </c>
      <c r="G814" s="59">
        <v>1</v>
      </c>
      <c r="H814" s="77">
        <v>1352</v>
      </c>
      <c r="I814" s="320">
        <v>1</v>
      </c>
      <c r="J814" s="406">
        <v>0</v>
      </c>
      <c r="K814" s="410">
        <v>0</v>
      </c>
      <c r="L814" s="427"/>
    </row>
    <row r="815" spans="1:14" ht="18.25" customHeight="1" outlineLevel="2">
      <c r="B815" s="54" t="s">
        <v>458</v>
      </c>
      <c r="C815" s="55" t="s">
        <v>440</v>
      </c>
      <c r="D815" s="23" t="s">
        <v>26</v>
      </c>
      <c r="E815" s="59">
        <v>0</v>
      </c>
      <c r="F815" s="60">
        <v>0</v>
      </c>
      <c r="G815" s="59">
        <v>2</v>
      </c>
      <c r="H815" s="77">
        <v>19866</v>
      </c>
      <c r="I815" s="320">
        <v>1</v>
      </c>
      <c r="J815" s="406">
        <v>1</v>
      </c>
      <c r="K815" s="410">
        <v>0</v>
      </c>
      <c r="L815" s="427"/>
    </row>
    <row r="816" spans="1:14" s="66" customFormat="1" ht="18.25" customHeight="1" outlineLevel="1">
      <c r="A816" s="572"/>
      <c r="B816" s="68" t="s">
        <v>458</v>
      </c>
      <c r="C816" s="62" t="s">
        <v>439</v>
      </c>
      <c r="D816" s="26">
        <v>2</v>
      </c>
      <c r="E816" s="70">
        <v>0</v>
      </c>
      <c r="F816" s="71">
        <v>0</v>
      </c>
      <c r="G816" s="70">
        <v>3</v>
      </c>
      <c r="H816" s="78">
        <v>21218</v>
      </c>
      <c r="I816" s="321">
        <v>2</v>
      </c>
      <c r="J816" s="322">
        <v>1</v>
      </c>
      <c r="K816" s="323">
        <v>0</v>
      </c>
      <c r="L816" s="435">
        <v>0</v>
      </c>
      <c r="M816" s="250" t="s">
        <v>168</v>
      </c>
      <c r="N816" s="250"/>
    </row>
    <row r="817" spans="1:14" ht="18.25" customHeight="1" outlineLevel="2">
      <c r="B817" s="54" t="s">
        <v>458</v>
      </c>
      <c r="C817" s="55" t="s">
        <v>444</v>
      </c>
      <c r="D817" s="7" t="s">
        <v>238</v>
      </c>
      <c r="E817" s="59">
        <v>0</v>
      </c>
      <c r="F817" s="60">
        <v>0</v>
      </c>
      <c r="G817" s="59">
        <v>3</v>
      </c>
      <c r="H817" s="77">
        <v>38351</v>
      </c>
      <c r="I817" s="320">
        <v>1</v>
      </c>
      <c r="J817" s="406">
        <v>1</v>
      </c>
      <c r="K817" s="410">
        <v>1</v>
      </c>
      <c r="L817" s="427"/>
    </row>
    <row r="818" spans="1:14" ht="18.25" customHeight="1" outlineLevel="2">
      <c r="B818" s="54" t="s">
        <v>458</v>
      </c>
      <c r="C818" s="55" t="s">
        <v>445</v>
      </c>
      <c r="D818" s="23" t="s">
        <v>180</v>
      </c>
      <c r="E818" s="59">
        <v>0</v>
      </c>
      <c r="F818" s="60">
        <v>0</v>
      </c>
      <c r="G818" s="59">
        <v>1</v>
      </c>
      <c r="H818" s="77">
        <v>59857</v>
      </c>
      <c r="I818" s="320">
        <v>1</v>
      </c>
      <c r="J818" s="406">
        <v>1</v>
      </c>
      <c r="K818" s="410">
        <v>1</v>
      </c>
      <c r="L818" s="427"/>
    </row>
    <row r="819" spans="1:14" ht="18.25" customHeight="1" outlineLevel="2">
      <c r="B819" s="54" t="s">
        <v>458</v>
      </c>
      <c r="C819" s="55" t="s">
        <v>446</v>
      </c>
      <c r="D819" s="23" t="s">
        <v>180</v>
      </c>
      <c r="E819" s="59">
        <v>0</v>
      </c>
      <c r="F819" s="60">
        <v>0</v>
      </c>
      <c r="G819" s="59">
        <v>5</v>
      </c>
      <c r="H819" s="77">
        <v>26483</v>
      </c>
      <c r="I819" s="320">
        <v>1</v>
      </c>
      <c r="J819" s="406">
        <v>1</v>
      </c>
      <c r="K819" s="410">
        <v>1</v>
      </c>
      <c r="L819" s="427"/>
    </row>
    <row r="820" spans="1:14" ht="18.25" customHeight="1" outlineLevel="2">
      <c r="B820" s="54" t="s">
        <v>458</v>
      </c>
      <c r="C820" s="55" t="s">
        <v>447</v>
      </c>
      <c r="D820" s="7" t="s">
        <v>26</v>
      </c>
      <c r="E820" s="59">
        <v>0</v>
      </c>
      <c r="F820" s="60">
        <v>0</v>
      </c>
      <c r="G820" s="59">
        <v>0</v>
      </c>
      <c r="H820" s="77">
        <v>0</v>
      </c>
      <c r="I820" s="320">
        <v>0</v>
      </c>
      <c r="J820" s="406">
        <v>0</v>
      </c>
      <c r="K820" s="410">
        <v>0</v>
      </c>
      <c r="L820" s="427"/>
    </row>
    <row r="821" spans="1:14" s="66" customFormat="1" ht="18.25" customHeight="1" outlineLevel="1">
      <c r="A821" s="572"/>
      <c r="B821" s="68" t="s">
        <v>458</v>
      </c>
      <c r="C821" s="62" t="s">
        <v>444</v>
      </c>
      <c r="D821" s="26">
        <v>4</v>
      </c>
      <c r="E821" s="70">
        <v>0</v>
      </c>
      <c r="F821" s="71">
        <v>0</v>
      </c>
      <c r="G821" s="70">
        <v>9</v>
      </c>
      <c r="H821" s="78">
        <v>124691</v>
      </c>
      <c r="I821" s="321">
        <v>3</v>
      </c>
      <c r="J821" s="322">
        <v>3</v>
      </c>
      <c r="K821" s="323">
        <v>3</v>
      </c>
      <c r="L821" s="435">
        <v>1</v>
      </c>
      <c r="M821" s="250" t="s">
        <v>170</v>
      </c>
      <c r="N821" s="250"/>
    </row>
    <row r="822" spans="1:14" s="162" customFormat="1" ht="18.25" customHeight="1">
      <c r="A822" s="574" t="s">
        <v>833</v>
      </c>
      <c r="B822" s="948" t="s">
        <v>460</v>
      </c>
      <c r="C822" s="948"/>
      <c r="D822" s="158">
        <v>32</v>
      </c>
      <c r="E822" s="159">
        <v>1</v>
      </c>
      <c r="F822" s="160">
        <v>8250</v>
      </c>
      <c r="G822" s="159">
        <v>49</v>
      </c>
      <c r="H822" s="161">
        <v>878709</v>
      </c>
      <c r="I822" s="159">
        <v>19</v>
      </c>
      <c r="J822" s="352">
        <v>13</v>
      </c>
      <c r="K822" s="421">
        <v>10</v>
      </c>
      <c r="L822" s="441">
        <v>4</v>
      </c>
      <c r="M822" s="253"/>
      <c r="N822" s="253"/>
    </row>
    <row r="823" spans="1:14" ht="18.25" customHeight="1" outlineLevel="2">
      <c r="B823" s="145" t="s">
        <v>580</v>
      </c>
      <c r="C823" s="55" t="s">
        <v>581</v>
      </c>
      <c r="D823" s="7" t="s">
        <v>166</v>
      </c>
      <c r="E823" s="59">
        <v>0</v>
      </c>
      <c r="F823" s="60">
        <v>0</v>
      </c>
      <c r="G823" s="59">
        <v>1</v>
      </c>
      <c r="H823" s="77">
        <v>28318</v>
      </c>
      <c r="I823" s="320">
        <v>1</v>
      </c>
      <c r="J823" s="406">
        <v>1</v>
      </c>
      <c r="K823" s="410">
        <v>1</v>
      </c>
      <c r="L823" s="427"/>
    </row>
    <row r="824" spans="1:14" ht="18.25" customHeight="1" outlineLevel="2">
      <c r="B824" s="54" t="s">
        <v>578</v>
      </c>
      <c r="C824" s="55" t="s">
        <v>602</v>
      </c>
      <c r="D824" s="23" t="s">
        <v>26</v>
      </c>
      <c r="E824" s="59">
        <v>0</v>
      </c>
      <c r="F824" s="60">
        <v>0</v>
      </c>
      <c r="G824" s="59">
        <v>2</v>
      </c>
      <c r="H824" s="77">
        <v>2751</v>
      </c>
      <c r="I824" s="320">
        <v>1</v>
      </c>
      <c r="J824" s="406">
        <v>0</v>
      </c>
      <c r="K824" s="410">
        <v>0</v>
      </c>
      <c r="L824" s="427"/>
    </row>
    <row r="825" spans="1:14" ht="18.25" customHeight="1" outlineLevel="2">
      <c r="B825" s="54" t="s">
        <v>578</v>
      </c>
      <c r="C825" s="55" t="s">
        <v>592</v>
      </c>
      <c r="D825" s="23" t="s">
        <v>26</v>
      </c>
      <c r="E825" s="59">
        <v>0</v>
      </c>
      <c r="F825" s="60">
        <v>0</v>
      </c>
      <c r="G825" s="59">
        <v>3</v>
      </c>
      <c r="H825" s="77">
        <v>25484</v>
      </c>
      <c r="I825" s="320">
        <v>1</v>
      </c>
      <c r="J825" s="406">
        <v>1</v>
      </c>
      <c r="K825" s="410">
        <v>1</v>
      </c>
      <c r="L825" s="427"/>
    </row>
    <row r="826" spans="1:14" ht="18.25" customHeight="1" outlineLevel="2">
      <c r="B826" s="54" t="s">
        <v>578</v>
      </c>
      <c r="C826" s="55" t="s">
        <v>681</v>
      </c>
      <c r="D826" s="23" t="s">
        <v>26</v>
      </c>
      <c r="E826" s="59">
        <v>0</v>
      </c>
      <c r="F826" s="60">
        <v>0</v>
      </c>
      <c r="G826" s="59">
        <v>3</v>
      </c>
      <c r="H826" s="77">
        <v>17987</v>
      </c>
      <c r="I826" s="320">
        <v>1</v>
      </c>
      <c r="J826" s="406">
        <v>1</v>
      </c>
      <c r="K826" s="410">
        <v>0</v>
      </c>
      <c r="L826" s="427"/>
    </row>
    <row r="827" spans="1:14" ht="18.25" customHeight="1" outlineLevel="2">
      <c r="B827" s="54" t="s">
        <v>578</v>
      </c>
      <c r="C827" s="55" t="s">
        <v>583</v>
      </c>
      <c r="D827" s="23" t="s">
        <v>26</v>
      </c>
      <c r="E827" s="59">
        <v>0</v>
      </c>
      <c r="F827" s="60">
        <v>0</v>
      </c>
      <c r="G827" s="59">
        <v>4</v>
      </c>
      <c r="H827" s="77">
        <v>32723</v>
      </c>
      <c r="I827" s="320">
        <v>1</v>
      </c>
      <c r="J827" s="406">
        <v>1</v>
      </c>
      <c r="K827" s="410">
        <v>1</v>
      </c>
      <c r="L827" s="427"/>
    </row>
    <row r="828" spans="1:14" ht="18.25" customHeight="1" outlineLevel="2">
      <c r="B828" s="54" t="s">
        <v>578</v>
      </c>
      <c r="C828" s="55" t="s">
        <v>600</v>
      </c>
      <c r="D828" s="23" t="s">
        <v>601</v>
      </c>
      <c r="E828" s="59">
        <v>0</v>
      </c>
      <c r="F828" s="60">
        <v>0</v>
      </c>
      <c r="G828" s="59">
        <v>8</v>
      </c>
      <c r="H828" s="77">
        <v>159002</v>
      </c>
      <c r="I828" s="320">
        <v>1</v>
      </c>
      <c r="J828" s="406">
        <v>1</v>
      </c>
      <c r="K828" s="410">
        <v>1</v>
      </c>
      <c r="L828" s="427"/>
    </row>
    <row r="829" spans="1:14" ht="18.25" customHeight="1" outlineLevel="2">
      <c r="B829" s="54" t="s">
        <v>578</v>
      </c>
      <c r="C829" s="55" t="s">
        <v>606</v>
      </c>
      <c r="D829" s="23" t="s">
        <v>26</v>
      </c>
      <c r="E829" s="59">
        <v>0</v>
      </c>
      <c r="F829" s="60">
        <v>0</v>
      </c>
      <c r="G829" s="59">
        <v>4</v>
      </c>
      <c r="H829" s="77">
        <v>53518</v>
      </c>
      <c r="I829" s="320">
        <v>1</v>
      </c>
      <c r="J829" s="406">
        <v>1</v>
      </c>
      <c r="K829" s="410">
        <v>1</v>
      </c>
      <c r="L829" s="427"/>
    </row>
    <row r="830" spans="1:14" ht="18.25" customHeight="1" outlineLevel="2">
      <c r="B830" s="54" t="s">
        <v>578</v>
      </c>
      <c r="C830" s="55" t="s">
        <v>686</v>
      </c>
      <c r="D830" s="23" t="s">
        <v>26</v>
      </c>
      <c r="E830" s="59">
        <v>0</v>
      </c>
      <c r="F830" s="60">
        <v>0</v>
      </c>
      <c r="G830" s="59">
        <v>0</v>
      </c>
      <c r="H830" s="77">
        <v>0</v>
      </c>
      <c r="I830" s="320">
        <v>0</v>
      </c>
      <c r="J830" s="406">
        <v>0</v>
      </c>
      <c r="K830" s="410">
        <v>0</v>
      </c>
      <c r="L830" s="427"/>
    </row>
    <row r="831" spans="1:14" ht="18.25" customHeight="1" outlineLevel="2">
      <c r="B831" s="53" t="s">
        <v>578</v>
      </c>
      <c r="C831" s="55" t="s">
        <v>725</v>
      </c>
      <c r="D831" s="23" t="s">
        <v>26</v>
      </c>
      <c r="E831" s="59">
        <v>0</v>
      </c>
      <c r="F831" s="60">
        <v>0</v>
      </c>
      <c r="G831" s="59">
        <v>1</v>
      </c>
      <c r="H831" s="77">
        <v>11866</v>
      </c>
      <c r="I831" s="320">
        <v>1</v>
      </c>
      <c r="J831" s="406">
        <v>1</v>
      </c>
      <c r="K831" s="410">
        <v>0</v>
      </c>
      <c r="L831" s="427"/>
    </row>
    <row r="832" spans="1:14" ht="18.25" customHeight="1" outlineLevel="2">
      <c r="B832" s="53" t="s">
        <v>578</v>
      </c>
      <c r="C832" s="55" t="s">
        <v>582</v>
      </c>
      <c r="D832" s="23" t="s">
        <v>26</v>
      </c>
      <c r="E832" s="59">
        <v>0</v>
      </c>
      <c r="F832" s="60">
        <v>0</v>
      </c>
      <c r="G832" s="59">
        <v>1</v>
      </c>
      <c r="H832" s="77">
        <v>9372</v>
      </c>
      <c r="I832" s="320">
        <v>1</v>
      </c>
      <c r="J832" s="406">
        <v>0</v>
      </c>
      <c r="K832" s="410">
        <v>0</v>
      </c>
      <c r="L832" s="427"/>
    </row>
    <row r="833" spans="1:14" s="66" customFormat="1" ht="18.25" customHeight="1" outlineLevel="1">
      <c r="A833" s="572"/>
      <c r="B833" s="68" t="s">
        <v>578</v>
      </c>
      <c r="C833" s="62" t="s">
        <v>581</v>
      </c>
      <c r="D833" s="26">
        <v>10</v>
      </c>
      <c r="E833" s="70">
        <v>0</v>
      </c>
      <c r="F833" s="71">
        <v>0</v>
      </c>
      <c r="G833" s="70">
        <v>27</v>
      </c>
      <c r="H833" s="78">
        <v>341021</v>
      </c>
      <c r="I833" s="321">
        <v>9</v>
      </c>
      <c r="J833" s="322">
        <v>7</v>
      </c>
      <c r="K833" s="323">
        <v>5</v>
      </c>
      <c r="L833" s="435">
        <v>1</v>
      </c>
      <c r="M833" s="250" t="s">
        <v>166</v>
      </c>
      <c r="N833" s="250"/>
    </row>
    <row r="834" spans="1:14" ht="18.25" customHeight="1" outlineLevel="2">
      <c r="B834" s="53" t="s">
        <v>578</v>
      </c>
      <c r="C834" s="55" t="s">
        <v>726</v>
      </c>
      <c r="D834" s="23" t="s">
        <v>365</v>
      </c>
      <c r="E834" s="59">
        <v>0</v>
      </c>
      <c r="F834" s="60">
        <v>0</v>
      </c>
      <c r="G834" s="59">
        <v>4</v>
      </c>
      <c r="H834" s="77">
        <v>54391</v>
      </c>
      <c r="I834" s="320">
        <v>1</v>
      </c>
      <c r="J834" s="406">
        <v>1</v>
      </c>
      <c r="K834" s="410">
        <v>1</v>
      </c>
      <c r="L834" s="427"/>
    </row>
    <row r="835" spans="1:14" s="66" customFormat="1" ht="18.25" customHeight="1" outlineLevel="1">
      <c r="A835" s="572"/>
      <c r="B835" s="68" t="s">
        <v>578</v>
      </c>
      <c r="C835" s="62" t="s">
        <v>726</v>
      </c>
      <c r="D835" s="26">
        <v>1</v>
      </c>
      <c r="E835" s="70">
        <v>0</v>
      </c>
      <c r="F835" s="71">
        <v>0</v>
      </c>
      <c r="G835" s="70">
        <v>4</v>
      </c>
      <c r="H835" s="78">
        <v>54391</v>
      </c>
      <c r="I835" s="321">
        <v>1</v>
      </c>
      <c r="J835" s="322">
        <v>1</v>
      </c>
      <c r="K835" s="323">
        <v>1</v>
      </c>
      <c r="L835" s="435">
        <v>0</v>
      </c>
      <c r="M835" s="250" t="s">
        <v>663</v>
      </c>
      <c r="N835" s="250"/>
    </row>
    <row r="836" spans="1:14" ht="18.25" customHeight="1" outlineLevel="2">
      <c r="B836" s="53" t="s">
        <v>578</v>
      </c>
      <c r="C836" s="55" t="s">
        <v>584</v>
      </c>
      <c r="D836" s="23" t="s">
        <v>170</v>
      </c>
      <c r="E836" s="59">
        <v>0</v>
      </c>
      <c r="F836" s="60">
        <v>0</v>
      </c>
      <c r="G836" s="59">
        <v>1.5</v>
      </c>
      <c r="H836" s="77">
        <v>53104</v>
      </c>
      <c r="I836" s="320">
        <v>1</v>
      </c>
      <c r="J836" s="406">
        <v>1</v>
      </c>
      <c r="K836" s="410">
        <v>1</v>
      </c>
      <c r="L836" s="427"/>
    </row>
    <row r="837" spans="1:14" ht="18.25" customHeight="1" outlineLevel="2">
      <c r="B837" s="53" t="s">
        <v>578</v>
      </c>
      <c r="C837" s="55" t="s">
        <v>585</v>
      </c>
      <c r="D837" s="23" t="s">
        <v>26</v>
      </c>
      <c r="E837" s="59">
        <v>0</v>
      </c>
      <c r="F837" s="60">
        <v>0</v>
      </c>
      <c r="G837" s="59">
        <v>1.5</v>
      </c>
      <c r="H837" s="77">
        <v>53104</v>
      </c>
      <c r="I837" s="320">
        <v>1</v>
      </c>
      <c r="J837" s="406">
        <v>1</v>
      </c>
      <c r="K837" s="410">
        <v>1</v>
      </c>
      <c r="L837" s="427"/>
    </row>
    <row r="838" spans="1:14" s="66" customFormat="1" ht="18.25" customHeight="1" outlineLevel="1">
      <c r="A838" s="572"/>
      <c r="B838" s="68" t="s">
        <v>578</v>
      </c>
      <c r="C838" s="62" t="s">
        <v>584</v>
      </c>
      <c r="D838" s="26">
        <v>2</v>
      </c>
      <c r="E838" s="70">
        <v>0</v>
      </c>
      <c r="F838" s="71">
        <v>0</v>
      </c>
      <c r="G838" s="70">
        <v>3</v>
      </c>
      <c r="H838" s="78">
        <v>106208</v>
      </c>
      <c r="I838" s="321">
        <v>2</v>
      </c>
      <c r="J838" s="322">
        <v>2</v>
      </c>
      <c r="K838" s="323">
        <v>2</v>
      </c>
      <c r="L838" s="435">
        <v>0</v>
      </c>
      <c r="M838" s="250" t="s">
        <v>170</v>
      </c>
      <c r="N838" s="250"/>
    </row>
    <row r="839" spans="1:14" ht="18.25" customHeight="1" outlineLevel="2">
      <c r="B839" s="53" t="s">
        <v>578</v>
      </c>
      <c r="C839" s="56" t="s">
        <v>586</v>
      </c>
      <c r="D839" s="7" t="s">
        <v>168</v>
      </c>
      <c r="E839" s="59">
        <v>0</v>
      </c>
      <c r="F839" s="60">
        <v>0</v>
      </c>
      <c r="G839" s="59">
        <v>3</v>
      </c>
      <c r="H839" s="77">
        <v>27616</v>
      </c>
      <c r="I839" s="320">
        <v>1</v>
      </c>
      <c r="J839" s="406">
        <v>1</v>
      </c>
      <c r="K839" s="410">
        <v>1</v>
      </c>
      <c r="L839" s="427"/>
    </row>
    <row r="840" spans="1:14" ht="18.25" customHeight="1" outlineLevel="2">
      <c r="B840" s="53" t="s">
        <v>578</v>
      </c>
      <c r="C840" s="56" t="s">
        <v>774</v>
      </c>
      <c r="D840" s="23" t="s">
        <v>26</v>
      </c>
      <c r="E840" s="59">
        <v>0</v>
      </c>
      <c r="F840" s="60">
        <v>0</v>
      </c>
      <c r="G840" s="59">
        <v>2</v>
      </c>
      <c r="H840" s="77">
        <v>9275</v>
      </c>
      <c r="I840" s="320">
        <v>1</v>
      </c>
      <c r="J840" s="406">
        <v>0</v>
      </c>
      <c r="K840" s="410">
        <v>0</v>
      </c>
      <c r="L840" s="427"/>
    </row>
    <row r="841" spans="1:14" ht="18.25" customHeight="1" outlineLevel="2">
      <c r="B841" s="53" t="s">
        <v>578</v>
      </c>
      <c r="C841" s="56" t="s">
        <v>707</v>
      </c>
      <c r="D841" s="23" t="s">
        <v>26</v>
      </c>
      <c r="E841" s="59">
        <v>0</v>
      </c>
      <c r="F841" s="60">
        <v>0</v>
      </c>
      <c r="G841" s="59">
        <v>2</v>
      </c>
      <c r="H841" s="77">
        <v>14671</v>
      </c>
      <c r="I841" s="320">
        <v>1</v>
      </c>
      <c r="J841" s="406">
        <v>1</v>
      </c>
      <c r="K841" s="410">
        <v>0</v>
      </c>
      <c r="L841" s="427"/>
    </row>
    <row r="842" spans="1:14" s="66" customFormat="1" ht="18.25" customHeight="1" outlineLevel="1">
      <c r="A842" s="572"/>
      <c r="B842" s="68" t="s">
        <v>578</v>
      </c>
      <c r="C842" s="62" t="s">
        <v>586</v>
      </c>
      <c r="D842" s="26">
        <v>3</v>
      </c>
      <c r="E842" s="70">
        <v>0</v>
      </c>
      <c r="F842" s="71">
        <v>0</v>
      </c>
      <c r="G842" s="70">
        <v>7</v>
      </c>
      <c r="H842" s="78">
        <v>51562</v>
      </c>
      <c r="I842" s="321">
        <v>3</v>
      </c>
      <c r="J842" s="322">
        <v>2</v>
      </c>
      <c r="K842" s="323">
        <v>1</v>
      </c>
      <c r="L842" s="435">
        <v>1</v>
      </c>
      <c r="M842" s="250" t="s">
        <v>168</v>
      </c>
      <c r="N842" s="250"/>
    </row>
    <row r="843" spans="1:14" ht="18.25" customHeight="1" outlineLevel="2">
      <c r="B843" s="53" t="s">
        <v>578</v>
      </c>
      <c r="C843" s="56" t="s">
        <v>587</v>
      </c>
      <c r="D843" s="7" t="s">
        <v>170</v>
      </c>
      <c r="E843" s="59">
        <v>0</v>
      </c>
      <c r="F843" s="60">
        <v>0</v>
      </c>
      <c r="G843" s="59">
        <v>3</v>
      </c>
      <c r="H843" s="77">
        <v>65139</v>
      </c>
      <c r="I843" s="320">
        <v>1</v>
      </c>
      <c r="J843" s="406">
        <v>1</v>
      </c>
      <c r="K843" s="410">
        <v>1</v>
      </c>
      <c r="L843" s="427"/>
    </row>
    <row r="844" spans="1:14" ht="18.25" customHeight="1" outlineLevel="2">
      <c r="B844" s="53" t="s">
        <v>578</v>
      </c>
      <c r="C844" s="56" t="s">
        <v>588</v>
      </c>
      <c r="D844" s="7" t="s">
        <v>26</v>
      </c>
      <c r="E844" s="59">
        <v>0</v>
      </c>
      <c r="F844" s="60">
        <v>0</v>
      </c>
      <c r="G844" s="59">
        <v>0</v>
      </c>
      <c r="H844" s="77">
        <v>0</v>
      </c>
      <c r="I844" s="320">
        <v>0</v>
      </c>
      <c r="J844" s="406">
        <v>0</v>
      </c>
      <c r="K844" s="410">
        <v>0</v>
      </c>
      <c r="L844" s="427"/>
    </row>
    <row r="845" spans="1:14" s="66" customFormat="1" ht="18.25" customHeight="1" outlineLevel="1">
      <c r="A845" s="572"/>
      <c r="B845" s="68" t="s">
        <v>578</v>
      </c>
      <c r="C845" s="62" t="s">
        <v>587</v>
      </c>
      <c r="D845" s="26">
        <v>2</v>
      </c>
      <c r="E845" s="70">
        <v>0</v>
      </c>
      <c r="F845" s="71">
        <v>0</v>
      </c>
      <c r="G845" s="70">
        <v>3</v>
      </c>
      <c r="H845" s="78">
        <v>65139</v>
      </c>
      <c r="I845" s="321">
        <v>1</v>
      </c>
      <c r="J845" s="322">
        <v>1</v>
      </c>
      <c r="K845" s="323">
        <v>1</v>
      </c>
      <c r="L845" s="435">
        <v>0</v>
      </c>
      <c r="M845" s="250" t="s">
        <v>170</v>
      </c>
      <c r="N845" s="250"/>
    </row>
    <row r="846" spans="1:14" ht="18.25" customHeight="1" outlineLevel="2">
      <c r="B846" s="53" t="s">
        <v>578</v>
      </c>
      <c r="C846" s="56" t="s">
        <v>589</v>
      </c>
      <c r="D846" s="7" t="s">
        <v>170</v>
      </c>
      <c r="E846" s="59">
        <v>0</v>
      </c>
      <c r="F846" s="60">
        <v>0</v>
      </c>
      <c r="G846" s="59">
        <v>2</v>
      </c>
      <c r="H846" s="77">
        <v>41930</v>
      </c>
      <c r="I846" s="320">
        <v>1</v>
      </c>
      <c r="J846" s="406">
        <v>1</v>
      </c>
      <c r="K846" s="410">
        <v>1</v>
      </c>
      <c r="L846" s="427"/>
    </row>
    <row r="847" spans="1:14" ht="18.25" customHeight="1" outlineLevel="2">
      <c r="B847" s="53" t="s">
        <v>578</v>
      </c>
      <c r="C847" s="56" t="s">
        <v>591</v>
      </c>
      <c r="D847" s="7" t="s">
        <v>26</v>
      </c>
      <c r="E847" s="59">
        <v>0</v>
      </c>
      <c r="F847" s="60">
        <v>0</v>
      </c>
      <c r="G847" s="59">
        <v>0</v>
      </c>
      <c r="H847" s="77">
        <v>0</v>
      </c>
      <c r="I847" s="320">
        <v>0</v>
      </c>
      <c r="J847" s="406">
        <v>0</v>
      </c>
      <c r="K847" s="410">
        <v>0</v>
      </c>
      <c r="L847" s="427"/>
    </row>
    <row r="848" spans="1:14" ht="18.25" customHeight="1" outlineLevel="2">
      <c r="B848" s="53" t="s">
        <v>578</v>
      </c>
      <c r="C848" s="56" t="s">
        <v>705</v>
      </c>
      <c r="D848" s="7" t="s">
        <v>26</v>
      </c>
      <c r="E848" s="59">
        <v>0</v>
      </c>
      <c r="F848" s="60">
        <v>0</v>
      </c>
      <c r="G848" s="59">
        <v>0</v>
      </c>
      <c r="H848" s="77">
        <v>0</v>
      </c>
      <c r="I848" s="320">
        <v>0</v>
      </c>
      <c r="J848" s="406">
        <v>0</v>
      </c>
      <c r="K848" s="410">
        <v>0</v>
      </c>
      <c r="L848" s="427"/>
    </row>
    <row r="849" spans="1:14" ht="18.25" customHeight="1" outlineLevel="2">
      <c r="B849" s="53" t="s">
        <v>578</v>
      </c>
      <c r="C849" s="56" t="s">
        <v>590</v>
      </c>
      <c r="D849" s="7" t="s">
        <v>26</v>
      </c>
      <c r="E849" s="59">
        <v>0</v>
      </c>
      <c r="F849" s="60">
        <v>0</v>
      </c>
      <c r="G849" s="59">
        <v>1</v>
      </c>
      <c r="H849" s="77">
        <v>1628</v>
      </c>
      <c r="I849" s="320">
        <v>1</v>
      </c>
      <c r="J849" s="406">
        <v>0</v>
      </c>
      <c r="K849" s="410">
        <v>0</v>
      </c>
      <c r="L849" s="427"/>
    </row>
    <row r="850" spans="1:14" s="66" customFormat="1" ht="18.25" customHeight="1" outlineLevel="1">
      <c r="A850" s="572"/>
      <c r="B850" s="68" t="s">
        <v>578</v>
      </c>
      <c r="C850" s="62" t="s">
        <v>589</v>
      </c>
      <c r="D850" s="26">
        <v>4</v>
      </c>
      <c r="E850" s="70">
        <v>0</v>
      </c>
      <c r="F850" s="71">
        <v>0</v>
      </c>
      <c r="G850" s="70">
        <v>3</v>
      </c>
      <c r="H850" s="78">
        <v>43558</v>
      </c>
      <c r="I850" s="321">
        <v>2</v>
      </c>
      <c r="J850" s="322">
        <v>1</v>
      </c>
      <c r="K850" s="323">
        <v>1</v>
      </c>
      <c r="L850" s="435">
        <v>0</v>
      </c>
      <c r="M850" s="250" t="s">
        <v>170</v>
      </c>
      <c r="N850" s="250"/>
    </row>
    <row r="851" spans="1:14" ht="18.25" customHeight="1" outlineLevel="2">
      <c r="B851" s="54" t="s">
        <v>578</v>
      </c>
      <c r="C851" s="56" t="s">
        <v>593</v>
      </c>
      <c r="D851" s="7" t="s">
        <v>168</v>
      </c>
      <c r="E851" s="59">
        <v>0</v>
      </c>
      <c r="F851" s="60">
        <v>0</v>
      </c>
      <c r="G851" s="59">
        <v>2</v>
      </c>
      <c r="H851" s="77">
        <v>12655</v>
      </c>
      <c r="I851" s="320">
        <v>1</v>
      </c>
      <c r="J851" s="406">
        <v>0</v>
      </c>
      <c r="K851" s="410">
        <v>0</v>
      </c>
      <c r="L851" s="427"/>
    </row>
    <row r="852" spans="1:14" ht="18.25" customHeight="1" outlineLevel="2">
      <c r="B852" s="54" t="s">
        <v>578</v>
      </c>
      <c r="C852" s="56" t="s">
        <v>849</v>
      </c>
      <c r="D852" s="23" t="s">
        <v>26</v>
      </c>
      <c r="E852" s="59">
        <v>0</v>
      </c>
      <c r="F852" s="60">
        <v>0</v>
      </c>
      <c r="G852" s="59">
        <v>0</v>
      </c>
      <c r="H852" s="77">
        <v>0</v>
      </c>
      <c r="I852" s="320">
        <v>0</v>
      </c>
      <c r="J852" s="406">
        <v>0</v>
      </c>
      <c r="K852" s="410">
        <v>0</v>
      </c>
      <c r="L852" s="427"/>
    </row>
    <row r="853" spans="1:14" ht="18.25" customHeight="1" outlineLevel="2">
      <c r="B853" s="54" t="s">
        <v>578</v>
      </c>
      <c r="C853" s="56" t="s">
        <v>594</v>
      </c>
      <c r="D853" s="23" t="s">
        <v>26</v>
      </c>
      <c r="E853" s="59">
        <v>0</v>
      </c>
      <c r="F853" s="60">
        <v>0</v>
      </c>
      <c r="G853" s="59">
        <v>1</v>
      </c>
      <c r="H853" s="77">
        <v>4407</v>
      </c>
      <c r="I853" s="320">
        <v>1</v>
      </c>
      <c r="J853" s="406">
        <v>0</v>
      </c>
      <c r="K853" s="410">
        <v>0</v>
      </c>
      <c r="L853" s="427"/>
    </row>
    <row r="854" spans="1:14" s="66" customFormat="1" ht="18.25" customHeight="1" outlineLevel="1">
      <c r="A854" s="572"/>
      <c r="B854" s="68" t="s">
        <v>578</v>
      </c>
      <c r="C854" s="62" t="s">
        <v>593</v>
      </c>
      <c r="D854" s="26">
        <v>3</v>
      </c>
      <c r="E854" s="70">
        <v>0</v>
      </c>
      <c r="F854" s="71">
        <v>0</v>
      </c>
      <c r="G854" s="70">
        <v>3</v>
      </c>
      <c r="H854" s="78">
        <v>17062</v>
      </c>
      <c r="I854" s="321">
        <v>2</v>
      </c>
      <c r="J854" s="322">
        <v>0</v>
      </c>
      <c r="K854" s="323">
        <v>0</v>
      </c>
      <c r="L854" s="435">
        <v>0</v>
      </c>
      <c r="M854" s="250" t="s">
        <v>168</v>
      </c>
      <c r="N854" s="250"/>
    </row>
    <row r="855" spans="1:14" ht="18.25" customHeight="1" outlineLevel="2">
      <c r="B855" s="54" t="s">
        <v>578</v>
      </c>
      <c r="C855" s="55" t="s">
        <v>595</v>
      </c>
      <c r="D855" s="7" t="s">
        <v>50</v>
      </c>
      <c r="E855" s="59">
        <v>0</v>
      </c>
      <c r="F855" s="60">
        <v>0</v>
      </c>
      <c r="G855" s="59">
        <v>0</v>
      </c>
      <c r="H855" s="77">
        <v>0</v>
      </c>
      <c r="I855" s="320">
        <v>0</v>
      </c>
      <c r="J855" s="406">
        <v>0</v>
      </c>
      <c r="K855" s="410">
        <v>0</v>
      </c>
      <c r="L855" s="427"/>
    </row>
    <row r="856" spans="1:14" ht="18.25" customHeight="1" outlineLevel="2">
      <c r="B856" s="54" t="s">
        <v>578</v>
      </c>
      <c r="C856" s="55" t="s">
        <v>599</v>
      </c>
      <c r="D856" s="7" t="s">
        <v>26</v>
      </c>
      <c r="E856" s="59">
        <v>0</v>
      </c>
      <c r="F856" s="60">
        <v>0</v>
      </c>
      <c r="G856" s="59">
        <v>0.5</v>
      </c>
      <c r="H856" s="77">
        <v>366</v>
      </c>
      <c r="I856" s="320">
        <v>1</v>
      </c>
      <c r="J856" s="406">
        <v>0</v>
      </c>
      <c r="K856" s="410">
        <v>0</v>
      </c>
      <c r="L856" s="427"/>
    </row>
    <row r="857" spans="1:14" ht="18.25" customHeight="1" outlineLevel="2">
      <c r="B857" s="54" t="s">
        <v>578</v>
      </c>
      <c r="C857" s="55" t="s">
        <v>780</v>
      </c>
      <c r="D857" s="7" t="s">
        <v>26</v>
      </c>
      <c r="E857" s="59">
        <v>0</v>
      </c>
      <c r="F857" s="60">
        <v>0</v>
      </c>
      <c r="G857" s="59">
        <v>0.5</v>
      </c>
      <c r="H857" s="77">
        <v>366</v>
      </c>
      <c r="I857" s="320">
        <v>1</v>
      </c>
      <c r="J857" s="406">
        <v>0</v>
      </c>
      <c r="K857" s="410">
        <v>0</v>
      </c>
      <c r="L857" s="427"/>
    </row>
    <row r="858" spans="1:14" ht="18.25" customHeight="1" outlineLevel="2">
      <c r="B858" s="54" t="s">
        <v>578</v>
      </c>
      <c r="C858" s="55" t="s">
        <v>596</v>
      </c>
      <c r="D858" s="7" t="s">
        <v>26</v>
      </c>
      <c r="E858" s="59">
        <v>0</v>
      </c>
      <c r="F858" s="60">
        <v>0</v>
      </c>
      <c r="G858" s="59">
        <v>4</v>
      </c>
      <c r="H858" s="77">
        <v>3883</v>
      </c>
      <c r="I858" s="320">
        <v>1</v>
      </c>
      <c r="J858" s="406">
        <v>0</v>
      </c>
      <c r="K858" s="410">
        <v>0</v>
      </c>
      <c r="L858" s="427"/>
    </row>
    <row r="859" spans="1:14" ht="18.25" customHeight="1" outlineLevel="2">
      <c r="B859" s="54" t="s">
        <v>578</v>
      </c>
      <c r="C859" s="55" t="s">
        <v>597</v>
      </c>
      <c r="D859" s="7" t="s">
        <v>26</v>
      </c>
      <c r="E859" s="59">
        <v>0</v>
      </c>
      <c r="F859" s="60">
        <v>0</v>
      </c>
      <c r="G859" s="59">
        <v>0</v>
      </c>
      <c r="H859" s="77">
        <v>0</v>
      </c>
      <c r="I859" s="320">
        <v>0</v>
      </c>
      <c r="J859" s="406">
        <v>0</v>
      </c>
      <c r="K859" s="410">
        <v>0</v>
      </c>
      <c r="L859" s="427"/>
    </row>
    <row r="860" spans="1:14" s="66" customFormat="1" ht="18.25" customHeight="1" outlineLevel="1">
      <c r="A860" s="572"/>
      <c r="B860" s="68" t="s">
        <v>578</v>
      </c>
      <c r="C860" s="62" t="s">
        <v>595</v>
      </c>
      <c r="D860" s="26">
        <v>5</v>
      </c>
      <c r="E860" s="70">
        <v>0</v>
      </c>
      <c r="F860" s="71">
        <v>0</v>
      </c>
      <c r="G860" s="70">
        <v>5</v>
      </c>
      <c r="H860" s="78">
        <v>4615</v>
      </c>
      <c r="I860" s="321">
        <v>3</v>
      </c>
      <c r="J860" s="322">
        <v>0</v>
      </c>
      <c r="K860" s="323">
        <v>0</v>
      </c>
      <c r="L860" s="435">
        <v>0</v>
      </c>
      <c r="M860" s="250" t="s">
        <v>50</v>
      </c>
      <c r="N860" s="250"/>
    </row>
    <row r="861" spans="1:14" ht="18.25" customHeight="1" outlineLevel="2">
      <c r="B861" s="54" t="s">
        <v>578</v>
      </c>
      <c r="C861" s="55" t="s">
        <v>598</v>
      </c>
      <c r="D861" s="7" t="s">
        <v>188</v>
      </c>
      <c r="E861" s="59">
        <v>0</v>
      </c>
      <c r="F861" s="60">
        <v>0</v>
      </c>
      <c r="G861" s="59">
        <v>2</v>
      </c>
      <c r="H861" s="77">
        <v>4935</v>
      </c>
      <c r="I861" s="320">
        <v>1</v>
      </c>
      <c r="J861" s="406">
        <v>0</v>
      </c>
      <c r="K861" s="410">
        <v>0</v>
      </c>
      <c r="L861" s="427"/>
    </row>
    <row r="862" spans="1:14" ht="18.25" customHeight="1" outlineLevel="2">
      <c r="B862" s="54" t="s">
        <v>578</v>
      </c>
      <c r="C862" s="55" t="s">
        <v>630</v>
      </c>
      <c r="D862" s="7" t="s">
        <v>26</v>
      </c>
      <c r="E862" s="59">
        <v>0</v>
      </c>
      <c r="F862" s="60">
        <v>0</v>
      </c>
      <c r="G862" s="59">
        <v>0</v>
      </c>
      <c r="H862" s="77">
        <v>0</v>
      </c>
      <c r="I862" s="320">
        <v>0</v>
      </c>
      <c r="J862" s="406">
        <v>0</v>
      </c>
      <c r="K862" s="410">
        <v>0</v>
      </c>
      <c r="L862" s="427"/>
    </row>
    <row r="863" spans="1:14" s="66" customFormat="1" ht="18.25" customHeight="1" outlineLevel="1">
      <c r="A863" s="572"/>
      <c r="B863" s="68" t="s">
        <v>578</v>
      </c>
      <c r="C863" s="62" t="s">
        <v>598</v>
      </c>
      <c r="D863" s="26">
        <v>2</v>
      </c>
      <c r="E863" s="70">
        <v>0</v>
      </c>
      <c r="F863" s="71">
        <v>0</v>
      </c>
      <c r="G863" s="70">
        <v>2</v>
      </c>
      <c r="H863" s="78">
        <v>4935</v>
      </c>
      <c r="I863" s="321">
        <v>1</v>
      </c>
      <c r="J863" s="322">
        <v>0</v>
      </c>
      <c r="K863" s="323">
        <v>0</v>
      </c>
      <c r="L863" s="435">
        <v>0</v>
      </c>
      <c r="M863" s="250" t="s">
        <v>168</v>
      </c>
      <c r="N863" s="250"/>
    </row>
    <row r="864" spans="1:14" ht="18.25" customHeight="1" outlineLevel="2">
      <c r="B864" s="54" t="s">
        <v>578</v>
      </c>
      <c r="C864" s="55" t="s">
        <v>603</v>
      </c>
      <c r="D864" s="7" t="s">
        <v>170</v>
      </c>
      <c r="E864" s="59">
        <v>0</v>
      </c>
      <c r="F864" s="60">
        <v>0</v>
      </c>
      <c r="G864" s="59">
        <v>2</v>
      </c>
      <c r="H864" s="77">
        <v>70217</v>
      </c>
      <c r="I864" s="320">
        <v>1</v>
      </c>
      <c r="J864" s="406">
        <v>1</v>
      </c>
      <c r="K864" s="410">
        <v>1</v>
      </c>
      <c r="L864" s="427"/>
    </row>
    <row r="865" spans="1:17" ht="18.25" customHeight="1" outlineLevel="2">
      <c r="B865" s="54" t="s">
        <v>578</v>
      </c>
      <c r="C865" s="55" t="s">
        <v>604</v>
      </c>
      <c r="D865" s="23" t="s">
        <v>26</v>
      </c>
      <c r="E865" s="59">
        <v>0</v>
      </c>
      <c r="F865" s="60">
        <v>0</v>
      </c>
      <c r="G865" s="59">
        <v>0</v>
      </c>
      <c r="H865" s="77">
        <v>0</v>
      </c>
      <c r="I865" s="320">
        <v>0</v>
      </c>
      <c r="J865" s="406">
        <v>0</v>
      </c>
      <c r="K865" s="410">
        <v>0</v>
      </c>
      <c r="L865" s="427"/>
    </row>
    <row r="866" spans="1:17" ht="18.25" customHeight="1" outlineLevel="2">
      <c r="B866" s="54" t="s">
        <v>578</v>
      </c>
      <c r="C866" s="55" t="s">
        <v>605</v>
      </c>
      <c r="D866" s="23" t="s">
        <v>26</v>
      </c>
      <c r="E866" s="59">
        <v>0</v>
      </c>
      <c r="F866" s="60">
        <v>0</v>
      </c>
      <c r="G866" s="59">
        <v>4</v>
      </c>
      <c r="H866" s="77">
        <v>27236</v>
      </c>
      <c r="I866" s="320">
        <v>1</v>
      </c>
      <c r="J866" s="406">
        <v>1</v>
      </c>
      <c r="K866" s="410">
        <v>1</v>
      </c>
      <c r="L866" s="427"/>
    </row>
    <row r="867" spans="1:17" s="66" customFormat="1" ht="18.25" customHeight="1" outlineLevel="1">
      <c r="A867" s="572"/>
      <c r="B867" s="68" t="s">
        <v>578</v>
      </c>
      <c r="C867" s="62" t="s">
        <v>603</v>
      </c>
      <c r="D867" s="26">
        <v>3</v>
      </c>
      <c r="E867" s="70">
        <v>0</v>
      </c>
      <c r="F867" s="71">
        <v>0</v>
      </c>
      <c r="G867" s="70">
        <v>6</v>
      </c>
      <c r="H867" s="78">
        <v>97453</v>
      </c>
      <c r="I867" s="321">
        <v>2</v>
      </c>
      <c r="J867" s="322">
        <v>2</v>
      </c>
      <c r="K867" s="323">
        <v>2</v>
      </c>
      <c r="L867" s="435">
        <v>1</v>
      </c>
      <c r="M867" s="250" t="s">
        <v>170</v>
      </c>
      <c r="N867" s="250"/>
    </row>
    <row r="868" spans="1:17" s="162" customFormat="1" ht="18.25" customHeight="1">
      <c r="A868" s="574" t="s">
        <v>832</v>
      </c>
      <c r="B868" s="948" t="s">
        <v>579</v>
      </c>
      <c r="C868" s="948"/>
      <c r="D868" s="158">
        <v>35</v>
      </c>
      <c r="E868" s="159">
        <v>0</v>
      </c>
      <c r="F868" s="160">
        <v>0</v>
      </c>
      <c r="G868" s="159">
        <v>63</v>
      </c>
      <c r="H868" s="161">
        <v>785944</v>
      </c>
      <c r="I868" s="159">
        <v>26</v>
      </c>
      <c r="J868" s="161">
        <v>16</v>
      </c>
      <c r="K868" s="422">
        <v>13</v>
      </c>
      <c r="L868" s="441">
        <v>3</v>
      </c>
      <c r="M868" s="253"/>
      <c r="N868" s="253"/>
    </row>
    <row r="869" spans="1:17" s="1" customFormat="1">
      <c r="A869" s="571"/>
      <c r="D869" s="61"/>
      <c r="E869" s="49"/>
      <c r="F869" s="49"/>
      <c r="G869" s="49"/>
      <c r="H869" s="49"/>
      <c r="I869" s="293"/>
      <c r="J869" s="308"/>
      <c r="K869" s="308"/>
      <c r="L869" s="425"/>
      <c r="O869"/>
      <c r="P869"/>
      <c r="Q869"/>
    </row>
    <row r="870" spans="1:17" s="1" customFormat="1">
      <c r="A870" s="571"/>
      <c r="B870" s="1" t="s">
        <v>553</v>
      </c>
      <c r="D870" s="72">
        <v>584</v>
      </c>
      <c r="E870" s="73">
        <v>43</v>
      </c>
      <c r="F870" s="73">
        <v>434120</v>
      </c>
      <c r="G870" s="73">
        <v>1016</v>
      </c>
      <c r="H870" s="73">
        <v>19556975</v>
      </c>
      <c r="I870" s="334">
        <v>342</v>
      </c>
      <c r="J870" s="335">
        <v>248</v>
      </c>
      <c r="K870" s="335">
        <v>190</v>
      </c>
      <c r="L870" s="442" t="e">
        <v>#VALUE!</v>
      </c>
      <c r="O870"/>
      <c r="P870"/>
      <c r="Q870"/>
    </row>
    <row r="871" spans="1:17" s="1" customFormat="1">
      <c r="A871" s="571"/>
      <c r="D871" s="72"/>
      <c r="E871" s="73"/>
      <c r="F871" s="73"/>
      <c r="H871" s="207"/>
      <c r="L871" s="443"/>
      <c r="O871"/>
      <c r="P871"/>
      <c r="Q871"/>
    </row>
    <row r="873" spans="1:17" s="1" customFormat="1">
      <c r="A873" s="571"/>
      <c r="D873" s="72"/>
      <c r="I873" s="293"/>
      <c r="J873" s="308"/>
      <c r="K873" s="308"/>
      <c r="L873" s="425"/>
      <c r="O873"/>
      <c r="P873"/>
      <c r="Q873"/>
    </row>
  </sheetData>
  <mergeCells count="18">
    <mergeCell ref="B1:I1"/>
    <mergeCell ref="B3:C3"/>
    <mergeCell ref="E3:F3"/>
    <mergeCell ref="G3:H3"/>
    <mergeCell ref="B96:C96"/>
    <mergeCell ref="B33:C33"/>
    <mergeCell ref="B446:C446"/>
    <mergeCell ref="B229:C229"/>
    <mergeCell ref="B286:C286"/>
    <mergeCell ref="B356:C356"/>
    <mergeCell ref="B384:C384"/>
    <mergeCell ref="B868:C868"/>
    <mergeCell ref="B507:C507"/>
    <mergeCell ref="B655:C655"/>
    <mergeCell ref="B684:C684"/>
    <mergeCell ref="B736:C736"/>
    <mergeCell ref="B777:C777"/>
    <mergeCell ref="B822:C822"/>
  </mergeCells>
  <phoneticPr fontId="3" type="noConversion"/>
  <conditionalFormatting sqref="E846:I846 E764:I764 E737:I737 E759:I762 E767:I767 E724:I724 J867 E865:I867 E839:I839 E842:I843 E769:I773 E815:I817 E863:I863 E449:I449 E741:I743 E797:I797 E469:I470 L821:L822 E732:I735 E858:I859 E832:I832 E745:I746 E780:I782 E751:I755 E454:I455 E775:I775 E475:I476 E851:I855 E799:I808 E823:I828 E868:J868 E452:L452 J454:L454 J458:L458 J461:L461 F464:L464 J470:L470 J478:L478 J725:L725 J727:L727 E731:L731 J735:L735 J743:L743 E750:L750 E756:L756 E763:L763 E766:L766 E774:L774 E776:L777 E833:L833 J842:L842 E845:L845 E850:L850 J854:L854 E860:L860 K867:L868 J475:L475 E472:L472 K783:L783 K787:L787 K790:L790 K794:L794 K799:L799 K802:L802 K805:L805 K807:L807 K813:L813 K816:L816 K821 K822:L822 K838:L838 K863:L863 K796 K835 K758 K745">
    <cfRule type="cellIs" dxfId="247" priority="544" stopIfTrue="1" operator="equal">
      <formula>0</formula>
    </cfRule>
  </conditionalFormatting>
  <conditionalFormatting sqref="E864:I864">
    <cfRule type="cellIs" dxfId="246" priority="543" stopIfTrue="1" operator="equal">
      <formula>0</formula>
    </cfRule>
  </conditionalFormatting>
  <conditionalFormatting sqref="E765:I765">
    <cfRule type="cellIs" dxfId="245" priority="542" stopIfTrue="1" operator="equal">
      <formula>0</formula>
    </cfRule>
  </conditionalFormatting>
  <conditionalFormatting sqref="E740:H740">
    <cfRule type="cellIs" dxfId="244" priority="541" stopIfTrue="1" operator="equal">
      <formula>0</formula>
    </cfRule>
  </conditionalFormatting>
  <conditionalFormatting sqref="I740">
    <cfRule type="cellIs" dxfId="243" priority="540" stopIfTrue="1" operator="equal">
      <formula>0</formula>
    </cfRule>
  </conditionalFormatting>
  <conditionalFormatting sqref="E725:I728">
    <cfRule type="cellIs" dxfId="242" priority="539" stopIfTrue="1" operator="equal">
      <formula>0</formula>
    </cfRule>
  </conditionalFormatting>
  <conditionalFormatting sqref="E722:I722">
    <cfRule type="cellIs" dxfId="241" priority="538" stopIfTrue="1" operator="equal">
      <formula>0</formula>
    </cfRule>
  </conditionalFormatting>
  <conditionalFormatting sqref="E465:I465 E464 E478:I478 E458:I459 E461:I462">
    <cfRule type="cellIs" dxfId="240" priority="537" stopIfTrue="1" operator="equal">
      <formula>0</formula>
    </cfRule>
  </conditionalFormatting>
  <conditionalFormatting sqref="E453:I453">
    <cfRule type="cellIs" dxfId="239" priority="536" stopIfTrue="1" operator="equal">
      <formula>0</formula>
    </cfRule>
  </conditionalFormatting>
  <conditionalFormatting sqref="J845:J846 J607:J608 J346:J347 J246:J248 J679:J680 J594:J595 J839 J588:J589 J842:J843 J309:J310 J299 J224 J591 J366:J370 J570:J573 J566:J568 J793:J794 J15:J16 J28:J29 J376:J378 J597:J602 J464:J465 J372:J374 J89 J312:J340 J545:J548 J55:J56 J858:J860 J259 J575:J578 J811:J823 J478:J482 J828 J699:J703 J543 J633 J249:L258 J758:J767 J769:J777 J349:J357 J683:J697 J850:J855 J799:J808 J469:J473 J342:J344 L187:L196 J407:J410 J779:J783 J484:J492 J562:J563 J19:J20 J445:J449 J796:J797 J830:L835 J707:J710 J379:L394 J261:J262 J359:J363 J580:J585 J497:J498 J494:J495 J500:J501 J93 K828:L829 J553:J557 J559:J560 J452:J455 K305:L305 J550:J551 J750:J756 J296 J610:J614 J288:L291 J61 J626:J631 J5:J8 K292:L292 J458:J462 J219:J220 J189:K191 J475:J476 K296:L299 J863:J868 K799:L823 J674:J677 J661:J671 K192:K196 J618:J623 J274:J287 J192:J198 J437:L444 J77:J80 K294:L294 J212:J217 J300:L304 J58:J59 J824:L827 J395:J401 K259:L287 K307:L378 K445:L533 K543:L557 K559:L624 K626:L797 K836:L868 J83:J87 J266:J271 J798:L798 J714:J737 J540 K542 J412:J436 J227:J241 J130:J186 J187:K187 K540:L541 J10:J12 J201:J210 J22:J23 J25:J26 K197:L248 J95:J121 J504:J510 J705 J740:J746 J403:J404 K395:L436 J32:J37 J535 K539 K535:L536 J558:L558 K5:L37 J293:L293 J295:L295 J306:L306 J124:J128 J64:J73 J39:J52 J650:J658 J635:J648 K625 J81:K81 K538:L538 J515:J532 K534 K95:L186 K94 K82:L93 K39:L80 K537 J38:L38">
    <cfRule type="cellIs" dxfId="238" priority="534" operator="equal">
      <formula>0</formula>
    </cfRule>
  </conditionalFormatting>
  <conditionalFormatting sqref="J569">
    <cfRule type="cellIs" dxfId="237" priority="533" operator="equal">
      <formula>0</formula>
    </cfRule>
  </conditionalFormatting>
  <conditionalFormatting sqref="J365">
    <cfRule type="cellIs" dxfId="236" priority="532" operator="equal">
      <formula>0</formula>
    </cfRule>
  </conditionalFormatting>
  <conditionalFormatting sqref="J592">
    <cfRule type="cellIs" dxfId="235" priority="531" operator="equal">
      <formula>0</formula>
    </cfRule>
  </conditionalFormatting>
  <conditionalFormatting sqref="E844:I844">
    <cfRule type="cellIs" dxfId="234" priority="530" stopIfTrue="1" operator="equal">
      <formula>0</formula>
    </cfRule>
  </conditionalFormatting>
  <conditionalFormatting sqref="J844">
    <cfRule type="cellIs" dxfId="233" priority="529" operator="equal">
      <formula>0</formula>
    </cfRule>
  </conditionalFormatting>
  <conditionalFormatting sqref="J606">
    <cfRule type="cellIs" dxfId="232" priority="528" operator="equal">
      <formula>0</formula>
    </cfRule>
  </conditionalFormatting>
  <conditionalFormatting sqref="J345">
    <cfRule type="cellIs" dxfId="231" priority="527" operator="equal">
      <formula>0</formula>
    </cfRule>
  </conditionalFormatting>
  <conditionalFormatting sqref="J218">
    <cfRule type="cellIs" dxfId="230" priority="526" operator="equal">
      <formula>0</formula>
    </cfRule>
  </conditionalFormatting>
  <conditionalFormatting sqref="J225">
    <cfRule type="cellIs" dxfId="229" priority="525" operator="equal">
      <formula>0</formula>
    </cfRule>
  </conditionalFormatting>
  <conditionalFormatting sqref="J565">
    <cfRule type="cellIs" dxfId="228" priority="523" operator="equal">
      <formula>0</formula>
    </cfRule>
  </conditionalFormatting>
  <conditionalFormatting sqref="E730:I730">
    <cfRule type="cellIs" dxfId="227" priority="522" stopIfTrue="1" operator="equal">
      <formula>0</formula>
    </cfRule>
  </conditionalFormatting>
  <conditionalFormatting sqref="J749">
    <cfRule type="cellIs" dxfId="226" priority="520" operator="equal">
      <formula>0</formula>
    </cfRule>
  </conditionalFormatting>
  <conditionalFormatting sqref="E749:I749">
    <cfRule type="cellIs" dxfId="225" priority="521" stopIfTrue="1" operator="equal">
      <formula>0</formula>
    </cfRule>
  </conditionalFormatting>
  <conditionalFormatting sqref="J483">
    <cfRule type="cellIs" dxfId="224" priority="519" operator="equal">
      <formula>0</formula>
    </cfRule>
  </conditionalFormatting>
  <conditionalFormatting sqref="J156">
    <cfRule type="cellIs" dxfId="223" priority="518" operator="equal">
      <formula>0</formula>
    </cfRule>
  </conditionalFormatting>
  <conditionalFormatting sqref="J139">
    <cfRule type="cellIs" dxfId="222" priority="517" operator="equal">
      <formula>0</formula>
    </cfRule>
  </conditionalFormatting>
  <conditionalFormatting sqref="J90">
    <cfRule type="cellIs" dxfId="221" priority="516" operator="equal">
      <formula>0</formula>
    </cfRule>
  </conditionalFormatting>
  <conditionalFormatting sqref="E791:I791 E812:I812 E783:J783 J787 E794:J794 J799 J802 J805 J807 J816 J821:J822 E790:J790 E818:I822 E813:J813 E778:I778 E784:I788">
    <cfRule type="cellIs" dxfId="220" priority="515" stopIfTrue="1" operator="equal">
      <formula>0</formula>
    </cfRule>
  </conditionalFormatting>
  <conditionalFormatting sqref="E793:I793">
    <cfRule type="cellIs" dxfId="219" priority="514" stopIfTrue="1" operator="equal">
      <formula>0</formula>
    </cfRule>
  </conditionalFormatting>
  <conditionalFormatting sqref="E811:I811">
    <cfRule type="cellIs" dxfId="218" priority="513" stopIfTrue="1" operator="equal">
      <formula>0</formula>
    </cfRule>
  </conditionalFormatting>
  <conditionalFormatting sqref="E814:I814">
    <cfRule type="cellIs" dxfId="217" priority="512" stopIfTrue="1" operator="equal">
      <formula>0</formula>
    </cfRule>
  </conditionalFormatting>
  <conditionalFormatting sqref="J790:J791 J778 J784:J788">
    <cfRule type="cellIs" dxfId="216" priority="511" operator="equal">
      <formula>0</formula>
    </cfRule>
  </conditionalFormatting>
  <conditionalFormatting sqref="E789:I789">
    <cfRule type="cellIs" dxfId="215" priority="510" stopIfTrue="1" operator="equal">
      <formula>0</formula>
    </cfRule>
  </conditionalFormatting>
  <conditionalFormatting sqref="J789">
    <cfRule type="cellIs" dxfId="214" priority="509" operator="equal">
      <formula>0</formula>
    </cfRule>
  </conditionalFormatting>
  <conditionalFormatting sqref="E849:I849">
    <cfRule type="cellIs" dxfId="213" priority="508" stopIfTrue="1" operator="equal">
      <formula>0</formula>
    </cfRule>
  </conditionalFormatting>
  <conditionalFormatting sqref="J849">
    <cfRule type="cellIs" dxfId="212" priority="507" operator="equal">
      <formula>0</formula>
    </cfRule>
  </conditionalFormatting>
  <conditionalFormatting sqref="J514">
    <cfRule type="cellIs" dxfId="211" priority="506" operator="equal">
      <formula>0</formula>
    </cfRule>
  </conditionalFormatting>
  <conditionalFormatting sqref="L777">
    <cfRule type="cellIs" dxfId="210" priority="505" stopIfTrue="1" operator="equal">
      <formula>0</formula>
    </cfRule>
  </conditionalFormatting>
  <conditionalFormatting sqref="J297:J298">
    <cfRule type="cellIs" dxfId="209" priority="483" operator="equal">
      <formula>0</formula>
    </cfRule>
  </conditionalFormatting>
  <conditionalFormatting sqref="J375">
    <cfRule type="cellIs" dxfId="208" priority="481" operator="equal">
      <formula>0</formula>
    </cfRule>
  </conditionalFormatting>
  <conditionalFormatting sqref="J242">
    <cfRule type="cellIs" dxfId="207" priority="480" operator="equal">
      <formula>0</formula>
    </cfRule>
  </conditionalFormatting>
  <conditionalFormatting sqref="J245">
    <cfRule type="cellIs" dxfId="206" priority="479" operator="equal">
      <formula>0</formula>
    </cfRule>
  </conditionalFormatting>
  <conditionalFormatting sqref="J311">
    <cfRule type="cellIs" dxfId="205" priority="476" operator="equal">
      <formula>0</formula>
    </cfRule>
  </conditionalFormatting>
  <conditionalFormatting sqref="J348">
    <cfRule type="cellIs" dxfId="204" priority="474" operator="equal">
      <formula>0</formula>
    </cfRule>
  </conditionalFormatting>
  <conditionalFormatting sqref="J402">
    <cfRule type="cellIs" dxfId="203" priority="471" operator="equal">
      <formula>0</formula>
    </cfRule>
  </conditionalFormatting>
  <conditionalFormatting sqref="J223">
    <cfRule type="cellIs" dxfId="202" priority="470" operator="equal">
      <formula>0</formula>
    </cfRule>
  </conditionalFormatting>
  <conditionalFormatting sqref="J226">
    <cfRule type="cellIs" dxfId="201" priority="469" operator="equal">
      <formula>0</formula>
    </cfRule>
  </conditionalFormatting>
  <conditionalFormatting sqref="J513">
    <cfRule type="cellIs" dxfId="200" priority="464" operator="equal">
      <formula>0</formula>
    </cfRule>
  </conditionalFormatting>
  <conditionalFormatting sqref="J200">
    <cfRule type="cellIs" dxfId="199" priority="467" operator="equal">
      <formula>0</formula>
    </cfRule>
  </conditionalFormatting>
  <conditionalFormatting sqref="J544">
    <cfRule type="cellIs" dxfId="198" priority="466" operator="equal">
      <formula>0</formula>
    </cfRule>
  </conditionalFormatting>
  <conditionalFormatting sqref="J609">
    <cfRule type="cellIs" dxfId="197" priority="460" operator="equal">
      <formula>0</formula>
    </cfRule>
  </conditionalFormatting>
  <conditionalFormatting sqref="E768:I768">
    <cfRule type="cellIs" dxfId="196" priority="458" stopIfTrue="1" operator="equal">
      <formula>0</formula>
    </cfRule>
  </conditionalFormatting>
  <conditionalFormatting sqref="J768">
    <cfRule type="cellIs" dxfId="195" priority="457" operator="equal">
      <formula>0</formula>
    </cfRule>
  </conditionalFormatting>
  <conditionalFormatting sqref="E739:H739">
    <cfRule type="cellIs" dxfId="194" priority="456" stopIfTrue="1" operator="equal">
      <formula>0</formula>
    </cfRule>
  </conditionalFormatting>
  <conditionalFormatting sqref="I739">
    <cfRule type="cellIs" dxfId="193" priority="455" stopIfTrue="1" operator="equal">
      <formula>0</formula>
    </cfRule>
  </conditionalFormatting>
  <conditionalFormatting sqref="J739">
    <cfRule type="cellIs" dxfId="192" priority="454" operator="equal">
      <formula>0</formula>
    </cfRule>
  </conditionalFormatting>
  <conditionalFormatting sqref="J265">
    <cfRule type="cellIs" dxfId="191" priority="452" operator="equal">
      <formula>0</formula>
    </cfRule>
  </conditionalFormatting>
  <conditionalFormatting sqref="J123">
    <cfRule type="cellIs" dxfId="190" priority="450" operator="equal">
      <formula>0</formula>
    </cfRule>
  </conditionalFormatting>
  <conditionalFormatting sqref="J371">
    <cfRule type="cellIs" dxfId="189" priority="449" operator="equal">
      <formula>0</formula>
    </cfRule>
  </conditionalFormatting>
  <conditionalFormatting sqref="J596">
    <cfRule type="cellIs" dxfId="188" priority="447" operator="equal">
      <formula>0</formula>
    </cfRule>
  </conditionalFormatting>
  <conditionalFormatting sqref="E836:I836 E838:J838">
    <cfRule type="cellIs" dxfId="187" priority="445" stopIfTrue="1" operator="equal">
      <formula>0</formula>
    </cfRule>
  </conditionalFormatting>
  <conditionalFormatting sqref="J836 J838">
    <cfRule type="cellIs" dxfId="186" priority="444" operator="equal">
      <formula>0</formula>
    </cfRule>
  </conditionalFormatting>
  <conditionalFormatting sqref="E837:I837">
    <cfRule type="cellIs" dxfId="185" priority="443" stopIfTrue="1" operator="equal">
      <formula>0</formula>
    </cfRule>
  </conditionalFormatting>
  <conditionalFormatting sqref="J837">
    <cfRule type="cellIs" dxfId="184" priority="442" operator="equal">
      <formula>0</formula>
    </cfRule>
  </conditionalFormatting>
  <conditionalFormatting sqref="J586:J587">
    <cfRule type="cellIs" dxfId="183" priority="438" operator="equal">
      <formula>0</formula>
    </cfRule>
  </conditionalFormatting>
  <conditionalFormatting sqref="J863 E861:I861">
    <cfRule type="cellIs" dxfId="182" priority="436" stopIfTrue="1" operator="equal">
      <formula>0</formula>
    </cfRule>
  </conditionalFormatting>
  <conditionalFormatting sqref="J861">
    <cfRule type="cellIs" dxfId="181" priority="435" operator="equal">
      <formula>0</formula>
    </cfRule>
  </conditionalFormatting>
  <conditionalFormatting sqref="E862:I862">
    <cfRule type="cellIs" dxfId="180" priority="434" stopIfTrue="1" operator="equal">
      <formula>0</formula>
    </cfRule>
  </conditionalFormatting>
  <conditionalFormatting sqref="J862">
    <cfRule type="cellIs" dxfId="179" priority="433" operator="equal">
      <formula>0</formula>
    </cfRule>
  </conditionalFormatting>
  <conditionalFormatting sqref="J9">
    <cfRule type="cellIs" dxfId="178" priority="429" operator="equal">
      <formula>0</formula>
    </cfRule>
  </conditionalFormatting>
  <conditionalFormatting sqref="J549 J552">
    <cfRule type="cellIs" dxfId="177" priority="427" operator="equal">
      <formula>0</formula>
    </cfRule>
  </conditionalFormatting>
  <conditionalFormatting sqref="E809:I810">
    <cfRule type="cellIs" dxfId="176" priority="425" stopIfTrue="1" operator="equal">
      <formula>0</formula>
    </cfRule>
  </conditionalFormatting>
  <conditionalFormatting sqref="J809:J810">
    <cfRule type="cellIs" dxfId="175" priority="424" operator="equal">
      <formula>0</formula>
    </cfRule>
  </conditionalFormatting>
  <conditionalFormatting sqref="E856:I857">
    <cfRule type="cellIs" dxfId="174" priority="422" stopIfTrue="1" operator="equal">
      <formula>0</formula>
    </cfRule>
  </conditionalFormatting>
  <conditionalFormatting sqref="J856:J857">
    <cfRule type="cellIs" dxfId="173" priority="421" operator="equal">
      <formula>0</formula>
    </cfRule>
  </conditionalFormatting>
  <conditionalFormatting sqref="J411">
    <cfRule type="cellIs" dxfId="172" priority="419" operator="equal">
      <formula>0</formula>
    </cfRule>
  </conditionalFormatting>
  <conditionalFormatting sqref="J14">
    <cfRule type="cellIs" dxfId="171" priority="417" operator="equal">
      <formula>0</formula>
    </cfRule>
  </conditionalFormatting>
  <conditionalFormatting sqref="J617">
    <cfRule type="cellIs" dxfId="170" priority="413" operator="equal">
      <formula>0</formula>
    </cfRule>
  </conditionalFormatting>
  <conditionalFormatting sqref="J698">
    <cfRule type="cellIs" dxfId="169" priority="415" operator="equal">
      <formula>0</formula>
    </cfRule>
  </conditionalFormatting>
  <conditionalFormatting sqref="J144:J147">
    <cfRule type="cellIs" dxfId="168" priority="411" operator="equal">
      <formula>0</formula>
    </cfRule>
  </conditionalFormatting>
  <conditionalFormatting sqref="J307">
    <cfRule type="cellIs" dxfId="167" priority="409" operator="equal">
      <formula>0</formula>
    </cfRule>
  </conditionalFormatting>
  <conditionalFormatting sqref="J308">
    <cfRule type="cellIs" dxfId="166" priority="407" operator="equal">
      <formula>0</formula>
    </cfRule>
  </conditionalFormatting>
  <conditionalFormatting sqref="J678">
    <cfRule type="cellIs" dxfId="165" priority="405" operator="equal">
      <formula>0</formula>
    </cfRule>
  </conditionalFormatting>
  <conditionalFormatting sqref="E792:I792">
    <cfRule type="cellIs" dxfId="164" priority="403" stopIfTrue="1" operator="equal">
      <formula>0</formula>
    </cfRule>
  </conditionalFormatting>
  <conditionalFormatting sqref="J792">
    <cfRule type="cellIs" dxfId="163" priority="402" operator="equal">
      <formula>0</formula>
    </cfRule>
  </conditionalFormatting>
  <conditionalFormatting sqref="J260">
    <cfRule type="cellIs" dxfId="162" priority="400" operator="equal">
      <formula>0</formula>
    </cfRule>
  </conditionalFormatting>
  <conditionalFormatting sqref="J364">
    <cfRule type="cellIs" dxfId="161" priority="394" operator="equal">
      <formula>0</formula>
    </cfRule>
  </conditionalFormatting>
  <conditionalFormatting sqref="J615:J616">
    <cfRule type="cellIs" dxfId="160" priority="392" operator="equal">
      <formula>0</formula>
    </cfRule>
  </conditionalFormatting>
  <conditionalFormatting sqref="J512">
    <cfRule type="cellIs" dxfId="159" priority="390" operator="equal">
      <formula>0</formula>
    </cfRule>
  </conditionalFormatting>
  <conditionalFormatting sqref="J30:J31">
    <cfRule type="cellIs" dxfId="158" priority="384" operator="equal">
      <formula>0</formula>
    </cfRule>
  </conditionalFormatting>
  <conditionalFormatting sqref="J747:J748">
    <cfRule type="cellIs" dxfId="157" priority="380" operator="equal">
      <formula>0</formula>
    </cfRule>
  </conditionalFormatting>
  <conditionalFormatting sqref="E748:I748">
    <cfRule type="cellIs" dxfId="156" priority="381" stopIfTrue="1" operator="equal">
      <formula>0</formula>
    </cfRule>
  </conditionalFormatting>
  <conditionalFormatting sqref="E468:I468">
    <cfRule type="cellIs" dxfId="155" priority="376" stopIfTrue="1" operator="equal">
      <formula>0</formula>
    </cfRule>
  </conditionalFormatting>
  <conditionalFormatting sqref="J466:J468">
    <cfRule type="cellIs" dxfId="154" priority="375" operator="equal">
      <formula>0</formula>
    </cfRule>
  </conditionalFormatting>
  <conditionalFormatting sqref="J604">
    <cfRule type="cellIs" dxfId="153" priority="373" operator="equal">
      <formula>0</formula>
    </cfRule>
  </conditionalFormatting>
  <conditionalFormatting sqref="J27">
    <cfRule type="cellIs" dxfId="152" priority="372" operator="equal">
      <formula>0</formula>
    </cfRule>
  </conditionalFormatting>
  <conditionalFormatting sqref="J76">
    <cfRule type="cellIs" dxfId="151" priority="370" operator="equal">
      <formula>0</formula>
    </cfRule>
  </conditionalFormatting>
  <conditionalFormatting sqref="J358">
    <cfRule type="cellIs" dxfId="150" priority="368" operator="equal">
      <formula>0</formula>
    </cfRule>
  </conditionalFormatting>
  <conditionalFormatting sqref="J222">
    <cfRule type="cellIs" dxfId="149" priority="367" operator="equal">
      <formula>0</formula>
    </cfRule>
  </conditionalFormatting>
  <conditionalFormatting sqref="J244">
    <cfRule type="cellIs" dxfId="148" priority="366" operator="equal">
      <formula>0</formula>
    </cfRule>
  </conditionalFormatting>
  <conditionalFormatting sqref="J574">
    <cfRule type="cellIs" dxfId="147" priority="364" operator="equal">
      <formula>0</formula>
    </cfRule>
  </conditionalFormatting>
  <conditionalFormatting sqref="J91:J92">
    <cfRule type="cellIs" dxfId="146" priority="359" operator="equal">
      <formula>0</formula>
    </cfRule>
  </conditionalFormatting>
  <conditionalFormatting sqref="J187">
    <cfRule type="cellIs" dxfId="145" priority="357" operator="equal">
      <formula>0</formula>
    </cfRule>
  </conditionalFormatting>
  <conditionalFormatting sqref="J53:J54">
    <cfRule type="cellIs" dxfId="144" priority="351" operator="equal">
      <formula>0</formula>
    </cfRule>
  </conditionalFormatting>
  <conditionalFormatting sqref="J263:J264">
    <cfRule type="cellIs" dxfId="143" priority="348" operator="equal">
      <formula>0</formula>
    </cfRule>
  </conditionalFormatting>
  <conditionalFormatting sqref="J477">
    <cfRule type="cellIs" dxfId="142" priority="344" operator="equal">
      <formula>0</formula>
    </cfRule>
  </conditionalFormatting>
  <conditionalFormatting sqref="E477:I477">
    <cfRule type="cellIs" dxfId="141" priority="345" stopIfTrue="1" operator="equal">
      <formula>0</formula>
    </cfRule>
  </conditionalFormatting>
  <conditionalFormatting sqref="J62">
    <cfRule type="cellIs" dxfId="140" priority="342" operator="equal">
      <formula>0</formula>
    </cfRule>
  </conditionalFormatting>
  <conditionalFormatting sqref="J63">
    <cfRule type="cellIs" dxfId="139" priority="339" operator="equal">
      <formula>0</formula>
    </cfRule>
  </conditionalFormatting>
  <conditionalFormatting sqref="L94">
    <cfRule type="cellIs" dxfId="138" priority="337" operator="equal">
      <formula>0</formula>
    </cfRule>
  </conditionalFormatting>
  <conditionalFormatting sqref="J673">
    <cfRule type="cellIs" dxfId="137" priority="335" operator="equal">
      <formula>0</formula>
    </cfRule>
  </conditionalFormatting>
  <conditionalFormatting sqref="L81">
    <cfRule type="cellIs" dxfId="136" priority="333" operator="equal">
      <formula>0</formula>
    </cfRule>
  </conditionalFormatting>
  <conditionalFormatting sqref="J564">
    <cfRule type="cellIs" dxfId="135" priority="330" operator="equal">
      <formula>0</formula>
    </cfRule>
  </conditionalFormatting>
  <conditionalFormatting sqref="E798:I798">
    <cfRule type="cellIs" dxfId="134" priority="328" stopIfTrue="1" operator="equal">
      <formula>0</formula>
    </cfRule>
  </conditionalFormatting>
  <conditionalFormatting sqref="J199">
    <cfRule type="cellIs" dxfId="133" priority="324" operator="equal">
      <formula>0</formula>
    </cfRule>
  </conditionalFormatting>
  <conditionalFormatting sqref="J542 L542">
    <cfRule type="cellIs" dxfId="132" priority="322" operator="equal">
      <formula>0</formula>
    </cfRule>
  </conditionalFormatting>
  <conditionalFormatting sqref="J713">
    <cfRule type="cellIs" dxfId="131" priority="317" operator="equal">
      <formula>0</formula>
    </cfRule>
  </conditionalFormatting>
  <conditionalFormatting sqref="J561">
    <cfRule type="cellIs" dxfId="130" priority="314" operator="equal">
      <formula>0</formula>
    </cfRule>
  </conditionalFormatting>
  <conditionalFormatting sqref="J243">
    <cfRule type="cellIs" dxfId="129" priority="310" operator="equal">
      <formula>0</formula>
    </cfRule>
  </conditionalFormatting>
  <conditionalFormatting sqref="J672">
    <cfRule type="cellIs" dxfId="128" priority="307" operator="equal">
      <formula>0</formula>
    </cfRule>
  </conditionalFormatting>
  <conditionalFormatting sqref="E848:I848">
    <cfRule type="cellIs" dxfId="127" priority="303" stopIfTrue="1" operator="equal">
      <formula>0</formula>
    </cfRule>
  </conditionalFormatting>
  <conditionalFormatting sqref="J847:J848">
    <cfRule type="cellIs" dxfId="126" priority="302" operator="equal">
      <formula>0</formula>
    </cfRule>
  </conditionalFormatting>
  <conditionalFormatting sqref="J21">
    <cfRule type="cellIs" dxfId="125" priority="299" operator="equal">
      <formula>0</formula>
    </cfRule>
  </conditionalFormatting>
  <conditionalFormatting sqref="J88">
    <cfRule type="cellIs" dxfId="124" priority="295" operator="equal">
      <formula>0</formula>
    </cfRule>
  </conditionalFormatting>
  <conditionalFormatting sqref="J511">
    <cfRule type="cellIs" dxfId="123" priority="292" operator="equal">
      <formula>0</formula>
    </cfRule>
  </conditionalFormatting>
  <conditionalFormatting sqref="E841:H841">
    <cfRule type="cellIs" dxfId="122" priority="290" stopIfTrue="1" operator="equal">
      <formula>0</formula>
    </cfRule>
  </conditionalFormatting>
  <conditionalFormatting sqref="I840:I841">
    <cfRule type="cellIs" dxfId="121" priority="288" stopIfTrue="1" operator="equal">
      <formula>0</formula>
    </cfRule>
  </conditionalFormatting>
  <conditionalFormatting sqref="J840:J841">
    <cfRule type="cellIs" dxfId="120" priority="287" operator="equal">
      <formula>0</formula>
    </cfRule>
  </conditionalFormatting>
  <conditionalFormatting sqref="J18">
    <cfRule type="cellIs" dxfId="119" priority="284" operator="equal">
      <formula>0</formula>
    </cfRule>
  </conditionalFormatting>
  <conditionalFormatting sqref="J711:J712">
    <cfRule type="cellIs" dxfId="118" priority="281" operator="equal">
      <formula>0</formula>
    </cfRule>
  </conditionalFormatting>
  <conditionalFormatting sqref="E463:I463">
    <cfRule type="cellIs" dxfId="117" priority="278" stopIfTrue="1" operator="equal">
      <formula>0</formula>
    </cfRule>
  </conditionalFormatting>
  <conditionalFormatting sqref="J463">
    <cfRule type="cellIs" dxfId="116" priority="277" operator="equal">
      <formula>0</formula>
    </cfRule>
  </conditionalFormatting>
  <conditionalFormatting sqref="L796">
    <cfRule type="cellIs" dxfId="115" priority="269" stopIfTrue="1" operator="equal">
      <formula>0</formula>
    </cfRule>
  </conditionalFormatting>
  <conditionalFormatting sqref="E795:I795 E796:J796">
    <cfRule type="cellIs" dxfId="114" priority="268" stopIfTrue="1" operator="equal">
      <formula>0</formula>
    </cfRule>
  </conditionalFormatting>
  <conditionalFormatting sqref="J795">
    <cfRule type="cellIs" dxfId="113" priority="267" operator="equal">
      <formula>0</formula>
    </cfRule>
  </conditionalFormatting>
  <conditionalFormatting sqref="J13">
    <cfRule type="cellIs" dxfId="112" priority="263" operator="equal">
      <formula>0</formula>
    </cfRule>
  </conditionalFormatting>
  <conditionalFormatting sqref="J341">
    <cfRule type="cellIs" dxfId="111" priority="259" operator="equal">
      <formula>0</formula>
    </cfRule>
  </conditionalFormatting>
  <conditionalFormatting sqref="J541">
    <cfRule type="cellIs" dxfId="110" priority="256" operator="equal">
      <formula>0</formula>
    </cfRule>
  </conditionalFormatting>
  <conditionalFormatting sqref="E834:I834 E835:J835 L835">
    <cfRule type="cellIs" dxfId="109" priority="254" stopIfTrue="1" operator="equal">
      <formula>0</formula>
    </cfRule>
  </conditionalFormatting>
  <conditionalFormatting sqref="E831:I831">
    <cfRule type="cellIs" dxfId="108" priority="251" stopIfTrue="1" operator="equal">
      <formula>0</formula>
    </cfRule>
  </conditionalFormatting>
  <conditionalFormatting sqref="J503">
    <cfRule type="cellIs" dxfId="107" priority="248" operator="equal">
      <formula>0</formula>
    </cfRule>
  </conditionalFormatting>
  <conditionalFormatting sqref="J493">
    <cfRule type="cellIs" dxfId="106" priority="245" operator="equal">
      <formula>0</formula>
    </cfRule>
  </conditionalFormatting>
  <conditionalFormatting sqref="J704 J706">
    <cfRule type="cellIs" dxfId="105" priority="239" operator="equal">
      <formula>0</formula>
    </cfRule>
  </conditionalFormatting>
  <conditionalFormatting sqref="E758:J758 E757:I757 L758">
    <cfRule type="cellIs" dxfId="104" priority="238" stopIfTrue="1" operator="equal">
      <formula>0</formula>
    </cfRule>
  </conditionalFormatting>
  <conditionalFormatting sqref="J757">
    <cfRule type="cellIs" dxfId="103" priority="237" operator="equal">
      <formula>0</formula>
    </cfRule>
  </conditionalFormatting>
  <conditionalFormatting sqref="J211">
    <cfRule type="cellIs" dxfId="102" priority="230" operator="equal">
      <formula>0</formula>
    </cfRule>
  </conditionalFormatting>
  <conditionalFormatting sqref="J502">
    <cfRule type="cellIs" dxfId="101" priority="222" operator="equal">
      <formula>0</formula>
    </cfRule>
  </conditionalFormatting>
  <conditionalFormatting sqref="J681:J682">
    <cfRule type="cellIs" dxfId="100" priority="220" operator="equal">
      <formula>0</formula>
    </cfRule>
  </conditionalFormatting>
  <conditionalFormatting sqref="E738:I738">
    <cfRule type="cellIs" dxfId="99" priority="215" stopIfTrue="1" operator="equal">
      <formula>0</formula>
    </cfRule>
  </conditionalFormatting>
  <conditionalFormatting sqref="J738">
    <cfRule type="cellIs" dxfId="98" priority="214" operator="equal">
      <formula>0</formula>
    </cfRule>
  </conditionalFormatting>
  <conditionalFormatting sqref="J603">
    <cfRule type="cellIs" dxfId="97" priority="207" operator="equal">
      <formula>0</formula>
    </cfRule>
  </conditionalFormatting>
  <conditionalFormatting sqref="J221">
    <cfRule type="cellIs" dxfId="96" priority="205" operator="equal">
      <formula>0</formula>
    </cfRule>
  </conditionalFormatting>
  <conditionalFormatting sqref="J111">
    <cfRule type="cellIs" dxfId="95" priority="203" operator="equal">
      <formula>0</formula>
    </cfRule>
  </conditionalFormatting>
  <conditionalFormatting sqref="J593">
    <cfRule type="cellIs" dxfId="94" priority="198" operator="equal">
      <formula>0</formula>
    </cfRule>
  </conditionalFormatting>
  <conditionalFormatting sqref="E744:I744 J745 L745">
    <cfRule type="cellIs" dxfId="93" priority="195" stopIfTrue="1" operator="equal">
      <formula>0</formula>
    </cfRule>
  </conditionalFormatting>
  <conditionalFormatting sqref="J406">
    <cfRule type="cellIs" dxfId="92" priority="192" operator="equal">
      <formula>0</formula>
    </cfRule>
  </conditionalFormatting>
  <conditionalFormatting sqref="J405">
    <cfRule type="cellIs" dxfId="91" priority="190" operator="equal">
      <formula>0</formula>
    </cfRule>
  </conditionalFormatting>
  <conditionalFormatting sqref="J75">
    <cfRule type="cellIs" dxfId="90" priority="182" operator="equal">
      <formula>0</formula>
    </cfRule>
  </conditionalFormatting>
  <conditionalFormatting sqref="E457:I457">
    <cfRule type="cellIs" dxfId="89" priority="180" stopIfTrue="1" operator="equal">
      <formula>0</formula>
    </cfRule>
  </conditionalFormatting>
  <conditionalFormatting sqref="J456:J457">
    <cfRule type="cellIs" dxfId="88" priority="179" operator="equal">
      <formula>0</formula>
    </cfRule>
  </conditionalFormatting>
  <conditionalFormatting sqref="J579">
    <cfRule type="cellIs" dxfId="87" priority="176" operator="equal">
      <formula>0</formula>
    </cfRule>
  </conditionalFormatting>
  <conditionalFormatting sqref="J496">
    <cfRule type="cellIs" dxfId="86" priority="174" operator="equal">
      <formula>0</formula>
    </cfRule>
  </conditionalFormatting>
  <conditionalFormatting sqref="E473:I473">
    <cfRule type="cellIs" dxfId="85" priority="172" stopIfTrue="1" operator="equal">
      <formula>0</formula>
    </cfRule>
  </conditionalFormatting>
  <conditionalFormatting sqref="E474:I474">
    <cfRule type="cellIs" dxfId="84" priority="169" stopIfTrue="1" operator="equal">
      <formula>0</formula>
    </cfRule>
  </conditionalFormatting>
  <conditionalFormatting sqref="J474">
    <cfRule type="cellIs" dxfId="83" priority="168" operator="equal">
      <formula>0</formula>
    </cfRule>
  </conditionalFormatting>
  <conditionalFormatting sqref="E829:I829">
    <cfRule type="cellIs" dxfId="82" priority="166" stopIfTrue="1" operator="equal">
      <formula>0</formula>
    </cfRule>
  </conditionalFormatting>
  <conditionalFormatting sqref="J829">
    <cfRule type="cellIs" dxfId="81" priority="165" operator="equal">
      <formula>0</formula>
    </cfRule>
  </conditionalFormatting>
  <conditionalFormatting sqref="E830:I830">
    <cfRule type="cellIs" dxfId="80" priority="164" stopIfTrue="1" operator="equal">
      <formula>0</formula>
    </cfRule>
  </conditionalFormatting>
  <conditionalFormatting sqref="E747:I747">
    <cfRule type="cellIs" dxfId="79" priority="162" stopIfTrue="1" operator="equal">
      <formula>0</formula>
    </cfRule>
  </conditionalFormatting>
  <conditionalFormatting sqref="E840:H840">
    <cfRule type="cellIs" dxfId="78" priority="161" stopIfTrue="1" operator="equal">
      <formula>0</formula>
    </cfRule>
  </conditionalFormatting>
  <conditionalFormatting sqref="J499">
    <cfRule type="cellIs" dxfId="77" priority="159" operator="equal">
      <formula>0</formula>
    </cfRule>
  </conditionalFormatting>
  <conditionalFormatting sqref="J539 L539">
    <cfRule type="cellIs" dxfId="76" priority="157" operator="equal">
      <formula>0</formula>
    </cfRule>
  </conditionalFormatting>
  <conditionalFormatting sqref="J536:J537">
    <cfRule type="cellIs" dxfId="75" priority="152" operator="equal">
      <formula>0</formula>
    </cfRule>
  </conditionalFormatting>
  <conditionalFormatting sqref="E460:I460">
    <cfRule type="cellIs" dxfId="74" priority="149" stopIfTrue="1" operator="equal">
      <formula>0</formula>
    </cfRule>
  </conditionalFormatting>
  <conditionalFormatting sqref="J17">
    <cfRule type="cellIs" dxfId="73" priority="147" operator="equal">
      <formula>0</formula>
    </cfRule>
  </conditionalFormatting>
  <conditionalFormatting sqref="E456:I456">
    <cfRule type="cellIs" dxfId="72" priority="146" stopIfTrue="1" operator="equal">
      <formula>0</formula>
    </cfRule>
  </conditionalFormatting>
  <conditionalFormatting sqref="J24">
    <cfRule type="cellIs" dxfId="71" priority="144" operator="equal">
      <formula>0</formula>
    </cfRule>
  </conditionalFormatting>
  <conditionalFormatting sqref="E451:I451">
    <cfRule type="cellIs" dxfId="70" priority="142" stopIfTrue="1" operator="equal">
      <formula>0</formula>
    </cfRule>
  </conditionalFormatting>
  <conditionalFormatting sqref="J451">
    <cfRule type="cellIs" dxfId="69" priority="141" operator="equal">
      <formula>0</formula>
    </cfRule>
  </conditionalFormatting>
  <conditionalFormatting sqref="J74">
    <cfRule type="cellIs" dxfId="68" priority="138" operator="equal">
      <formula>0</formula>
    </cfRule>
  </conditionalFormatting>
  <conditionalFormatting sqref="J292 J294">
    <cfRule type="cellIs" dxfId="67" priority="134" operator="equal">
      <formula>0</formula>
    </cfRule>
  </conditionalFormatting>
  <conditionalFormatting sqref="J305">
    <cfRule type="cellIs" dxfId="66" priority="132" operator="equal">
      <formula>0</formula>
    </cfRule>
  </conditionalFormatting>
  <conditionalFormatting sqref="E450:I450">
    <cfRule type="cellIs" dxfId="65" priority="128" stopIfTrue="1" operator="equal">
      <formula>0</formula>
    </cfRule>
  </conditionalFormatting>
  <conditionalFormatting sqref="J450">
    <cfRule type="cellIs" dxfId="64" priority="127" operator="equal">
      <formula>0</formula>
    </cfRule>
  </conditionalFormatting>
  <conditionalFormatting sqref="J60">
    <cfRule type="cellIs" dxfId="63" priority="124" operator="equal">
      <formula>0</formula>
    </cfRule>
  </conditionalFormatting>
  <conditionalFormatting sqref="J605">
    <cfRule type="cellIs" dxfId="62" priority="120" operator="equal">
      <formula>0</formula>
    </cfRule>
  </conditionalFormatting>
  <conditionalFormatting sqref="J122">
    <cfRule type="cellIs" dxfId="61" priority="115" operator="equal">
      <formula>0</formula>
    </cfRule>
  </conditionalFormatting>
  <conditionalFormatting sqref="J649">
    <cfRule type="cellIs" dxfId="60" priority="111" operator="equal">
      <formula>0</formula>
    </cfRule>
  </conditionalFormatting>
  <conditionalFormatting sqref="J632">
    <cfRule type="cellIs" dxfId="59" priority="108" operator="equal">
      <formula>0</formula>
    </cfRule>
  </conditionalFormatting>
  <conditionalFormatting sqref="J634">
    <cfRule type="cellIs" dxfId="58" priority="107" operator="equal">
      <formula>0</formula>
    </cfRule>
  </conditionalFormatting>
  <conditionalFormatting sqref="L625 J624:J625">
    <cfRule type="cellIs" dxfId="57" priority="104" operator="equal">
      <formula>0</formula>
    </cfRule>
  </conditionalFormatting>
  <conditionalFormatting sqref="E467:I467">
    <cfRule type="cellIs" dxfId="56" priority="100" stopIfTrue="1" operator="equal">
      <formula>0</formula>
    </cfRule>
  </conditionalFormatting>
  <conditionalFormatting sqref="J272:J273">
    <cfRule type="cellIs" dxfId="55" priority="95" operator="equal">
      <formula>0</formula>
    </cfRule>
  </conditionalFormatting>
  <conditionalFormatting sqref="E729:I729">
    <cfRule type="cellIs" dxfId="54" priority="91" stopIfTrue="1" operator="equal">
      <formula>0</formula>
    </cfRule>
  </conditionalFormatting>
  <conditionalFormatting sqref="E466:I466">
    <cfRule type="cellIs" dxfId="53" priority="90" stopIfTrue="1" operator="equal">
      <formula>0</formula>
    </cfRule>
  </conditionalFormatting>
  <conditionalFormatting sqref="E847:I847">
    <cfRule type="cellIs" dxfId="52" priority="88" stopIfTrue="1" operator="equal">
      <formula>0</formula>
    </cfRule>
  </conditionalFormatting>
  <conditionalFormatting sqref="J82">
    <cfRule type="cellIs" dxfId="51" priority="81" operator="equal">
      <formula>0</formula>
    </cfRule>
  </conditionalFormatting>
  <conditionalFormatting sqref="J659:J660">
    <cfRule type="cellIs" dxfId="50" priority="79" operator="equal">
      <formula>0</formula>
    </cfRule>
  </conditionalFormatting>
  <conditionalFormatting sqref="L537">
    <cfRule type="cellIs" dxfId="49" priority="77" operator="equal">
      <formula>0</formula>
    </cfRule>
  </conditionalFormatting>
  <conditionalFormatting sqref="J538">
    <cfRule type="cellIs" dxfId="48" priority="75" operator="equal">
      <formula>0</formula>
    </cfRule>
  </conditionalFormatting>
  <conditionalFormatting sqref="E471:I471">
    <cfRule type="cellIs" dxfId="47" priority="54" stopIfTrue="1" operator="equal">
      <formula>0</formula>
    </cfRule>
  </conditionalFormatting>
  <conditionalFormatting sqref="J534 L534">
    <cfRule type="cellIs" dxfId="46" priority="46" operator="equal">
      <formula>0</formula>
    </cfRule>
  </conditionalFormatting>
  <conditionalFormatting sqref="J129">
    <cfRule type="cellIs" dxfId="45" priority="34" operator="equal">
      <formula>0</formula>
    </cfRule>
  </conditionalFormatting>
  <conditionalFormatting sqref="J94">
    <cfRule type="cellIs" dxfId="44" priority="32" operator="equal">
      <formula>0</formula>
    </cfRule>
  </conditionalFormatting>
  <conditionalFormatting sqref="E779:I779">
    <cfRule type="cellIs" dxfId="43" priority="24" stopIfTrue="1" operator="equal">
      <formula>0</formula>
    </cfRule>
  </conditionalFormatting>
  <conditionalFormatting sqref="J590">
    <cfRule type="cellIs" dxfId="42" priority="19" operator="equal">
      <formula>0</formula>
    </cfRule>
  </conditionalFormatting>
  <conditionalFormatting sqref="J533">
    <cfRule type="cellIs" dxfId="41" priority="10" operator="equal">
      <formula>0</formula>
    </cfRule>
  </conditionalFormatting>
  <conditionalFormatting sqref="J57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8" sqref="E18"/>
    </sheetView>
  </sheetViews>
  <sheetFormatPr baseColWidth="10" defaultColWidth="8.83203125" defaultRowHeight="18" outlineLevelCol="1"/>
  <cols>
    <col min="1" max="1" width="8.83203125" style="390" customWidth="1"/>
    <col min="2" max="2" width="16.83203125" style="390" customWidth="1"/>
    <col min="3" max="3" width="16.83203125" style="569" customWidth="1"/>
    <col min="4" max="4" width="25.1640625" style="387" customWidth="1"/>
    <col min="5" max="5" width="27.1640625" style="387" customWidth="1"/>
    <col min="6" max="6" width="14.83203125" style="389" customWidth="1"/>
    <col min="7" max="7" width="17" style="707" hidden="1" customWidth="1"/>
    <col min="8" max="8" width="3.83203125" style="392" customWidth="1"/>
    <col min="9" max="9" width="8.83203125" style="390" customWidth="1"/>
    <col min="10" max="10" width="16.83203125" style="390" customWidth="1"/>
    <col min="11" max="11" width="16.83203125" style="569" customWidth="1" outlineLevel="1"/>
    <col min="12" max="12" width="12.83203125" style="387" customWidth="1"/>
    <col min="13" max="13" width="13.83203125" style="390" customWidth="1"/>
    <col min="14" max="14" width="14.83203125" style="391" customWidth="1"/>
    <col min="15" max="15" width="13.5" style="709" hidden="1" customWidth="1"/>
    <col min="16" max="16" width="3.83203125" style="392" customWidth="1"/>
    <col min="17" max="17" width="8.83203125" style="387" customWidth="1"/>
    <col min="18" max="18" width="16.83203125" style="390" customWidth="1"/>
    <col min="19" max="19" width="16.83203125" style="569" customWidth="1" outlineLevel="1"/>
    <col min="20" max="20" width="12.83203125" style="387" customWidth="1"/>
    <col min="21" max="21" width="9.5" style="387" bestFit="1" customWidth="1"/>
    <col min="22" max="22" width="14.83203125" style="389" customWidth="1"/>
    <col min="23" max="23" width="12.5" style="709" hidden="1" customWidth="1"/>
    <col min="24" max="24" width="1.1640625" style="392" customWidth="1"/>
    <col min="25" max="25" width="8.83203125" style="387" customWidth="1"/>
    <col min="26" max="26" width="16.83203125" style="387" customWidth="1"/>
    <col min="27" max="27" width="16.83203125" style="388" customWidth="1" outlineLevel="1"/>
    <col min="28" max="28" width="12.83203125" style="387" customWidth="1"/>
    <col min="29" max="29" width="10.5" style="387" bestFit="1" customWidth="1"/>
    <col min="30" max="30" width="12.83203125" style="389" customWidth="1"/>
    <col min="31" max="31" width="11.83203125" style="390" hidden="1" customWidth="1"/>
    <col min="32" max="40" width="8.83203125" style="387"/>
    <col min="41" max="41" width="11.5" style="387" bestFit="1" customWidth="1"/>
    <col min="42" max="16384" width="8.83203125" style="387"/>
  </cols>
  <sheetData>
    <row r="1" spans="1:41" s="384" customFormat="1" ht="50">
      <c r="A1" s="957" t="s">
        <v>911</v>
      </c>
      <c r="B1" s="957"/>
      <c r="C1" s="957"/>
      <c r="D1" s="957"/>
      <c r="E1" s="957"/>
      <c r="F1" s="957"/>
      <c r="G1" s="957"/>
      <c r="H1" s="957"/>
      <c r="I1" s="957"/>
      <c r="J1" s="957"/>
      <c r="K1" s="957"/>
      <c r="L1" s="957"/>
      <c r="M1" s="957"/>
      <c r="N1" s="957"/>
      <c r="O1" s="957"/>
      <c r="P1" s="957"/>
      <c r="Q1" s="957"/>
      <c r="R1" s="957"/>
      <c r="S1" s="957"/>
      <c r="T1" s="957"/>
      <c r="U1" s="957"/>
      <c r="V1" s="957"/>
      <c r="W1" s="711"/>
      <c r="X1" s="701"/>
      <c r="Y1" s="701"/>
      <c r="Z1" s="701"/>
      <c r="AA1" s="701"/>
      <c r="AB1" s="701"/>
      <c r="AC1" s="701"/>
      <c r="AD1" s="701"/>
      <c r="AE1" s="522"/>
    </row>
    <row r="2" spans="1:41" s="384" customFormat="1" ht="9" customHeight="1">
      <c r="A2" s="960"/>
      <c r="B2" s="960"/>
      <c r="C2" s="960"/>
      <c r="D2" s="960"/>
      <c r="E2" s="960"/>
      <c r="F2" s="960"/>
      <c r="G2" s="960"/>
      <c r="H2" s="960"/>
      <c r="I2" s="960"/>
      <c r="J2" s="960"/>
      <c r="K2" s="960"/>
      <c r="L2" s="960"/>
      <c r="M2" s="960"/>
      <c r="N2" s="960"/>
      <c r="O2" s="960"/>
      <c r="P2" s="960"/>
      <c r="Q2" s="960"/>
      <c r="R2" s="960"/>
      <c r="S2" s="960"/>
      <c r="T2" s="960"/>
      <c r="U2" s="960"/>
      <c r="V2" s="960"/>
      <c r="W2" s="712"/>
      <c r="X2" s="385"/>
      <c r="AA2" s="385"/>
      <c r="AD2" s="386"/>
      <c r="AE2" s="520"/>
    </row>
    <row r="3" spans="1:41" s="392" customFormat="1" ht="6" customHeight="1">
      <c r="A3" s="699"/>
      <c r="B3" s="567"/>
      <c r="C3" s="567"/>
      <c r="F3" s="700"/>
      <c r="G3" s="707"/>
      <c r="I3" s="567"/>
      <c r="J3" s="567"/>
      <c r="K3" s="567"/>
      <c r="M3" s="567"/>
      <c r="N3" s="568"/>
      <c r="O3" s="709"/>
      <c r="R3" s="567"/>
      <c r="S3" s="567"/>
      <c r="V3" s="700"/>
      <c r="W3" s="709"/>
      <c r="AD3" s="700"/>
      <c r="AE3" s="567"/>
    </row>
    <row r="4" spans="1:41" ht="24.5" customHeight="1" thickBot="1">
      <c r="A4" s="719" t="s">
        <v>928</v>
      </c>
      <c r="C4" s="567"/>
      <c r="E4" s="392"/>
      <c r="K4" s="567"/>
      <c r="L4" s="392"/>
      <c r="M4" s="567"/>
      <c r="N4" s="568"/>
      <c r="Q4" s="392"/>
      <c r="R4" s="567"/>
      <c r="S4" s="567"/>
      <c r="W4" s="713"/>
      <c r="AA4" s="392"/>
    </row>
    <row r="5" spans="1:41" s="397" customFormat="1" ht="33" customHeight="1">
      <c r="A5" s="961" t="s">
        <v>516</v>
      </c>
      <c r="B5" s="962"/>
      <c r="C5" s="962"/>
      <c r="D5" s="962"/>
      <c r="E5" s="962"/>
      <c r="F5" s="963"/>
      <c r="G5" s="964" t="s">
        <v>768</v>
      </c>
      <c r="H5" s="718"/>
      <c r="I5" s="961" t="s">
        <v>573</v>
      </c>
      <c r="J5" s="962"/>
      <c r="K5" s="962"/>
      <c r="L5" s="962"/>
      <c r="M5" s="962"/>
      <c r="N5" s="963"/>
      <c r="O5" s="964" t="s">
        <v>762</v>
      </c>
      <c r="P5" s="718"/>
      <c r="Q5" s="961" t="s">
        <v>576</v>
      </c>
      <c r="R5" s="962"/>
      <c r="S5" s="962"/>
      <c r="T5" s="962"/>
      <c r="U5" s="962"/>
      <c r="V5" s="963"/>
      <c r="W5" s="966" t="s">
        <v>763</v>
      </c>
      <c r="X5" s="398"/>
      <c r="Y5" s="968" t="s">
        <v>761</v>
      </c>
      <c r="Z5" s="969"/>
      <c r="AA5" s="969"/>
      <c r="AB5" s="969"/>
      <c r="AC5" s="969"/>
      <c r="AD5" s="970"/>
      <c r="AE5" s="958" t="s">
        <v>764</v>
      </c>
    </row>
    <row r="6" spans="1:41" s="395" customFormat="1" ht="77.5" customHeight="1">
      <c r="A6" s="702" t="s">
        <v>629</v>
      </c>
      <c r="B6" s="703" t="s">
        <v>510</v>
      </c>
      <c r="C6" s="704" t="s">
        <v>515</v>
      </c>
      <c r="D6" s="704" t="s">
        <v>513</v>
      </c>
      <c r="E6" s="705" t="s">
        <v>514</v>
      </c>
      <c r="F6" s="717" t="s">
        <v>511</v>
      </c>
      <c r="G6" s="965"/>
      <c r="H6" s="706"/>
      <c r="I6" s="702" t="s">
        <v>629</v>
      </c>
      <c r="J6" s="703" t="s">
        <v>296</v>
      </c>
      <c r="K6" s="704" t="s">
        <v>574</v>
      </c>
      <c r="L6" s="704">
        <v>11504</v>
      </c>
      <c r="M6" s="778" t="s">
        <v>862</v>
      </c>
      <c r="N6" s="717" t="s">
        <v>530</v>
      </c>
      <c r="O6" s="965"/>
      <c r="P6" s="718"/>
      <c r="Q6" s="702" t="s">
        <v>629</v>
      </c>
      <c r="R6" s="703" t="s">
        <v>510</v>
      </c>
      <c r="S6" s="704" t="s">
        <v>515</v>
      </c>
      <c r="T6" s="704">
        <v>11504</v>
      </c>
      <c r="U6" s="778" t="s">
        <v>539</v>
      </c>
      <c r="V6" s="717" t="s">
        <v>527</v>
      </c>
      <c r="W6" s="967"/>
      <c r="X6" s="396"/>
      <c r="Y6" s="702" t="s">
        <v>629</v>
      </c>
      <c r="Z6" s="703" t="s">
        <v>510</v>
      </c>
      <c r="AA6" s="704" t="s">
        <v>515</v>
      </c>
      <c r="AB6" s="704">
        <v>11504</v>
      </c>
      <c r="AC6" s="705" t="s">
        <v>760</v>
      </c>
      <c r="AD6" s="777" t="s">
        <v>759</v>
      </c>
      <c r="AE6" s="959"/>
      <c r="AH6" s="395" t="s">
        <v>510</v>
      </c>
      <c r="AI6" s="395" t="s">
        <v>577</v>
      </c>
      <c r="AJ6" s="395" t="s">
        <v>765</v>
      </c>
      <c r="AK6" s="395" t="s">
        <v>766</v>
      </c>
      <c r="AL6" s="395" t="s">
        <v>767</v>
      </c>
      <c r="AN6" s="395" t="s">
        <v>296</v>
      </c>
      <c r="AO6" s="395" t="s">
        <v>769</v>
      </c>
    </row>
    <row r="7" spans="1:41" s="392" customFormat="1" ht="50" customHeight="1">
      <c r="A7" s="720">
        <v>1</v>
      </c>
      <c r="B7" s="721" t="s">
        <v>216</v>
      </c>
      <c r="C7" s="721" t="s">
        <v>68</v>
      </c>
      <c r="D7" s="722">
        <v>10428</v>
      </c>
      <c r="E7" s="723">
        <v>2037668</v>
      </c>
      <c r="F7" s="724">
        <v>1.3231610389610389</v>
      </c>
      <c r="G7" s="725">
        <v>135</v>
      </c>
      <c r="H7" s="718"/>
      <c r="I7" s="720">
        <v>1</v>
      </c>
      <c r="J7" s="721" t="s">
        <v>870</v>
      </c>
      <c r="K7" s="721" t="s">
        <v>872</v>
      </c>
      <c r="L7" s="721">
        <v>15</v>
      </c>
      <c r="M7" s="726">
        <v>12</v>
      </c>
      <c r="N7" s="727">
        <v>0.8</v>
      </c>
      <c r="O7" s="728" t="e">
        <v>#N/A</v>
      </c>
      <c r="P7" s="718"/>
      <c r="Q7" s="720">
        <v>1</v>
      </c>
      <c r="R7" s="721" t="s">
        <v>383</v>
      </c>
      <c r="S7" s="721" t="s">
        <v>384</v>
      </c>
      <c r="T7" s="721">
        <v>31</v>
      </c>
      <c r="U7" s="726">
        <v>19</v>
      </c>
      <c r="V7" s="727">
        <v>0.61290322580645162</v>
      </c>
      <c r="W7" s="714">
        <v>19.916666666666668</v>
      </c>
      <c r="X7" s="398"/>
      <c r="Y7" s="720">
        <v>1</v>
      </c>
      <c r="Z7" s="768" t="s">
        <v>858</v>
      </c>
      <c r="AA7" s="769" t="s">
        <v>861</v>
      </c>
      <c r="AB7" s="721">
        <v>32</v>
      </c>
      <c r="AC7" s="726">
        <v>17</v>
      </c>
      <c r="AD7" s="770">
        <v>0.53125</v>
      </c>
      <c r="AE7" s="521" t="e">
        <v>#N/A</v>
      </c>
      <c r="AH7" s="531"/>
      <c r="AI7" s="532"/>
      <c r="AJ7" s="532"/>
      <c r="AK7" s="532"/>
      <c r="AL7" s="532"/>
      <c r="AM7" s="532"/>
      <c r="AN7" s="532"/>
      <c r="AO7" s="533"/>
    </row>
    <row r="8" spans="1:41" s="392" customFormat="1" ht="50" customHeight="1">
      <c r="A8" s="720">
        <v>2</v>
      </c>
      <c r="B8" s="721" t="s">
        <v>818</v>
      </c>
      <c r="C8" s="721" t="s">
        <v>820</v>
      </c>
      <c r="D8" s="722">
        <v>0</v>
      </c>
      <c r="E8" s="723">
        <v>1669349</v>
      </c>
      <c r="F8" s="724">
        <v>1.1433897260273973</v>
      </c>
      <c r="G8" s="725" t="e">
        <v>#N/A</v>
      </c>
      <c r="H8" s="718"/>
      <c r="I8" s="720">
        <v>2</v>
      </c>
      <c r="J8" s="721" t="s">
        <v>607</v>
      </c>
      <c r="K8" s="721" t="s">
        <v>608</v>
      </c>
      <c r="L8" s="721">
        <v>35</v>
      </c>
      <c r="M8" s="726">
        <v>26</v>
      </c>
      <c r="N8" s="727">
        <v>0.74285714285714288</v>
      </c>
      <c r="O8" s="728">
        <v>22</v>
      </c>
      <c r="P8" s="718"/>
      <c r="Q8" s="720">
        <v>2</v>
      </c>
      <c r="R8" s="721" t="s">
        <v>816</v>
      </c>
      <c r="S8" s="721" t="s">
        <v>73</v>
      </c>
      <c r="T8" s="721">
        <v>30</v>
      </c>
      <c r="U8" s="726">
        <v>18</v>
      </c>
      <c r="V8" s="727">
        <v>0.6</v>
      </c>
      <c r="W8" s="714" t="e">
        <v>#N/A</v>
      </c>
      <c r="X8" s="398"/>
      <c r="Y8" s="720">
        <v>2</v>
      </c>
      <c r="Z8" s="768" t="s">
        <v>856</v>
      </c>
      <c r="AA8" s="769" t="s">
        <v>859</v>
      </c>
      <c r="AB8" s="721">
        <v>30</v>
      </c>
      <c r="AC8" s="726">
        <v>14</v>
      </c>
      <c r="AD8" s="770">
        <v>0.46666666666666667</v>
      </c>
      <c r="AE8" s="521" t="e">
        <v>#N/A</v>
      </c>
      <c r="AH8" s="392" t="s">
        <v>1</v>
      </c>
      <c r="AI8" s="392">
        <v>689.83270000000005</v>
      </c>
      <c r="AJ8" s="392">
        <v>91</v>
      </c>
      <c r="AK8" s="392">
        <v>80</v>
      </c>
      <c r="AL8" s="392">
        <v>6</v>
      </c>
      <c r="AN8" s="392" t="s">
        <v>1</v>
      </c>
      <c r="AO8" s="523">
        <v>52</v>
      </c>
    </row>
    <row r="9" spans="1:41" s="392" customFormat="1" ht="50" customHeight="1">
      <c r="A9" s="720">
        <v>3</v>
      </c>
      <c r="B9" s="721" t="s">
        <v>383</v>
      </c>
      <c r="C9" s="721" t="s">
        <v>384</v>
      </c>
      <c r="D9" s="722">
        <v>5520</v>
      </c>
      <c r="E9" s="723">
        <v>1322471</v>
      </c>
      <c r="F9" s="724">
        <v>1.0251713178294575</v>
      </c>
      <c r="G9" s="725">
        <v>113</v>
      </c>
      <c r="H9" s="718"/>
      <c r="I9" s="720">
        <v>3</v>
      </c>
      <c r="J9" s="721" t="s">
        <v>2</v>
      </c>
      <c r="K9" s="721" t="s">
        <v>122</v>
      </c>
      <c r="L9" s="721">
        <v>39</v>
      </c>
      <c r="M9" s="726">
        <v>28</v>
      </c>
      <c r="N9" s="727">
        <v>0.71794871794871795</v>
      </c>
      <c r="O9" s="728">
        <v>22.083333333333332</v>
      </c>
      <c r="P9" s="718"/>
      <c r="Q9" s="720">
        <v>3</v>
      </c>
      <c r="R9" s="721" t="s">
        <v>845</v>
      </c>
      <c r="S9" s="721" t="s">
        <v>848</v>
      </c>
      <c r="T9" s="721">
        <v>32</v>
      </c>
      <c r="U9" s="726">
        <v>18</v>
      </c>
      <c r="V9" s="727">
        <v>0.5625</v>
      </c>
      <c r="W9" s="714" t="e">
        <v>#N/A</v>
      </c>
      <c r="X9" s="398"/>
      <c r="Y9" s="720">
        <v>3</v>
      </c>
      <c r="Z9" s="768" t="s">
        <v>746</v>
      </c>
      <c r="AA9" s="769" t="s">
        <v>73</v>
      </c>
      <c r="AB9" s="721">
        <v>88</v>
      </c>
      <c r="AC9" s="726">
        <v>39</v>
      </c>
      <c r="AD9" s="770">
        <v>0.44318181818181818</v>
      </c>
      <c r="AE9" s="521">
        <v>39</v>
      </c>
      <c r="AH9" s="392" t="s">
        <v>300</v>
      </c>
      <c r="AI9" s="392">
        <v>1298.0356999999999</v>
      </c>
      <c r="AJ9" s="392">
        <v>285</v>
      </c>
      <c r="AK9" s="392">
        <v>265</v>
      </c>
      <c r="AL9" s="392">
        <v>16</v>
      </c>
      <c r="AN9" s="392" t="s">
        <v>300</v>
      </c>
      <c r="AO9" s="523">
        <v>97</v>
      </c>
    </row>
    <row r="10" spans="1:41" s="392" customFormat="1" ht="50" customHeight="1">
      <c r="A10" s="720">
        <v>4</v>
      </c>
      <c r="B10" s="721" t="s">
        <v>883</v>
      </c>
      <c r="C10" s="721" t="s">
        <v>884</v>
      </c>
      <c r="D10" s="722">
        <v>63774</v>
      </c>
      <c r="E10" s="723">
        <v>666884</v>
      </c>
      <c r="F10" s="724">
        <v>1.010430303030303</v>
      </c>
      <c r="G10" s="725" t="e">
        <v>#N/A</v>
      </c>
      <c r="H10" s="718"/>
      <c r="I10" s="720">
        <v>4</v>
      </c>
      <c r="J10" s="721" t="s">
        <v>383</v>
      </c>
      <c r="K10" s="721" t="s">
        <v>384</v>
      </c>
      <c r="L10" s="721">
        <v>31</v>
      </c>
      <c r="M10" s="726">
        <v>21</v>
      </c>
      <c r="N10" s="727">
        <v>0.67741935483870963</v>
      </c>
      <c r="O10" s="728">
        <v>17.666666666666668</v>
      </c>
      <c r="P10" s="718"/>
      <c r="Q10" s="720">
        <v>4</v>
      </c>
      <c r="R10" s="721" t="s">
        <v>184</v>
      </c>
      <c r="S10" s="721" t="s">
        <v>73</v>
      </c>
      <c r="T10" s="721">
        <v>88</v>
      </c>
      <c r="U10" s="726">
        <v>47</v>
      </c>
      <c r="V10" s="727">
        <v>0.53409090909090906</v>
      </c>
      <c r="W10" s="714">
        <v>48.166666666666664</v>
      </c>
      <c r="X10" s="398"/>
      <c r="Y10" s="720">
        <v>4</v>
      </c>
      <c r="Z10" s="768" t="s">
        <v>383</v>
      </c>
      <c r="AA10" s="769" t="s">
        <v>384</v>
      </c>
      <c r="AB10" s="721">
        <v>31</v>
      </c>
      <c r="AC10" s="726">
        <v>13</v>
      </c>
      <c r="AD10" s="770">
        <v>0.41935483870967744</v>
      </c>
      <c r="AE10" s="521">
        <v>13</v>
      </c>
      <c r="AH10" s="392" t="s">
        <v>184</v>
      </c>
      <c r="AI10" s="392">
        <v>4878.6873999999998</v>
      </c>
      <c r="AJ10" s="392">
        <v>588</v>
      </c>
      <c r="AK10" s="392">
        <v>578</v>
      </c>
      <c r="AL10" s="392">
        <v>39</v>
      </c>
      <c r="AN10" s="392" t="s">
        <v>184</v>
      </c>
      <c r="AO10" s="523">
        <v>320</v>
      </c>
    </row>
    <row r="11" spans="1:41" s="392" customFormat="1" ht="50" customHeight="1">
      <c r="A11" s="720">
        <v>5</v>
      </c>
      <c r="B11" s="721" t="s">
        <v>821</v>
      </c>
      <c r="C11" s="721" t="s">
        <v>73</v>
      </c>
      <c r="D11" s="722">
        <v>2063</v>
      </c>
      <c r="E11" s="723">
        <v>4531454</v>
      </c>
      <c r="F11" s="724">
        <v>0.94999035639412999</v>
      </c>
      <c r="G11" s="725">
        <v>406</v>
      </c>
      <c r="H11" s="718"/>
      <c r="I11" s="720">
        <v>5</v>
      </c>
      <c r="J11" s="721" t="s">
        <v>844</v>
      </c>
      <c r="K11" s="721" t="s">
        <v>846</v>
      </c>
      <c r="L11" s="721">
        <v>26</v>
      </c>
      <c r="M11" s="726">
        <v>17</v>
      </c>
      <c r="N11" s="727">
        <v>0.65384615384615385</v>
      </c>
      <c r="O11" s="728" t="e">
        <v>#N/A</v>
      </c>
      <c r="P11" s="718"/>
      <c r="Q11" s="720">
        <v>5</v>
      </c>
      <c r="R11" s="721" t="s">
        <v>2</v>
      </c>
      <c r="S11" s="721" t="s">
        <v>122</v>
      </c>
      <c r="T11" s="721">
        <v>39</v>
      </c>
      <c r="U11" s="726">
        <v>20</v>
      </c>
      <c r="V11" s="727">
        <v>0.51282051282051277</v>
      </c>
      <c r="W11" s="714">
        <v>21.75</v>
      </c>
      <c r="X11" s="398"/>
      <c r="Y11" s="720">
        <v>5</v>
      </c>
      <c r="Z11" s="768" t="s">
        <v>870</v>
      </c>
      <c r="AA11" s="769" t="s">
        <v>872</v>
      </c>
      <c r="AB11" s="721">
        <v>15</v>
      </c>
      <c r="AC11" s="726">
        <v>6</v>
      </c>
      <c r="AD11" s="770">
        <v>0.4</v>
      </c>
      <c r="AE11" s="521" t="e">
        <v>#N/A</v>
      </c>
      <c r="AH11" s="392" t="s">
        <v>2</v>
      </c>
      <c r="AI11" s="392">
        <v>1511.0567000000001</v>
      </c>
      <c r="AJ11" s="392">
        <v>265</v>
      </c>
      <c r="AK11" s="392">
        <v>261</v>
      </c>
      <c r="AL11" s="392">
        <v>17</v>
      </c>
      <c r="AN11" s="392" t="s">
        <v>2</v>
      </c>
      <c r="AO11" s="523">
        <v>107</v>
      </c>
    </row>
    <row r="12" spans="1:41" s="392" customFormat="1" ht="50" customHeight="1">
      <c r="A12" s="720">
        <v>6</v>
      </c>
      <c r="B12" s="721" t="s">
        <v>625</v>
      </c>
      <c r="C12" s="721" t="s">
        <v>225</v>
      </c>
      <c r="D12" s="722">
        <v>32287</v>
      </c>
      <c r="E12" s="723">
        <v>1270121</v>
      </c>
      <c r="F12" s="724">
        <v>0.94083037037037032</v>
      </c>
      <c r="G12" s="725">
        <v>108</v>
      </c>
      <c r="H12" s="718"/>
      <c r="I12" s="720">
        <v>6</v>
      </c>
      <c r="J12" s="721" t="s">
        <v>575</v>
      </c>
      <c r="K12" s="721"/>
      <c r="L12" s="721">
        <v>17065</v>
      </c>
      <c r="M12" s="726">
        <v>10982</v>
      </c>
      <c r="N12" s="727">
        <v>0.64349999999999996</v>
      </c>
      <c r="O12" s="728" t="e">
        <v>#N/A</v>
      </c>
      <c r="P12" s="718"/>
      <c r="Q12" s="720">
        <v>6</v>
      </c>
      <c r="R12" s="721" t="s">
        <v>607</v>
      </c>
      <c r="S12" s="721" t="s">
        <v>608</v>
      </c>
      <c r="T12" s="721">
        <v>35</v>
      </c>
      <c r="U12" s="726">
        <v>16</v>
      </c>
      <c r="V12" s="727">
        <v>0.45714285714285713</v>
      </c>
      <c r="W12" s="714">
        <v>19.666666666666668</v>
      </c>
      <c r="X12" s="398"/>
      <c r="Y12" s="720">
        <v>6</v>
      </c>
      <c r="Z12" s="768" t="s">
        <v>607</v>
      </c>
      <c r="AA12" s="769" t="s">
        <v>608</v>
      </c>
      <c r="AB12" s="721">
        <v>35</v>
      </c>
      <c r="AC12" s="726">
        <v>13</v>
      </c>
      <c r="AD12" s="770">
        <v>0.37142857142857144</v>
      </c>
      <c r="AE12" s="521">
        <v>15</v>
      </c>
      <c r="AH12" s="392" t="s">
        <v>3</v>
      </c>
      <c r="AI12" s="392">
        <v>1883.2165</v>
      </c>
      <c r="AJ12" s="392">
        <v>316</v>
      </c>
      <c r="AK12" s="392">
        <v>312</v>
      </c>
      <c r="AL12" s="392">
        <v>20</v>
      </c>
      <c r="AN12" s="392" t="s">
        <v>3</v>
      </c>
      <c r="AO12" s="523">
        <v>131</v>
      </c>
    </row>
    <row r="13" spans="1:41" s="392" customFormat="1" ht="50" customHeight="1">
      <c r="A13" s="720">
        <v>7</v>
      </c>
      <c r="B13" s="721" t="s">
        <v>4</v>
      </c>
      <c r="C13" s="721" t="s">
        <v>148</v>
      </c>
      <c r="D13" s="722">
        <v>100603</v>
      </c>
      <c r="E13" s="723">
        <v>3307059</v>
      </c>
      <c r="F13" s="724">
        <v>0.93684390934844197</v>
      </c>
      <c r="G13" s="725">
        <v>297</v>
      </c>
      <c r="H13" s="718"/>
      <c r="I13" s="729">
        <v>7</v>
      </c>
      <c r="J13" s="721" t="s">
        <v>216</v>
      </c>
      <c r="K13" s="721" t="s">
        <v>68</v>
      </c>
      <c r="L13" s="721">
        <v>40</v>
      </c>
      <c r="M13" s="726">
        <v>25</v>
      </c>
      <c r="N13" s="727">
        <v>0.625</v>
      </c>
      <c r="O13" s="728">
        <v>22.5</v>
      </c>
      <c r="P13" s="718"/>
      <c r="Q13" s="720">
        <v>7</v>
      </c>
      <c r="R13" s="721" t="s">
        <v>1</v>
      </c>
      <c r="S13" s="721" t="s">
        <v>52</v>
      </c>
      <c r="T13" s="721">
        <v>20</v>
      </c>
      <c r="U13" s="726">
        <v>9</v>
      </c>
      <c r="V13" s="727">
        <v>0.45</v>
      </c>
      <c r="W13" s="714">
        <v>6.666666666666667</v>
      </c>
      <c r="X13" s="398"/>
      <c r="Y13" s="720">
        <v>7</v>
      </c>
      <c r="Z13" s="768" t="s">
        <v>805</v>
      </c>
      <c r="AA13" s="769" t="s">
        <v>80</v>
      </c>
      <c r="AB13" s="721">
        <v>19</v>
      </c>
      <c r="AC13" s="726">
        <v>7</v>
      </c>
      <c r="AD13" s="770">
        <v>0.36842105263157893</v>
      </c>
      <c r="AE13" s="521">
        <v>9</v>
      </c>
      <c r="AF13" s="392" t="s">
        <v>772</v>
      </c>
      <c r="AG13" s="392">
        <v>95.857500000000002</v>
      </c>
      <c r="AH13" s="392" t="s">
        <v>266</v>
      </c>
      <c r="AI13" s="392">
        <v>772.46990000000005</v>
      </c>
      <c r="AJ13" s="392">
        <v>159</v>
      </c>
      <c r="AK13" s="392">
        <v>146</v>
      </c>
      <c r="AL13" s="392">
        <v>9</v>
      </c>
      <c r="AN13" s="392" t="s">
        <v>266</v>
      </c>
      <c r="AO13" s="523">
        <v>63</v>
      </c>
    </row>
    <row r="14" spans="1:41" s="392" customFormat="1" ht="50" customHeight="1">
      <c r="A14" s="720">
        <v>8</v>
      </c>
      <c r="B14" s="721" t="s">
        <v>1</v>
      </c>
      <c r="C14" s="721" t="s">
        <v>52</v>
      </c>
      <c r="D14" s="722">
        <v>20354</v>
      </c>
      <c r="E14" s="723">
        <v>596220</v>
      </c>
      <c r="F14" s="724">
        <v>0.90336363636363637</v>
      </c>
      <c r="G14" s="725">
        <v>57</v>
      </c>
      <c r="H14" s="718"/>
      <c r="I14" s="720">
        <v>8</v>
      </c>
      <c r="J14" s="721" t="s">
        <v>184</v>
      </c>
      <c r="K14" s="721" t="s">
        <v>73</v>
      </c>
      <c r="L14" s="721">
        <v>88</v>
      </c>
      <c r="M14" s="726">
        <v>55</v>
      </c>
      <c r="N14" s="727">
        <v>0.625</v>
      </c>
      <c r="O14" s="728">
        <v>49</v>
      </c>
      <c r="P14" s="718"/>
      <c r="Q14" s="720">
        <v>8</v>
      </c>
      <c r="R14" s="721" t="s">
        <v>204</v>
      </c>
      <c r="S14" s="721" t="s">
        <v>481</v>
      </c>
      <c r="T14" s="721">
        <v>41</v>
      </c>
      <c r="U14" s="726">
        <v>18</v>
      </c>
      <c r="V14" s="727">
        <v>0.43902439024390244</v>
      </c>
      <c r="W14" s="714">
        <v>21.416666666666668</v>
      </c>
      <c r="X14" s="398"/>
      <c r="Y14" s="720">
        <v>8</v>
      </c>
      <c r="Z14" s="768" t="s">
        <v>2</v>
      </c>
      <c r="AA14" s="769" t="s">
        <v>122</v>
      </c>
      <c r="AB14" s="721">
        <v>39</v>
      </c>
      <c r="AC14" s="726">
        <v>13</v>
      </c>
      <c r="AD14" s="770">
        <v>0.33333333333333331</v>
      </c>
      <c r="AE14" s="521">
        <v>17</v>
      </c>
      <c r="AH14" s="392" t="s">
        <v>204</v>
      </c>
      <c r="AI14" s="392">
        <v>1289.4124999999999</v>
      </c>
      <c r="AJ14" s="392">
        <v>292</v>
      </c>
      <c r="AK14" s="392">
        <v>257</v>
      </c>
      <c r="AL14" s="392">
        <v>15</v>
      </c>
      <c r="AN14" s="392" t="s">
        <v>204</v>
      </c>
      <c r="AO14" s="523">
        <v>91</v>
      </c>
    </row>
    <row r="15" spans="1:41" s="392" customFormat="1" ht="50" customHeight="1">
      <c r="A15" s="720">
        <v>9</v>
      </c>
      <c r="B15" s="721" t="s">
        <v>817</v>
      </c>
      <c r="C15" s="721" t="s">
        <v>819</v>
      </c>
      <c r="D15" s="722">
        <v>0</v>
      </c>
      <c r="E15" s="723">
        <v>1117506</v>
      </c>
      <c r="F15" s="724">
        <v>0.86628372093023254</v>
      </c>
      <c r="G15" s="725" t="e">
        <v>#N/A</v>
      </c>
      <c r="H15" s="718"/>
      <c r="I15" s="720">
        <v>9</v>
      </c>
      <c r="J15" s="721" t="s">
        <v>845</v>
      </c>
      <c r="K15" s="721" t="s">
        <v>840</v>
      </c>
      <c r="L15" s="721">
        <v>32</v>
      </c>
      <c r="M15" s="726">
        <v>20</v>
      </c>
      <c r="N15" s="727">
        <v>0.625</v>
      </c>
      <c r="O15" s="728" t="e">
        <v>#N/A</v>
      </c>
      <c r="P15" s="718"/>
      <c r="Q15" s="720">
        <v>9</v>
      </c>
      <c r="R15" s="721" t="s">
        <v>216</v>
      </c>
      <c r="S15" s="721" t="s">
        <v>68</v>
      </c>
      <c r="T15" s="721">
        <v>40</v>
      </c>
      <c r="U15" s="726">
        <v>17</v>
      </c>
      <c r="V15" s="727">
        <v>0.42499999999999999</v>
      </c>
      <c r="W15" s="714">
        <v>21.166666666666668</v>
      </c>
      <c r="X15" s="398"/>
      <c r="Y15" s="720">
        <v>9</v>
      </c>
      <c r="Z15" s="768" t="s">
        <v>372</v>
      </c>
      <c r="AA15" s="769" t="s">
        <v>610</v>
      </c>
      <c r="AB15" s="721">
        <v>584</v>
      </c>
      <c r="AC15" s="726">
        <v>190</v>
      </c>
      <c r="AD15" s="770">
        <v>0.32534246575342468</v>
      </c>
      <c r="AE15" s="521">
        <v>228</v>
      </c>
      <c r="AH15" s="392" t="s">
        <v>216</v>
      </c>
      <c r="AI15" s="392">
        <v>1626.6898000000001</v>
      </c>
      <c r="AJ15" s="392">
        <v>270</v>
      </c>
      <c r="AK15" s="392">
        <v>254</v>
      </c>
      <c r="AL15" s="392">
        <v>18</v>
      </c>
      <c r="AN15" s="392" t="s">
        <v>216</v>
      </c>
      <c r="AO15" s="523">
        <v>108</v>
      </c>
    </row>
    <row r="16" spans="1:41" s="392" customFormat="1" ht="50" customHeight="1">
      <c r="A16" s="720">
        <v>10</v>
      </c>
      <c r="B16" s="721" t="s">
        <v>816</v>
      </c>
      <c r="C16" s="721" t="s">
        <v>73</v>
      </c>
      <c r="D16" s="722">
        <v>2063</v>
      </c>
      <c r="E16" s="723">
        <v>1744599</v>
      </c>
      <c r="F16" s="724">
        <v>0.86366287128712871</v>
      </c>
      <c r="G16" s="725" t="e">
        <v>#N/A</v>
      </c>
      <c r="H16" s="718"/>
      <c r="I16" s="720">
        <v>10</v>
      </c>
      <c r="J16" s="721" t="s">
        <v>204</v>
      </c>
      <c r="K16" s="721" t="s">
        <v>481</v>
      </c>
      <c r="L16" s="721">
        <v>41</v>
      </c>
      <c r="M16" s="726">
        <v>25</v>
      </c>
      <c r="N16" s="727">
        <v>0.6097560975609756</v>
      </c>
      <c r="O16" s="728">
        <v>24.333333333333332</v>
      </c>
      <c r="P16" s="718"/>
      <c r="Q16" s="720">
        <v>10</v>
      </c>
      <c r="R16" s="721" t="s">
        <v>372</v>
      </c>
      <c r="S16" s="721" t="s">
        <v>610</v>
      </c>
      <c r="T16" s="721">
        <v>584</v>
      </c>
      <c r="U16" s="726">
        <v>248</v>
      </c>
      <c r="V16" s="727">
        <v>0.42465753424657532</v>
      </c>
      <c r="W16" s="714">
        <v>316.66666666666669</v>
      </c>
      <c r="X16" s="398"/>
      <c r="Y16" s="720">
        <v>10</v>
      </c>
      <c r="Z16" s="768" t="s">
        <v>458</v>
      </c>
      <c r="AA16" s="769" t="s">
        <v>421</v>
      </c>
      <c r="AB16" s="721">
        <v>32</v>
      </c>
      <c r="AC16" s="726">
        <v>10</v>
      </c>
      <c r="AD16" s="770">
        <v>0.3125</v>
      </c>
      <c r="AE16" s="521">
        <v>12</v>
      </c>
      <c r="AH16" s="531" t="s">
        <v>4</v>
      </c>
      <c r="AI16" s="532">
        <v>3566</v>
      </c>
      <c r="AJ16" s="532">
        <v>570</v>
      </c>
      <c r="AK16" s="532">
        <v>570</v>
      </c>
      <c r="AL16" s="532">
        <v>32</v>
      </c>
      <c r="AM16" s="532"/>
      <c r="AN16" s="532" t="s">
        <v>4</v>
      </c>
      <c r="AO16" s="533">
        <v>297</v>
      </c>
    </row>
    <row r="17" spans="1:41" s="392" customFormat="1" ht="50" customHeight="1">
      <c r="A17" s="720">
        <v>11</v>
      </c>
      <c r="B17" s="721" t="s">
        <v>512</v>
      </c>
      <c r="C17" s="721" t="s">
        <v>610</v>
      </c>
      <c r="D17" s="722">
        <v>434120</v>
      </c>
      <c r="E17" s="723">
        <v>19556975</v>
      </c>
      <c r="F17" s="724">
        <v>0.82484078447912268</v>
      </c>
      <c r="G17" s="725">
        <v>1944</v>
      </c>
      <c r="H17" s="718"/>
      <c r="I17" s="720">
        <v>11</v>
      </c>
      <c r="J17" s="721" t="s">
        <v>816</v>
      </c>
      <c r="K17" s="721" t="s">
        <v>73</v>
      </c>
      <c r="L17" s="721">
        <v>30</v>
      </c>
      <c r="M17" s="726">
        <v>18</v>
      </c>
      <c r="N17" s="727">
        <v>0.6</v>
      </c>
      <c r="O17" s="728" t="e">
        <v>#N/A</v>
      </c>
      <c r="P17" s="718"/>
      <c r="Q17" s="753">
        <v>11</v>
      </c>
      <c r="R17" s="721" t="s">
        <v>844</v>
      </c>
      <c r="S17" s="721" t="s">
        <v>847</v>
      </c>
      <c r="T17" s="721">
        <v>26</v>
      </c>
      <c r="U17" s="726">
        <v>11</v>
      </c>
      <c r="V17" s="727">
        <v>0.42307692307692307</v>
      </c>
      <c r="W17" s="714" t="e">
        <v>#N/A</v>
      </c>
      <c r="X17" s="398"/>
      <c r="Y17" s="753">
        <v>11</v>
      </c>
      <c r="Z17" s="768" t="s">
        <v>857</v>
      </c>
      <c r="AA17" s="769" t="s">
        <v>860</v>
      </c>
      <c r="AB17" s="721">
        <v>26</v>
      </c>
      <c r="AC17" s="726">
        <v>8</v>
      </c>
      <c r="AD17" s="770">
        <v>0.30769230769230771</v>
      </c>
      <c r="AE17" s="521" t="e">
        <v>#N/A</v>
      </c>
      <c r="AH17" s="392" t="s">
        <v>383</v>
      </c>
      <c r="AI17" s="392">
        <v>1357.4138</v>
      </c>
      <c r="AJ17" s="392">
        <v>212</v>
      </c>
      <c r="AK17" s="392">
        <v>239</v>
      </c>
      <c r="AL17" s="392">
        <v>13</v>
      </c>
      <c r="AN17" s="392" t="s">
        <v>383</v>
      </c>
      <c r="AO17" s="523">
        <v>72</v>
      </c>
    </row>
    <row r="18" spans="1:41" s="392" customFormat="1" ht="50" customHeight="1">
      <c r="A18" s="753">
        <v>12</v>
      </c>
      <c r="B18" s="721" t="s">
        <v>575</v>
      </c>
      <c r="C18" s="721"/>
      <c r="D18" s="722">
        <v>17556130</v>
      </c>
      <c r="E18" s="723">
        <v>571217848</v>
      </c>
      <c r="F18" s="724">
        <v>0.81899999999999995</v>
      </c>
      <c r="G18" s="725" t="e">
        <v>#N/A</v>
      </c>
      <c r="H18" s="718"/>
      <c r="I18" s="753">
        <v>12</v>
      </c>
      <c r="J18" s="721" t="s">
        <v>1</v>
      </c>
      <c r="K18" s="721" t="s">
        <v>52</v>
      </c>
      <c r="L18" s="721">
        <v>20</v>
      </c>
      <c r="M18" s="726">
        <v>12</v>
      </c>
      <c r="N18" s="727">
        <v>0.6</v>
      </c>
      <c r="O18" s="728">
        <v>7.583333333333333</v>
      </c>
      <c r="P18" s="718"/>
      <c r="Q18" s="753">
        <v>12</v>
      </c>
      <c r="R18" s="721" t="s">
        <v>266</v>
      </c>
      <c r="S18" s="721" t="s">
        <v>80</v>
      </c>
      <c r="T18" s="721">
        <v>19</v>
      </c>
      <c r="U18" s="726">
        <v>8</v>
      </c>
      <c r="V18" s="727">
        <v>0.42105263157894735</v>
      </c>
      <c r="W18" s="714">
        <v>12.166666666666666</v>
      </c>
      <c r="X18" s="398"/>
      <c r="Y18" s="753">
        <v>12</v>
      </c>
      <c r="Z18" s="768" t="s">
        <v>1</v>
      </c>
      <c r="AA18" s="769" t="s">
        <v>52</v>
      </c>
      <c r="AB18" s="721">
        <v>20</v>
      </c>
      <c r="AC18" s="726">
        <v>6</v>
      </c>
      <c r="AD18" s="770">
        <v>0.3</v>
      </c>
      <c r="AE18" s="521">
        <v>6</v>
      </c>
      <c r="AH18" s="392" t="s">
        <v>185</v>
      </c>
      <c r="AI18" s="392">
        <v>676.08870000000002</v>
      </c>
      <c r="AJ18" s="392">
        <v>116</v>
      </c>
      <c r="AK18" s="392">
        <v>112</v>
      </c>
      <c r="AL18" s="392">
        <v>9</v>
      </c>
      <c r="AN18" s="392" t="s">
        <v>185</v>
      </c>
      <c r="AO18" s="523">
        <v>40</v>
      </c>
    </row>
    <row r="19" spans="1:41" s="393" customFormat="1" ht="50" customHeight="1">
      <c r="A19" s="753">
        <v>13</v>
      </c>
      <c r="B19" s="721" t="s">
        <v>204</v>
      </c>
      <c r="C19" s="721" t="s">
        <v>481</v>
      </c>
      <c r="D19" s="722">
        <v>12472</v>
      </c>
      <c r="E19" s="723">
        <v>1211694</v>
      </c>
      <c r="F19" s="724">
        <v>0.76689493670886077</v>
      </c>
      <c r="G19" s="725">
        <v>107</v>
      </c>
      <c r="H19" s="718"/>
      <c r="I19" s="753">
        <v>13</v>
      </c>
      <c r="J19" s="721" t="s">
        <v>626</v>
      </c>
      <c r="K19" s="721" t="s">
        <v>225</v>
      </c>
      <c r="L19" s="721">
        <v>40</v>
      </c>
      <c r="M19" s="726">
        <v>24</v>
      </c>
      <c r="N19" s="727">
        <v>0.6</v>
      </c>
      <c r="O19" s="728">
        <v>23.75</v>
      </c>
      <c r="P19" s="718"/>
      <c r="Q19" s="753">
        <v>13</v>
      </c>
      <c r="R19" s="721" t="s">
        <v>458</v>
      </c>
      <c r="S19" s="721" t="s">
        <v>421</v>
      </c>
      <c r="T19" s="721">
        <v>32</v>
      </c>
      <c r="U19" s="726">
        <v>13</v>
      </c>
      <c r="V19" s="727">
        <v>0.40625</v>
      </c>
      <c r="W19" s="714">
        <v>20.916666666666668</v>
      </c>
      <c r="X19" s="398"/>
      <c r="Y19" s="753">
        <v>13</v>
      </c>
      <c r="Z19" s="768" t="s">
        <v>216</v>
      </c>
      <c r="AA19" s="769" t="s">
        <v>68</v>
      </c>
      <c r="AB19" s="721">
        <v>40</v>
      </c>
      <c r="AC19" s="726">
        <v>12</v>
      </c>
      <c r="AD19" s="770">
        <v>0.3</v>
      </c>
      <c r="AE19" s="521">
        <v>18</v>
      </c>
      <c r="AH19" s="393" t="s">
        <v>186</v>
      </c>
      <c r="AI19" s="393">
        <v>1232.4165</v>
      </c>
      <c r="AJ19" s="393">
        <v>248</v>
      </c>
      <c r="AK19" s="393">
        <v>239</v>
      </c>
      <c r="AL19" s="392">
        <v>14</v>
      </c>
      <c r="AN19" s="393" t="s">
        <v>186</v>
      </c>
      <c r="AO19" s="524">
        <v>71</v>
      </c>
    </row>
    <row r="20" spans="1:41" s="393" customFormat="1" ht="50" customHeight="1">
      <c r="A20" s="753">
        <v>14</v>
      </c>
      <c r="B20" s="721" t="s">
        <v>458</v>
      </c>
      <c r="C20" s="721" t="s">
        <v>421</v>
      </c>
      <c r="D20" s="722">
        <v>8250</v>
      </c>
      <c r="E20" s="723">
        <v>878709</v>
      </c>
      <c r="F20" s="724">
        <v>0.75750775862068964</v>
      </c>
      <c r="G20" s="725">
        <v>88</v>
      </c>
      <c r="H20" s="718"/>
      <c r="I20" s="753">
        <v>14</v>
      </c>
      <c r="J20" s="721" t="s">
        <v>458</v>
      </c>
      <c r="K20" s="721" t="s">
        <v>421</v>
      </c>
      <c r="L20" s="721">
        <v>32</v>
      </c>
      <c r="M20" s="726">
        <v>19</v>
      </c>
      <c r="N20" s="727">
        <v>0.59375</v>
      </c>
      <c r="O20" s="728">
        <v>25.083333333333332</v>
      </c>
      <c r="P20" s="718"/>
      <c r="Q20" s="730">
        <v>14</v>
      </c>
      <c r="R20" s="721" t="s">
        <v>870</v>
      </c>
      <c r="S20" s="721" t="s">
        <v>872</v>
      </c>
      <c r="T20" s="721">
        <v>15</v>
      </c>
      <c r="U20" s="726">
        <v>6</v>
      </c>
      <c r="V20" s="727">
        <v>0.4</v>
      </c>
      <c r="W20" s="714" t="e">
        <v>#N/A</v>
      </c>
      <c r="X20" s="398"/>
      <c r="Y20" s="730">
        <v>14</v>
      </c>
      <c r="Z20" s="768" t="s">
        <v>3</v>
      </c>
      <c r="AA20" s="769" t="s">
        <v>129</v>
      </c>
      <c r="AB20" s="721">
        <v>46</v>
      </c>
      <c r="AC20" s="726">
        <v>13</v>
      </c>
      <c r="AD20" s="770">
        <v>0.28260869565217389</v>
      </c>
      <c r="AE20" s="521">
        <v>20</v>
      </c>
      <c r="AH20" s="393" t="s">
        <v>458</v>
      </c>
      <c r="AI20" s="393">
        <v>1065.4064000000001</v>
      </c>
      <c r="AJ20" s="393">
        <v>301</v>
      </c>
      <c r="AK20" s="393">
        <v>251</v>
      </c>
      <c r="AL20" s="392">
        <v>12</v>
      </c>
      <c r="AN20" s="393" t="s">
        <v>458</v>
      </c>
      <c r="AO20" s="524">
        <v>52</v>
      </c>
    </row>
    <row r="21" spans="1:41" s="393" customFormat="1" ht="50" customHeight="1">
      <c r="A21" s="730">
        <v>15</v>
      </c>
      <c r="B21" s="721" t="s">
        <v>2</v>
      </c>
      <c r="C21" s="721" t="s">
        <v>122</v>
      </c>
      <c r="D21" s="722">
        <v>0</v>
      </c>
      <c r="E21" s="723">
        <v>1302726</v>
      </c>
      <c r="F21" s="724">
        <v>0.74869310344827589</v>
      </c>
      <c r="G21" s="725">
        <v>125</v>
      </c>
      <c r="H21" s="718"/>
      <c r="I21" s="730">
        <v>15</v>
      </c>
      <c r="J21" s="721" t="s">
        <v>512</v>
      </c>
      <c r="K21" s="721" t="s">
        <v>610</v>
      </c>
      <c r="L21" s="721">
        <v>584</v>
      </c>
      <c r="M21" s="726">
        <v>342</v>
      </c>
      <c r="N21" s="727">
        <v>0.58561643835616439</v>
      </c>
      <c r="O21" s="728">
        <v>331.41666666666669</v>
      </c>
      <c r="P21" s="718"/>
      <c r="Q21" s="731">
        <v>15</v>
      </c>
      <c r="R21" s="732" t="s">
        <v>3</v>
      </c>
      <c r="S21" s="732" t="s">
        <v>129</v>
      </c>
      <c r="T21" s="732">
        <v>46</v>
      </c>
      <c r="U21" s="733">
        <v>17</v>
      </c>
      <c r="V21" s="734">
        <v>0.36956521739130432</v>
      </c>
      <c r="W21" s="715">
        <v>26</v>
      </c>
      <c r="X21" s="398"/>
      <c r="Y21" s="731">
        <v>15</v>
      </c>
      <c r="Z21" s="771" t="s">
        <v>625</v>
      </c>
      <c r="AA21" s="772" t="s">
        <v>225</v>
      </c>
      <c r="AB21" s="732">
        <v>40</v>
      </c>
      <c r="AC21" s="733">
        <v>11</v>
      </c>
      <c r="AD21" s="773">
        <v>0.27500000000000002</v>
      </c>
      <c r="AE21" s="539">
        <v>16</v>
      </c>
      <c r="AH21" s="393" t="s">
        <v>578</v>
      </c>
      <c r="AI21" s="393">
        <v>1392.3</v>
      </c>
      <c r="AJ21" s="393">
        <v>264</v>
      </c>
      <c r="AK21" s="393">
        <v>236</v>
      </c>
      <c r="AL21" s="392">
        <v>15</v>
      </c>
      <c r="AN21" s="393" t="s">
        <v>578</v>
      </c>
      <c r="AO21" s="524">
        <v>88</v>
      </c>
    </row>
    <row r="22" spans="1:41" s="394" customFormat="1" ht="50" customHeight="1">
      <c r="A22" s="731">
        <v>16</v>
      </c>
      <c r="B22" s="732" t="s">
        <v>266</v>
      </c>
      <c r="C22" s="732" t="s">
        <v>80</v>
      </c>
      <c r="D22" s="735">
        <v>0</v>
      </c>
      <c r="E22" s="736">
        <v>424519</v>
      </c>
      <c r="F22" s="737">
        <v>0.58153287671232878</v>
      </c>
      <c r="G22" s="738">
        <v>64</v>
      </c>
      <c r="H22" s="739"/>
      <c r="I22" s="731">
        <v>16</v>
      </c>
      <c r="J22" s="732" t="s">
        <v>266</v>
      </c>
      <c r="K22" s="732" t="s">
        <v>80</v>
      </c>
      <c r="L22" s="732">
        <v>19</v>
      </c>
      <c r="M22" s="733">
        <v>11</v>
      </c>
      <c r="N22" s="734">
        <v>0.57894736842105265</v>
      </c>
      <c r="O22" s="740">
        <v>13.25</v>
      </c>
      <c r="P22" s="739"/>
      <c r="Q22" s="730">
        <v>16</v>
      </c>
      <c r="R22" s="721" t="s">
        <v>625</v>
      </c>
      <c r="S22" s="721" t="s">
        <v>225</v>
      </c>
      <c r="T22" s="721">
        <v>40</v>
      </c>
      <c r="U22" s="726">
        <v>14</v>
      </c>
      <c r="V22" s="727">
        <v>0.35</v>
      </c>
      <c r="W22" s="714">
        <v>22.083333333333332</v>
      </c>
      <c r="X22" s="398"/>
      <c r="Y22" s="730">
        <v>14</v>
      </c>
      <c r="Z22" s="768" t="s">
        <v>204</v>
      </c>
      <c r="AA22" s="769" t="s">
        <v>481</v>
      </c>
      <c r="AB22" s="721">
        <v>41</v>
      </c>
      <c r="AC22" s="726">
        <v>11</v>
      </c>
      <c r="AD22" s="770">
        <v>0.26829268292682928</v>
      </c>
      <c r="AE22" s="521">
        <v>15</v>
      </c>
      <c r="AH22" s="394" t="s">
        <v>372</v>
      </c>
      <c r="AI22" s="394">
        <v>23334.811799999996</v>
      </c>
      <c r="AJ22" s="394">
        <v>3977</v>
      </c>
      <c r="AK22" s="394">
        <v>3800</v>
      </c>
      <c r="AL22" s="392">
        <v>228</v>
      </c>
      <c r="AN22" s="394" t="s">
        <v>512</v>
      </c>
      <c r="AO22" s="525">
        <v>1519</v>
      </c>
    </row>
    <row r="23" spans="1:41" s="394" customFormat="1" ht="50" customHeight="1">
      <c r="A23" s="731">
        <v>17</v>
      </c>
      <c r="B23" s="732" t="s">
        <v>607</v>
      </c>
      <c r="C23" s="732" t="s">
        <v>608</v>
      </c>
      <c r="D23" s="735">
        <v>0</v>
      </c>
      <c r="E23" s="736">
        <v>785944</v>
      </c>
      <c r="F23" s="737">
        <v>0.55740709219858153</v>
      </c>
      <c r="G23" s="738">
        <v>116</v>
      </c>
      <c r="H23" s="739"/>
      <c r="I23" s="731">
        <v>17</v>
      </c>
      <c r="J23" s="732" t="s">
        <v>3</v>
      </c>
      <c r="K23" s="732" t="s">
        <v>129</v>
      </c>
      <c r="L23" s="732">
        <v>46</v>
      </c>
      <c r="M23" s="733">
        <v>22</v>
      </c>
      <c r="N23" s="734">
        <v>0.47826086956521741</v>
      </c>
      <c r="O23" s="740">
        <v>26.333333333333332</v>
      </c>
      <c r="P23" s="739"/>
      <c r="Q23" s="730">
        <v>17</v>
      </c>
      <c r="R23" s="721" t="s">
        <v>4</v>
      </c>
      <c r="S23" s="721" t="s">
        <v>148</v>
      </c>
      <c r="T23" s="721">
        <v>106</v>
      </c>
      <c r="U23" s="726">
        <v>34</v>
      </c>
      <c r="V23" s="727">
        <v>0.32075471698113206</v>
      </c>
      <c r="W23" s="714">
        <v>47.5</v>
      </c>
      <c r="X23" s="398"/>
      <c r="Y23" s="730">
        <v>14</v>
      </c>
      <c r="Z23" s="768" t="s">
        <v>4</v>
      </c>
      <c r="AA23" s="769" t="s">
        <v>148</v>
      </c>
      <c r="AB23" s="721">
        <v>106</v>
      </c>
      <c r="AC23" s="726">
        <v>28</v>
      </c>
      <c r="AD23" s="770">
        <v>0.26415094339622641</v>
      </c>
      <c r="AE23" s="521">
        <v>32</v>
      </c>
      <c r="AH23" s="394" t="s">
        <v>372</v>
      </c>
      <c r="AI23" s="394">
        <v>23334.811799999996</v>
      </c>
      <c r="AJ23" s="394">
        <v>3977</v>
      </c>
      <c r="AK23" s="394">
        <v>3800</v>
      </c>
      <c r="AL23" s="392">
        <v>228</v>
      </c>
      <c r="AN23" s="394" t="s">
        <v>512</v>
      </c>
      <c r="AO23" s="525">
        <v>1519</v>
      </c>
    </row>
    <row r="24" spans="1:41" s="394" customFormat="1" ht="50" customHeight="1" thickBot="1">
      <c r="A24" s="730">
        <v>18</v>
      </c>
      <c r="B24" s="721" t="s">
        <v>3</v>
      </c>
      <c r="C24" s="721" t="s">
        <v>129</v>
      </c>
      <c r="D24" s="722">
        <v>111903</v>
      </c>
      <c r="E24" s="723">
        <v>764332</v>
      </c>
      <c r="F24" s="724">
        <v>0.39196512820512819</v>
      </c>
      <c r="G24" s="725">
        <v>156</v>
      </c>
      <c r="H24" s="739"/>
      <c r="I24" s="730">
        <v>18</v>
      </c>
      <c r="J24" s="721" t="s">
        <v>4</v>
      </c>
      <c r="K24" s="721" t="s">
        <v>148</v>
      </c>
      <c r="L24" s="721">
        <v>106</v>
      </c>
      <c r="M24" s="726">
        <v>48</v>
      </c>
      <c r="N24" s="727">
        <v>0.45283018867924529</v>
      </c>
      <c r="O24" s="728">
        <v>47.5</v>
      </c>
      <c r="P24" s="739"/>
      <c r="Q24" s="741">
        <v>18</v>
      </c>
      <c r="R24" s="742" t="s">
        <v>186</v>
      </c>
      <c r="S24" s="742" t="s">
        <v>452</v>
      </c>
      <c r="T24" s="742">
        <v>32</v>
      </c>
      <c r="U24" s="743">
        <v>10</v>
      </c>
      <c r="V24" s="744">
        <v>0.3125</v>
      </c>
      <c r="W24" s="716">
        <v>19.916666666666668</v>
      </c>
      <c r="X24" s="398"/>
      <c r="Y24" s="741">
        <v>15</v>
      </c>
      <c r="Z24" s="774" t="s">
        <v>186</v>
      </c>
      <c r="AA24" s="775" t="s">
        <v>452</v>
      </c>
      <c r="AB24" s="742">
        <v>32</v>
      </c>
      <c r="AC24" s="743">
        <v>8</v>
      </c>
      <c r="AD24" s="776">
        <v>0.25</v>
      </c>
      <c r="AE24" s="566">
        <v>14</v>
      </c>
      <c r="AL24" s="392"/>
      <c r="AO24" s="525"/>
    </row>
    <row r="25" spans="1:41" s="394" customFormat="1" ht="50" customHeight="1" thickBot="1">
      <c r="A25" s="741">
        <v>19</v>
      </c>
      <c r="B25" s="742" t="s">
        <v>186</v>
      </c>
      <c r="C25" s="742" t="s">
        <v>540</v>
      </c>
      <c r="D25" s="745">
        <v>66466</v>
      </c>
      <c r="E25" s="746">
        <v>457174</v>
      </c>
      <c r="F25" s="747">
        <v>0.32890215827338132</v>
      </c>
      <c r="G25" s="748">
        <v>102</v>
      </c>
      <c r="H25" s="739"/>
      <c r="I25" s="741">
        <v>19</v>
      </c>
      <c r="J25" s="742" t="s">
        <v>186</v>
      </c>
      <c r="K25" s="742" t="s">
        <v>452</v>
      </c>
      <c r="L25" s="742">
        <v>32</v>
      </c>
      <c r="M25" s="743">
        <v>14</v>
      </c>
      <c r="N25" s="744">
        <v>0.4375</v>
      </c>
      <c r="O25" s="749">
        <v>20.666666666666668</v>
      </c>
      <c r="P25" s="739"/>
      <c r="Q25" s="750"/>
      <c r="R25" s="706"/>
      <c r="S25" s="706"/>
      <c r="T25" s="706"/>
      <c r="U25" s="751"/>
      <c r="V25" s="752"/>
      <c r="W25" s="710"/>
      <c r="X25" s="399"/>
      <c r="Y25" s="534"/>
      <c r="Z25" s="535"/>
      <c r="AA25" s="398"/>
      <c r="AB25" s="536"/>
      <c r="AC25" s="537"/>
      <c r="AD25" s="538"/>
      <c r="AE25" s="537"/>
      <c r="AL25" s="392"/>
      <c r="AO25" s="525"/>
    </row>
    <row r="26" spans="1:41" s="394" customFormat="1" ht="50" customHeight="1">
      <c r="A26" s="534"/>
      <c r="B26" s="536"/>
      <c r="C26" s="536"/>
      <c r="D26" s="563"/>
      <c r="E26" s="564"/>
      <c r="F26" s="565"/>
      <c r="G26" s="708"/>
      <c r="H26" s="399"/>
      <c r="I26" s="534"/>
      <c r="J26" s="536"/>
      <c r="K26" s="536"/>
      <c r="L26" s="536"/>
      <c r="M26" s="537"/>
      <c r="N26" s="538"/>
      <c r="O26" s="710"/>
      <c r="P26" s="399"/>
      <c r="Q26" s="534"/>
      <c r="R26" s="536"/>
      <c r="S26" s="536"/>
      <c r="T26" s="536"/>
      <c r="U26" s="537"/>
      <c r="V26" s="538"/>
      <c r="W26" s="710"/>
      <c r="X26" s="399"/>
      <c r="Y26" s="534"/>
      <c r="Z26" s="535"/>
      <c r="AA26" s="398"/>
      <c r="AB26" s="536"/>
      <c r="AC26" s="537"/>
      <c r="AD26" s="538"/>
      <c r="AE26" s="537"/>
      <c r="AL26" s="392"/>
      <c r="AO26" s="525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3" t="s">
        <v>727</v>
      </c>
      <c r="B3" s="423" t="s">
        <v>666</v>
      </c>
    </row>
    <row r="4" spans="1:18" ht="16" thickTop="1">
      <c r="A4" s="423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4" t="s">
        <v>669</v>
      </c>
      <c r="P4" s="457" t="s">
        <v>668</v>
      </c>
      <c r="Q4" s="457" t="s">
        <v>667</v>
      </c>
      <c r="R4" s="458" t="s">
        <v>672</v>
      </c>
    </row>
    <row r="5" spans="1:18">
      <c r="A5" s="242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3">
        <f>C5+D5+E5</f>
        <v>0</v>
      </c>
      <c r="P5" s="454">
        <f>F5</f>
        <v>0</v>
      </c>
      <c r="Q5" s="455">
        <f>G5</f>
        <v>0</v>
      </c>
      <c r="R5" s="459">
        <f>SUM(O5:Q5)</f>
        <v>0</v>
      </c>
    </row>
    <row r="6" spans="1:18">
      <c r="A6" s="242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3">
        <f t="shared" ref="O6:O18" si="0">C6+D6+E6</f>
        <v>0</v>
      </c>
      <c r="P6" s="454">
        <f t="shared" ref="P6:P18" si="1">F6</f>
        <v>0</v>
      </c>
      <c r="Q6" s="455">
        <f t="shared" ref="Q6:Q19" si="2">G6</f>
        <v>1</v>
      </c>
      <c r="R6" s="459">
        <f t="shared" ref="R6:R19" si="3">SUM(O6:Q6)</f>
        <v>1</v>
      </c>
    </row>
    <row r="7" spans="1:18">
      <c r="A7" s="242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3">
        <f t="shared" si="0"/>
        <v>0</v>
      </c>
      <c r="P7" s="454">
        <f t="shared" si="1"/>
        <v>0</v>
      </c>
      <c r="Q7" s="455">
        <f t="shared" si="2"/>
        <v>1</v>
      </c>
      <c r="R7" s="459">
        <f t="shared" si="3"/>
        <v>1</v>
      </c>
    </row>
    <row r="8" spans="1:18">
      <c r="A8" s="242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3">
        <f t="shared" si="0"/>
        <v>0</v>
      </c>
      <c r="P8" s="454">
        <f t="shared" si="1"/>
        <v>1</v>
      </c>
      <c r="Q8" s="455">
        <f t="shared" si="2"/>
        <v>5</v>
      </c>
      <c r="R8" s="459">
        <f t="shared" si="3"/>
        <v>6</v>
      </c>
    </row>
    <row r="9" spans="1:18">
      <c r="A9" s="242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3">
        <f t="shared" si="0"/>
        <v>0</v>
      </c>
      <c r="P9" s="454">
        <f t="shared" si="1"/>
        <v>0</v>
      </c>
      <c r="Q9" s="455">
        <f t="shared" si="2"/>
        <v>1</v>
      </c>
      <c r="R9" s="459">
        <f t="shared" si="3"/>
        <v>1</v>
      </c>
    </row>
    <row r="10" spans="1:18">
      <c r="A10" s="242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3">
        <f t="shared" si="0"/>
        <v>0</v>
      </c>
      <c r="P10" s="454">
        <f t="shared" si="1"/>
        <v>1</v>
      </c>
      <c r="Q10" s="455">
        <f t="shared" si="2"/>
        <v>4</v>
      </c>
      <c r="R10" s="459">
        <f t="shared" si="3"/>
        <v>5</v>
      </c>
    </row>
    <row r="11" spans="1:18">
      <c r="A11" s="242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3">
        <f t="shared" si="0"/>
        <v>0</v>
      </c>
      <c r="P11" s="454">
        <f t="shared" si="1"/>
        <v>0</v>
      </c>
      <c r="Q11" s="455">
        <f t="shared" si="2"/>
        <v>2</v>
      </c>
      <c r="R11" s="459">
        <f t="shared" si="3"/>
        <v>2</v>
      </c>
    </row>
    <row r="12" spans="1:18">
      <c r="A12" s="242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3">
        <f t="shared" si="0"/>
        <v>0</v>
      </c>
      <c r="P12" s="454">
        <f t="shared" si="1"/>
        <v>0</v>
      </c>
      <c r="Q12" s="455">
        <f t="shared" si="2"/>
        <v>1</v>
      </c>
      <c r="R12" s="459">
        <f t="shared" si="3"/>
        <v>1</v>
      </c>
    </row>
    <row r="13" spans="1:18">
      <c r="A13" s="242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3">
        <f t="shared" si="0"/>
        <v>0</v>
      </c>
      <c r="P13" s="454">
        <f t="shared" si="1"/>
        <v>0</v>
      </c>
      <c r="Q13" s="455">
        <f t="shared" si="2"/>
        <v>1</v>
      </c>
      <c r="R13" s="459">
        <f t="shared" si="3"/>
        <v>1</v>
      </c>
    </row>
    <row r="14" spans="1:18">
      <c r="A14" s="242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3">
        <f t="shared" si="0"/>
        <v>0</v>
      </c>
      <c r="P14" s="454">
        <f t="shared" si="1"/>
        <v>0</v>
      </c>
      <c r="Q14" s="455">
        <f t="shared" si="2"/>
        <v>0</v>
      </c>
      <c r="R14" s="459">
        <f t="shared" si="3"/>
        <v>0</v>
      </c>
    </row>
    <row r="15" spans="1:18">
      <c r="A15" s="242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3">
        <f t="shared" si="0"/>
        <v>0</v>
      </c>
      <c r="P15" s="454">
        <f t="shared" si="1"/>
        <v>0</v>
      </c>
      <c r="Q15" s="455">
        <f t="shared" si="2"/>
        <v>0</v>
      </c>
      <c r="R15" s="459">
        <f t="shared" si="3"/>
        <v>0</v>
      </c>
    </row>
    <row r="16" spans="1:18">
      <c r="A16" s="242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3">
        <f t="shared" si="0"/>
        <v>0</v>
      </c>
      <c r="P16" s="454">
        <f t="shared" si="1"/>
        <v>1</v>
      </c>
      <c r="Q16" s="455">
        <f t="shared" si="2"/>
        <v>0</v>
      </c>
      <c r="R16" s="459">
        <f t="shared" si="3"/>
        <v>1</v>
      </c>
    </row>
    <row r="17" spans="1:18">
      <c r="A17" s="242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3">
        <f t="shared" si="0"/>
        <v>0</v>
      </c>
      <c r="P17" s="454">
        <f t="shared" si="1"/>
        <v>0</v>
      </c>
      <c r="Q17" s="455">
        <f t="shared" si="2"/>
        <v>2</v>
      </c>
      <c r="R17" s="459">
        <f t="shared" si="3"/>
        <v>2</v>
      </c>
    </row>
    <row r="18" spans="1:18">
      <c r="A18" s="242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3">
        <f t="shared" si="0"/>
        <v>0</v>
      </c>
      <c r="P18" s="454">
        <f t="shared" si="1"/>
        <v>0</v>
      </c>
      <c r="Q18" s="455">
        <f t="shared" si="2"/>
        <v>2</v>
      </c>
      <c r="R18" s="459">
        <f t="shared" si="3"/>
        <v>2</v>
      </c>
    </row>
    <row r="19" spans="1:18" ht="16" thickBot="1">
      <c r="A19" s="242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60">
        <f>C19+D19+E19</f>
        <v>0</v>
      </c>
      <c r="P19" s="461">
        <f>F19</f>
        <v>0</v>
      </c>
      <c r="Q19" s="462">
        <f t="shared" si="2"/>
        <v>1</v>
      </c>
      <c r="R19" s="463">
        <f t="shared" si="3"/>
        <v>1</v>
      </c>
    </row>
    <row r="20" spans="1:18" ht="16" thickTop="1">
      <c r="A20" s="242" t="s">
        <v>664</v>
      </c>
      <c r="O20" s="456">
        <f t="shared" ref="O20" si="4">C20+D20+E20</f>
        <v>0</v>
      </c>
      <c r="P20" s="456">
        <f t="shared" ref="P20" si="5">F20</f>
        <v>0</v>
      </c>
      <c r="Q20" s="456">
        <f t="shared" ref="Q20" si="6">G20</f>
        <v>0</v>
      </c>
      <c r="R20" s="456">
        <f t="shared" ref="R20" si="7">SUM(O20:Q20)</f>
        <v>0</v>
      </c>
    </row>
    <row r="21" spans="1:18">
      <c r="A21" s="242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1" customWidth="1"/>
    <col min="2" max="2" width="9" style="81" customWidth="1"/>
    <col min="3" max="3" width="13.1640625" style="93" customWidth="1"/>
    <col min="4" max="4" width="13.5" style="93" customWidth="1"/>
    <col min="5" max="5" width="9" style="93" customWidth="1"/>
    <col min="6" max="6" width="14.1640625" style="93" customWidth="1"/>
    <col min="7" max="7" width="10.1640625" style="81" customWidth="1"/>
    <col min="8" max="8" width="23" style="93" customWidth="1"/>
    <col min="9" max="9" width="14.1640625" style="93" customWidth="1"/>
    <col min="10" max="10" width="13.5" style="93" customWidth="1"/>
    <col min="11" max="11" width="23.1640625" style="93" customWidth="1"/>
    <col min="12" max="12" width="14.1640625" style="90" customWidth="1"/>
    <col min="13" max="13" width="11.1640625" style="90" customWidth="1"/>
    <col min="14" max="18" width="9.83203125" style="90" customWidth="1"/>
    <col min="19" max="19" width="17.6640625" style="85" customWidth="1"/>
    <col min="20" max="20" width="26.1640625" style="98" customWidth="1"/>
    <col min="21" max="21" width="16" style="85" customWidth="1"/>
    <col min="22" max="22" width="8.83203125" style="85" customWidth="1"/>
    <col min="23" max="23" width="12.33203125" style="83" customWidth="1"/>
    <col min="24" max="24" width="19.83203125" style="97" customWidth="1"/>
    <col min="25" max="25" width="11.33203125" style="81" bestFit="1" customWidth="1"/>
    <col min="26" max="26" width="13.83203125" style="81" bestFit="1" customWidth="1"/>
    <col min="27" max="27" width="12.5" style="81" customWidth="1"/>
    <col min="28" max="28" width="13.1640625" style="81" bestFit="1" customWidth="1"/>
    <col min="29" max="30" width="10" style="81" bestFit="1" customWidth="1"/>
    <col min="31" max="16384" width="9.83203125" style="81"/>
  </cols>
  <sheetData>
    <row r="1" spans="1:36" s="86" customFormat="1" ht="42" customHeight="1">
      <c r="A1" s="981" t="e">
        <f>#REF!</f>
        <v>#REF!</v>
      </c>
      <c r="B1" s="981"/>
      <c r="C1" s="981"/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981"/>
      <c r="P1" s="981"/>
      <c r="Q1" s="981"/>
      <c r="R1" s="981"/>
      <c r="S1" s="981"/>
      <c r="T1" s="981"/>
      <c r="U1" s="981"/>
      <c r="V1" s="981"/>
      <c r="W1" s="83"/>
      <c r="X1" s="234" t="e">
        <f>IF(AND(H23=#REF!,K23=#REF!,M23=#REF!,'單位 (不分組)'!O23=#REF!),"ok","x")</f>
        <v>#REF!</v>
      </c>
      <c r="Y1" s="84"/>
      <c r="AA1" s="84"/>
      <c r="AB1" s="85"/>
      <c r="AC1" s="84"/>
      <c r="AD1" s="85"/>
      <c r="AE1" s="84"/>
      <c r="AF1" s="85"/>
      <c r="AG1" s="84"/>
      <c r="AH1" s="85"/>
      <c r="AI1" s="85"/>
      <c r="AJ1" s="85"/>
    </row>
    <row r="2" spans="1:36" ht="6.5" customHeight="1">
      <c r="B2" s="87"/>
      <c r="C2" s="88"/>
      <c r="D2" s="88"/>
      <c r="E2" s="88"/>
      <c r="F2" s="88"/>
      <c r="G2" s="89"/>
      <c r="H2" s="88"/>
      <c r="I2" s="88"/>
      <c r="J2" s="88"/>
      <c r="K2" s="88"/>
      <c r="T2" s="91"/>
      <c r="X2" s="92"/>
      <c r="Y2" s="93"/>
      <c r="Z2" s="84"/>
      <c r="AA2" s="93"/>
      <c r="AB2" s="93"/>
      <c r="AC2" s="93"/>
      <c r="AD2" s="93"/>
      <c r="AE2" s="93"/>
      <c r="AF2" s="93"/>
      <c r="AG2" s="93"/>
      <c r="AH2" s="93"/>
      <c r="AI2" s="93"/>
      <c r="AJ2" s="93"/>
    </row>
    <row r="3" spans="1:36" ht="5.5" customHeight="1">
      <c r="B3" s="94"/>
      <c r="T3" s="91"/>
      <c r="X3" s="92"/>
      <c r="Y3" s="93"/>
      <c r="Z3" s="84"/>
      <c r="AA3" s="93"/>
      <c r="AB3" s="93"/>
      <c r="AC3" s="93"/>
      <c r="AD3" s="93"/>
      <c r="AE3" s="93"/>
      <c r="AF3" s="93"/>
      <c r="AG3" s="93"/>
      <c r="AH3" s="93"/>
      <c r="AI3" s="93"/>
      <c r="AJ3" s="93"/>
    </row>
    <row r="4" spans="1:36" s="144" customFormat="1" ht="24" customHeight="1" thickBot="1">
      <c r="B4" s="130" t="e">
        <f>#REF!</f>
        <v>#REF!</v>
      </c>
      <c r="C4" s="130"/>
      <c r="D4" s="131"/>
      <c r="E4" s="130"/>
      <c r="F4" s="132"/>
      <c r="G4" s="133" t="s">
        <v>191</v>
      </c>
      <c r="H4" s="134"/>
      <c r="I4" s="135"/>
      <c r="J4" s="136" t="e">
        <f>#REF!</f>
        <v>#REF!</v>
      </c>
      <c r="K4" s="136"/>
      <c r="L4" s="137"/>
      <c r="M4" s="137"/>
      <c r="N4" s="137"/>
      <c r="O4" s="137"/>
      <c r="P4" s="137"/>
      <c r="Q4" s="137"/>
      <c r="R4" s="137"/>
      <c r="S4" s="138" t="e">
        <f>#REF!</f>
        <v>#REF!</v>
      </c>
      <c r="T4" s="138"/>
      <c r="U4" s="139"/>
      <c r="V4" s="140"/>
      <c r="W4" s="141"/>
      <c r="X4" s="142"/>
      <c r="Y4" s="82"/>
      <c r="Z4" s="143"/>
      <c r="AA4" s="82"/>
      <c r="AB4" s="82"/>
      <c r="AC4" s="82"/>
      <c r="AD4" s="82"/>
      <c r="AE4" s="82"/>
      <c r="AF4" s="82"/>
      <c r="AG4" s="82"/>
      <c r="AH4" s="82"/>
      <c r="AI4" s="82"/>
      <c r="AJ4" s="82"/>
    </row>
    <row r="5" spans="1:36" s="96" customFormat="1" ht="51.5" customHeight="1">
      <c r="A5" s="982" t="s">
        <v>548</v>
      </c>
      <c r="B5" s="258" t="s">
        <v>329</v>
      </c>
      <c r="C5" s="984" t="s">
        <v>5</v>
      </c>
      <c r="D5" s="974" t="s">
        <v>520</v>
      </c>
      <c r="E5" s="986" t="s">
        <v>189</v>
      </c>
      <c r="F5" s="988" t="e">
        <f>#REF!</f>
        <v>#REF!</v>
      </c>
      <c r="G5" s="990" t="s">
        <v>506</v>
      </c>
      <c r="H5" s="991"/>
      <c r="I5" s="991"/>
      <c r="J5" s="992" t="e">
        <f>#REF!</f>
        <v>#REF!</v>
      </c>
      <c r="K5" s="993"/>
      <c r="L5" s="994"/>
      <c r="M5" s="995" t="s">
        <v>551</v>
      </c>
      <c r="N5" s="996"/>
      <c r="O5" s="995" t="s">
        <v>552</v>
      </c>
      <c r="P5" s="996"/>
      <c r="Q5" s="995" t="s">
        <v>611</v>
      </c>
      <c r="R5" s="996"/>
      <c r="S5" s="971" t="s">
        <v>545</v>
      </c>
      <c r="T5" s="973" t="e">
        <f>#REF!</f>
        <v>#REF!</v>
      </c>
      <c r="U5" s="974"/>
      <c r="V5" s="975"/>
      <c r="W5" s="95"/>
      <c r="X5" s="84"/>
      <c r="Y5" s="85"/>
      <c r="Z5" s="241" t="s">
        <v>562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</row>
    <row r="6" spans="1:36" s="96" customFormat="1" ht="33" customHeight="1" thickBot="1">
      <c r="A6" s="983"/>
      <c r="B6" s="259" t="s">
        <v>192</v>
      </c>
      <c r="C6" s="985"/>
      <c r="D6" s="985"/>
      <c r="E6" s="987"/>
      <c r="F6" s="989"/>
      <c r="G6" s="172" t="s">
        <v>0</v>
      </c>
      <c r="H6" s="173" t="s">
        <v>326</v>
      </c>
      <c r="I6" s="173" t="s">
        <v>190</v>
      </c>
      <c r="J6" s="174" t="s">
        <v>0</v>
      </c>
      <c r="K6" s="175" t="e">
        <f>#REF!</f>
        <v>#REF!</v>
      </c>
      <c r="L6" s="176" t="s">
        <v>190</v>
      </c>
      <c r="M6" s="163" t="s">
        <v>500</v>
      </c>
      <c r="N6" s="164" t="s">
        <v>501</v>
      </c>
      <c r="O6" s="345" t="s">
        <v>500</v>
      </c>
      <c r="P6" s="346" t="s">
        <v>543</v>
      </c>
      <c r="Q6" s="345" t="s">
        <v>612</v>
      </c>
      <c r="R6" s="346" t="s">
        <v>613</v>
      </c>
      <c r="S6" s="972"/>
      <c r="T6" s="167" t="s">
        <v>327</v>
      </c>
      <c r="U6" s="168" t="s">
        <v>328</v>
      </c>
      <c r="V6" s="169" t="s">
        <v>192</v>
      </c>
      <c r="Y6" s="84"/>
      <c r="Z6" s="236" t="s">
        <v>495</v>
      </c>
      <c r="AA6" s="236" t="s">
        <v>559</v>
      </c>
      <c r="AB6" s="236" t="s">
        <v>560</v>
      </c>
      <c r="AC6" s="236" t="s">
        <v>328</v>
      </c>
      <c r="AD6" s="236" t="s">
        <v>561</v>
      </c>
      <c r="AE6" s="84"/>
      <c r="AF6" s="84"/>
      <c r="AG6" s="84"/>
      <c r="AH6" s="84"/>
      <c r="AI6" s="84"/>
      <c r="AJ6" s="84"/>
    </row>
    <row r="7" spans="1:36" s="100" customFormat="1" ht="35" customHeight="1">
      <c r="A7" s="976" t="s">
        <v>549</v>
      </c>
      <c r="B7" s="260" t="e">
        <f>RANK($L7,$L$7:$L$22)</f>
        <v>#REF!</v>
      </c>
      <c r="C7" s="208" t="s">
        <v>181</v>
      </c>
      <c r="D7" s="209" t="s">
        <v>36</v>
      </c>
      <c r="E7" s="210" t="e">
        <f>VLOOKUP($C7,#REF!,3,FALSE)</f>
        <v>#REF!</v>
      </c>
      <c r="F7" s="211" t="e">
        <f>VLOOKUP($C7,#REF!,4,FALSE)</f>
        <v>#REF!</v>
      </c>
      <c r="G7" s="107" t="e">
        <f>VLOOKUP($C7,#REF!,5,FALSE)</f>
        <v>#REF!</v>
      </c>
      <c r="H7" s="108" t="e">
        <f>VLOOKUP($C7,#REF!,6,FALSE)</f>
        <v>#REF!</v>
      </c>
      <c r="I7" s="109" t="e">
        <f>VLOOKUP($C7,#REF!,7,FALSE)</f>
        <v>#REF!</v>
      </c>
      <c r="J7" s="107" t="e">
        <f>VLOOKUP($C7,#REF!,8,FALSE)</f>
        <v>#REF!</v>
      </c>
      <c r="K7" s="110" t="e">
        <f>VLOOKUP($C7,#REF!,9,FALSE)</f>
        <v>#REF!</v>
      </c>
      <c r="L7" s="243" t="e">
        <f>VLOOKUP($C7,#REF!,10,FALSE)</f>
        <v>#REF!</v>
      </c>
      <c r="M7" s="111" t="e">
        <f>VLOOKUP($C7,#REF!,11,FALSE)</f>
        <v>#REF!</v>
      </c>
      <c r="N7" s="112" t="e">
        <f>VLOOKUP($C7,#REF!,12,FALSE)</f>
        <v>#REF!</v>
      </c>
      <c r="O7" s="347" t="e">
        <f>VLOOKUP($C7,#REF!,13,FALSE)</f>
        <v>#REF!</v>
      </c>
      <c r="P7" s="348" t="e">
        <f>VLOOKUP($C7,#REF!,14,FALSE)</f>
        <v>#REF!</v>
      </c>
      <c r="Q7" s="347" t="e">
        <f>VLOOKUP($C7,#REF!,15,FALSE)</f>
        <v>#REF!</v>
      </c>
      <c r="R7" s="348" t="e">
        <f>VLOOKUP($C7,#REF!,16,FALSE)</f>
        <v>#REF!</v>
      </c>
      <c r="S7" s="113" t="e">
        <f>VLOOKUP($C7,#REF!,17,FALSE)</f>
        <v>#REF!</v>
      </c>
      <c r="T7" s="114" t="e">
        <f>VLOOKUP($C7,#REF!,18,FALSE)</f>
        <v>#REF!</v>
      </c>
      <c r="U7" s="228" t="e">
        <f>VLOOKUP($C7,#REF!,19,FALSE)</f>
        <v>#REF!</v>
      </c>
      <c r="V7" s="115" t="e">
        <f>RANK(U7,$U$7:$U$22)</f>
        <v>#REF!</v>
      </c>
      <c r="W7" s="102"/>
      <c r="X7" s="99"/>
      <c r="Z7" s="237"/>
      <c r="AA7" s="238"/>
      <c r="AB7" s="238"/>
      <c r="AC7" s="239"/>
      <c r="AD7" s="238"/>
    </row>
    <row r="8" spans="1:36" s="100" customFormat="1" ht="35" customHeight="1">
      <c r="A8" s="977"/>
      <c r="B8" s="261" t="e">
        <f t="shared" ref="B8:B21" si="0">RANK($L8,$L$7:$L$22)</f>
        <v>#REF!</v>
      </c>
      <c r="C8" s="212" t="s">
        <v>3</v>
      </c>
      <c r="D8" s="213" t="s">
        <v>129</v>
      </c>
      <c r="E8" s="214" t="e">
        <f>VLOOKUP($C8,#REF!,3,FALSE)</f>
        <v>#REF!</v>
      </c>
      <c r="F8" s="211" t="e">
        <f>VLOOKUP($C8,#REF!,4,FALSE)</f>
        <v>#REF!</v>
      </c>
      <c r="G8" s="116" t="e">
        <f>VLOOKUP($C8,#REF!,5,FALSE)</f>
        <v>#REF!</v>
      </c>
      <c r="H8" s="117" t="e">
        <f>VLOOKUP($C8,#REF!,6,FALSE)</f>
        <v>#REF!</v>
      </c>
      <c r="I8" s="118" t="e">
        <f>VLOOKUP($C8,#REF!,7,FALSE)</f>
        <v>#REF!</v>
      </c>
      <c r="J8" s="116" t="e">
        <f>VLOOKUP($C8,#REF!,8,FALSE)</f>
        <v>#REF!</v>
      </c>
      <c r="K8" s="119" t="e">
        <f>VLOOKUP($C8,#REF!,9,FALSE)</f>
        <v>#REF!</v>
      </c>
      <c r="L8" s="244" t="e">
        <f>VLOOKUP($C8,#REF!,10,FALSE)</f>
        <v>#REF!</v>
      </c>
      <c r="M8" s="120" t="e">
        <f>VLOOKUP($C8,#REF!,11,FALSE)</f>
        <v>#REF!</v>
      </c>
      <c r="N8" s="121" t="e">
        <f>VLOOKUP($C8,#REF!,12,FALSE)</f>
        <v>#REF!</v>
      </c>
      <c r="O8" s="120" t="e">
        <f>VLOOKUP($C8,#REF!,13,FALSE)</f>
        <v>#REF!</v>
      </c>
      <c r="P8" s="121" t="e">
        <f>VLOOKUP($C8,#REF!,14,FALSE)</f>
        <v>#REF!</v>
      </c>
      <c r="Q8" s="120" t="e">
        <f>VLOOKUP($C8,#REF!,15,FALSE)</f>
        <v>#REF!</v>
      </c>
      <c r="R8" s="121" t="e">
        <f>VLOOKUP($C8,#REF!,16,FALSE)</f>
        <v>#REF!</v>
      </c>
      <c r="S8" s="122" t="e">
        <f>VLOOKUP($C8,#REF!,17,FALSE)</f>
        <v>#REF!</v>
      </c>
      <c r="T8" s="123" t="e">
        <f>VLOOKUP($C8,#REF!,18,FALSE)</f>
        <v>#REF!</v>
      </c>
      <c r="U8" s="229" t="e">
        <f>VLOOKUP($C8,#REF!,19,FALSE)</f>
        <v>#REF!</v>
      </c>
      <c r="V8" s="115" t="e">
        <f t="shared" ref="V8:V21" si="1">RANK(U8,$U$7:$U$22)</f>
        <v>#REF!</v>
      </c>
      <c r="W8" s="102"/>
      <c r="X8" s="99"/>
      <c r="Z8" s="237"/>
      <c r="AA8" s="238"/>
      <c r="AB8" s="238"/>
      <c r="AC8" s="239"/>
      <c r="AD8" s="238"/>
    </row>
    <row r="9" spans="1:36" s="100" customFormat="1" ht="35" customHeight="1">
      <c r="A9" s="977"/>
      <c r="B9" s="262" t="e">
        <f t="shared" si="0"/>
        <v>#REF!</v>
      </c>
      <c r="C9" s="215" t="s">
        <v>4</v>
      </c>
      <c r="D9" s="216" t="s">
        <v>148</v>
      </c>
      <c r="E9" s="214" t="e">
        <f>VLOOKUP($C9,#REF!,3,FALSE)</f>
        <v>#REF!</v>
      </c>
      <c r="F9" s="211" t="e">
        <f>VLOOKUP($C9,#REF!,4,FALSE)</f>
        <v>#REF!</v>
      </c>
      <c r="G9" s="116" t="e">
        <f>VLOOKUP($C9,#REF!,5,FALSE)</f>
        <v>#REF!</v>
      </c>
      <c r="H9" s="117" t="e">
        <f>VLOOKUP($C9,#REF!,6,FALSE)</f>
        <v>#REF!</v>
      </c>
      <c r="I9" s="118" t="e">
        <f>VLOOKUP($C9,#REF!,7,FALSE)</f>
        <v>#REF!</v>
      </c>
      <c r="J9" s="116" t="e">
        <f>VLOOKUP($C9,#REF!,8,FALSE)</f>
        <v>#REF!</v>
      </c>
      <c r="K9" s="119" t="e">
        <f>VLOOKUP($C9,#REF!,9,FALSE)</f>
        <v>#REF!</v>
      </c>
      <c r="L9" s="244" t="e">
        <f>VLOOKUP($C9,#REF!,10,FALSE)</f>
        <v>#REF!</v>
      </c>
      <c r="M9" s="120" t="e">
        <f>VLOOKUP($C9,#REF!,11,FALSE)</f>
        <v>#REF!</v>
      </c>
      <c r="N9" s="121" t="e">
        <f>VLOOKUP($C9,#REF!,12,FALSE)</f>
        <v>#REF!</v>
      </c>
      <c r="O9" s="120" t="e">
        <f>VLOOKUP($C9,#REF!,13,FALSE)</f>
        <v>#REF!</v>
      </c>
      <c r="P9" s="121" t="e">
        <f>VLOOKUP($C9,#REF!,14,FALSE)</f>
        <v>#REF!</v>
      </c>
      <c r="Q9" s="120" t="e">
        <f>VLOOKUP($C9,#REF!,15,FALSE)</f>
        <v>#REF!</v>
      </c>
      <c r="R9" s="121" t="e">
        <f>VLOOKUP($C9,#REF!,16,FALSE)</f>
        <v>#REF!</v>
      </c>
      <c r="S9" s="122" t="e">
        <f>VLOOKUP($C9,#REF!,17,FALSE)</f>
        <v>#REF!</v>
      </c>
      <c r="T9" s="123" t="e">
        <f>VLOOKUP($C9,#REF!,18,FALSE)</f>
        <v>#REF!</v>
      </c>
      <c r="U9" s="229" t="e">
        <f>VLOOKUP($C9,#REF!,19,FALSE)</f>
        <v>#REF!</v>
      </c>
      <c r="V9" s="115" t="e">
        <f t="shared" si="1"/>
        <v>#REF!</v>
      </c>
      <c r="W9" s="102"/>
      <c r="X9" s="99"/>
      <c r="Z9" s="237"/>
      <c r="AA9" s="238"/>
      <c r="AB9" s="238"/>
      <c r="AC9" s="239"/>
      <c r="AD9" s="238"/>
    </row>
    <row r="10" spans="1:36" s="100" customFormat="1" ht="35" customHeight="1">
      <c r="A10" s="977"/>
      <c r="B10" s="261" t="e">
        <f t="shared" si="0"/>
        <v>#REF!</v>
      </c>
      <c r="C10" s="212" t="s">
        <v>266</v>
      </c>
      <c r="D10" s="213" t="s">
        <v>80</v>
      </c>
      <c r="E10" s="214" t="e">
        <f>VLOOKUP($C10,#REF!,3,FALSE)</f>
        <v>#REF!</v>
      </c>
      <c r="F10" s="211" t="e">
        <f>VLOOKUP($C10,#REF!,4,FALSE)</f>
        <v>#REF!</v>
      </c>
      <c r="G10" s="116" t="e">
        <f>VLOOKUP($C10,#REF!,5,FALSE)</f>
        <v>#REF!</v>
      </c>
      <c r="H10" s="117" t="e">
        <f>VLOOKUP($C10,#REF!,6,FALSE)</f>
        <v>#REF!</v>
      </c>
      <c r="I10" s="118" t="e">
        <f>VLOOKUP($C10,#REF!,7,FALSE)</f>
        <v>#REF!</v>
      </c>
      <c r="J10" s="116" t="e">
        <f>VLOOKUP($C10,#REF!,8,FALSE)</f>
        <v>#REF!</v>
      </c>
      <c r="K10" s="119" t="e">
        <f>VLOOKUP($C10,#REF!,9,FALSE)</f>
        <v>#REF!</v>
      </c>
      <c r="L10" s="244" t="e">
        <f>VLOOKUP($C10,#REF!,10,FALSE)</f>
        <v>#REF!</v>
      </c>
      <c r="M10" s="120" t="e">
        <f>VLOOKUP($C10,#REF!,11,FALSE)</f>
        <v>#REF!</v>
      </c>
      <c r="N10" s="121" t="e">
        <f>VLOOKUP($C10,#REF!,12,FALSE)</f>
        <v>#REF!</v>
      </c>
      <c r="O10" s="120" t="e">
        <f>VLOOKUP($C10,#REF!,13,FALSE)</f>
        <v>#REF!</v>
      </c>
      <c r="P10" s="121" t="e">
        <f>VLOOKUP($C10,#REF!,14,FALSE)</f>
        <v>#REF!</v>
      </c>
      <c r="Q10" s="120" t="e">
        <f>VLOOKUP($C10,#REF!,15,FALSE)</f>
        <v>#REF!</v>
      </c>
      <c r="R10" s="121" t="e">
        <f>VLOOKUP($C10,#REF!,16,FALSE)</f>
        <v>#REF!</v>
      </c>
      <c r="S10" s="122" t="e">
        <f>VLOOKUP($C10,#REF!,17,FALSE)</f>
        <v>#REF!</v>
      </c>
      <c r="T10" s="123" t="e">
        <f>VLOOKUP($C10,#REF!,18,FALSE)</f>
        <v>#REF!</v>
      </c>
      <c r="U10" s="229" t="e">
        <f>VLOOKUP($C10,#REF!,19,FALSE)</f>
        <v>#REF!</v>
      </c>
      <c r="V10" s="115" t="e">
        <f t="shared" si="1"/>
        <v>#REF!</v>
      </c>
      <c r="W10" s="102"/>
      <c r="X10" s="99"/>
      <c r="Z10" s="237"/>
      <c r="AA10" s="238"/>
      <c r="AB10" s="238"/>
      <c r="AC10" s="239"/>
      <c r="AD10" s="238"/>
    </row>
    <row r="11" spans="1:36" s="100" customFormat="1" ht="35" customHeight="1">
      <c r="A11" s="977"/>
      <c r="B11" s="262" t="e">
        <f t="shared" si="0"/>
        <v>#REF!</v>
      </c>
      <c r="C11" s="212" t="s">
        <v>184</v>
      </c>
      <c r="D11" s="213" t="s">
        <v>73</v>
      </c>
      <c r="E11" s="214" t="e">
        <f>VLOOKUP($C11,#REF!,3,FALSE)</f>
        <v>#REF!</v>
      </c>
      <c r="F11" s="211" t="e">
        <f>VLOOKUP($C11,#REF!,4,FALSE)</f>
        <v>#REF!</v>
      </c>
      <c r="G11" s="116" t="e">
        <f>VLOOKUP($C11,#REF!,5,FALSE)</f>
        <v>#REF!</v>
      </c>
      <c r="H11" s="117" t="e">
        <f>VLOOKUP($C11,#REF!,6,FALSE)</f>
        <v>#REF!</v>
      </c>
      <c r="I11" s="118" t="e">
        <f>VLOOKUP($C11,#REF!,7,FALSE)</f>
        <v>#REF!</v>
      </c>
      <c r="J11" s="116" t="e">
        <f>VLOOKUP($C11,#REF!,8,FALSE)</f>
        <v>#REF!</v>
      </c>
      <c r="K11" s="119" t="e">
        <f>VLOOKUP($C11,#REF!,9,FALSE)</f>
        <v>#REF!</v>
      </c>
      <c r="L11" s="244" t="e">
        <f>VLOOKUP($C11,#REF!,10,FALSE)</f>
        <v>#REF!</v>
      </c>
      <c r="M11" s="120" t="e">
        <f>VLOOKUP($C11,#REF!,11,FALSE)</f>
        <v>#REF!</v>
      </c>
      <c r="N11" s="121" t="e">
        <f>VLOOKUP($C11,#REF!,12,FALSE)</f>
        <v>#REF!</v>
      </c>
      <c r="O11" s="120" t="e">
        <f>VLOOKUP($C11,#REF!,13,FALSE)</f>
        <v>#REF!</v>
      </c>
      <c r="P11" s="121" t="e">
        <f>VLOOKUP($C11,#REF!,14,FALSE)</f>
        <v>#REF!</v>
      </c>
      <c r="Q11" s="120" t="e">
        <f>VLOOKUP($C11,#REF!,15,FALSE)</f>
        <v>#REF!</v>
      </c>
      <c r="R11" s="121" t="e">
        <f>VLOOKUP($C11,#REF!,16,FALSE)</f>
        <v>#REF!</v>
      </c>
      <c r="S11" s="122" t="e">
        <f>VLOOKUP($C11,#REF!,17,FALSE)</f>
        <v>#REF!</v>
      </c>
      <c r="T11" s="123" t="e">
        <f>VLOOKUP($C11,#REF!,18,FALSE)</f>
        <v>#REF!</v>
      </c>
      <c r="U11" s="229" t="e">
        <f>VLOOKUP($C11,#REF!,19,FALSE)</f>
        <v>#REF!</v>
      </c>
      <c r="V11" s="115" t="e">
        <f t="shared" si="1"/>
        <v>#REF!</v>
      </c>
      <c r="W11" s="102"/>
      <c r="X11" s="99"/>
      <c r="Z11" s="237"/>
      <c r="AA11" s="238"/>
      <c r="AB11" s="238"/>
      <c r="AC11" s="239"/>
      <c r="AD11" s="238"/>
    </row>
    <row r="12" spans="1:36" s="100" customFormat="1" ht="35" customHeight="1">
      <c r="A12" s="977"/>
      <c r="B12" s="261" t="e">
        <f t="shared" si="0"/>
        <v>#REF!</v>
      </c>
      <c r="C12" s="212" t="s">
        <v>607</v>
      </c>
      <c r="D12" s="213" t="s">
        <v>608</v>
      </c>
      <c r="E12" s="214" t="e">
        <f>VLOOKUP($C12,#REF!,3,FALSE)</f>
        <v>#REF!</v>
      </c>
      <c r="F12" s="211" t="e">
        <f>VLOOKUP($C12,#REF!,4,FALSE)</f>
        <v>#REF!</v>
      </c>
      <c r="G12" s="116" t="e">
        <f>VLOOKUP($C12,#REF!,5,FALSE)</f>
        <v>#REF!</v>
      </c>
      <c r="H12" s="117" t="e">
        <f>VLOOKUP($C12,#REF!,6,FALSE)</f>
        <v>#REF!</v>
      </c>
      <c r="I12" s="118" t="e">
        <f>VLOOKUP($C12,#REF!,7,FALSE)</f>
        <v>#REF!</v>
      </c>
      <c r="J12" s="116" t="e">
        <f>VLOOKUP($C12,#REF!,8,FALSE)</f>
        <v>#REF!</v>
      </c>
      <c r="K12" s="119" t="e">
        <f>VLOOKUP($C12,#REF!,9,FALSE)</f>
        <v>#REF!</v>
      </c>
      <c r="L12" s="244" t="e">
        <f>VLOOKUP($C12,#REF!,10,FALSE)</f>
        <v>#REF!</v>
      </c>
      <c r="M12" s="120" t="e">
        <f>VLOOKUP($C12,#REF!,11,FALSE)</f>
        <v>#REF!</v>
      </c>
      <c r="N12" s="121" t="e">
        <f>VLOOKUP($C12,#REF!,12,FALSE)</f>
        <v>#REF!</v>
      </c>
      <c r="O12" s="120" t="e">
        <f>VLOOKUP($C12,#REF!,13,FALSE)</f>
        <v>#REF!</v>
      </c>
      <c r="P12" s="121" t="e">
        <f>VLOOKUP($C12,#REF!,14,FALSE)</f>
        <v>#REF!</v>
      </c>
      <c r="Q12" s="120" t="e">
        <f>VLOOKUP($C12,#REF!,15,FALSE)</f>
        <v>#REF!</v>
      </c>
      <c r="R12" s="121" t="e">
        <f>VLOOKUP($C12,#REF!,16,FALSE)</f>
        <v>#REF!</v>
      </c>
      <c r="S12" s="122" t="e">
        <f>VLOOKUP($C12,#REF!,17,FALSE)</f>
        <v>#REF!</v>
      </c>
      <c r="T12" s="123" t="e">
        <f>VLOOKUP($C12,#REF!,18,FALSE)</f>
        <v>#REF!</v>
      </c>
      <c r="U12" s="229" t="e">
        <f>VLOOKUP($C12,#REF!,19,FALSE)</f>
        <v>#REF!</v>
      </c>
      <c r="V12" s="115" t="e">
        <f t="shared" si="1"/>
        <v>#REF!</v>
      </c>
      <c r="W12" s="102"/>
      <c r="X12" s="99"/>
      <c r="Z12" s="237"/>
      <c r="AA12" s="238"/>
      <c r="AB12" s="238"/>
      <c r="AC12" s="239"/>
      <c r="AD12" s="238"/>
    </row>
    <row r="13" spans="1:36" s="100" customFormat="1" ht="35" customHeight="1" thickBot="1">
      <c r="A13" s="978"/>
      <c r="B13" s="263" t="e">
        <f t="shared" si="0"/>
        <v>#REF!</v>
      </c>
      <c r="C13" s="217" t="s">
        <v>204</v>
      </c>
      <c r="D13" s="218" t="s">
        <v>481</v>
      </c>
      <c r="E13" s="210" t="e">
        <f>VLOOKUP($C13,#REF!,3,FALSE)</f>
        <v>#REF!</v>
      </c>
      <c r="F13" s="211" t="e">
        <f>VLOOKUP($C13,#REF!,4,FALSE)</f>
        <v>#REF!</v>
      </c>
      <c r="G13" s="187" t="e">
        <f>VLOOKUP($C13,#REF!,5,FALSE)</f>
        <v>#REF!</v>
      </c>
      <c r="H13" s="188" t="e">
        <f>VLOOKUP($C13,#REF!,6,FALSE)</f>
        <v>#REF!</v>
      </c>
      <c r="I13" s="189" t="e">
        <f>VLOOKUP($C13,#REF!,7,FALSE)</f>
        <v>#REF!</v>
      </c>
      <c r="J13" s="187" t="e">
        <f>VLOOKUP($C13,#REF!,8,FALSE)</f>
        <v>#REF!</v>
      </c>
      <c r="K13" s="190" t="e">
        <f>VLOOKUP($C13,#REF!,9,FALSE)</f>
        <v>#REF!</v>
      </c>
      <c r="L13" s="245" t="e">
        <f>VLOOKUP($C13,#REF!,10,FALSE)</f>
        <v>#REF!</v>
      </c>
      <c r="M13" s="191" t="e">
        <f>VLOOKUP($C13,#REF!,11,FALSE)</f>
        <v>#REF!</v>
      </c>
      <c r="N13" s="192" t="e">
        <f>VLOOKUP($C13,#REF!,12,FALSE)</f>
        <v>#REF!</v>
      </c>
      <c r="O13" s="191" t="e">
        <f>VLOOKUP($C13,#REF!,13,FALSE)</f>
        <v>#REF!</v>
      </c>
      <c r="P13" s="112" t="e">
        <f>VLOOKUP($C13,#REF!,14,FALSE)</f>
        <v>#REF!</v>
      </c>
      <c r="Q13" s="191" t="e">
        <f>VLOOKUP($C13,#REF!,15,FALSE)</f>
        <v>#REF!</v>
      </c>
      <c r="R13" s="112" t="e">
        <f>VLOOKUP($C13,#REF!,16,FALSE)</f>
        <v>#REF!</v>
      </c>
      <c r="S13" s="193" t="e">
        <f>VLOOKUP($C13,#REF!,17,FALSE)</f>
        <v>#REF!</v>
      </c>
      <c r="T13" s="194" t="e">
        <f>VLOOKUP($C13,#REF!,18,FALSE)</f>
        <v>#REF!</v>
      </c>
      <c r="U13" s="230" t="e">
        <f>VLOOKUP($C13,#REF!,19,FALSE)</f>
        <v>#REF!</v>
      </c>
      <c r="V13" s="195" t="e">
        <f t="shared" si="1"/>
        <v>#REF!</v>
      </c>
      <c r="W13" s="102"/>
      <c r="X13" s="99"/>
      <c r="Z13" s="237"/>
      <c r="AA13" s="238"/>
      <c r="AB13" s="238"/>
      <c r="AC13" s="239"/>
      <c r="AD13" s="238"/>
    </row>
    <row r="14" spans="1:36" s="100" customFormat="1" ht="35" customHeight="1" thickTop="1">
      <c r="A14" s="979" t="s">
        <v>550</v>
      </c>
      <c r="B14" s="261" t="e">
        <f t="shared" si="0"/>
        <v>#REF!</v>
      </c>
      <c r="C14" s="212" t="s">
        <v>1</v>
      </c>
      <c r="D14" s="213" t="s">
        <v>52</v>
      </c>
      <c r="E14" s="214" t="e">
        <f>VLOOKUP($C14,#REF!,3,FALSE)</f>
        <v>#REF!</v>
      </c>
      <c r="F14" s="211" t="e">
        <f>VLOOKUP($C14,#REF!,4,FALSE)</f>
        <v>#REF!</v>
      </c>
      <c r="G14" s="116" t="e">
        <f>VLOOKUP($C14,#REF!,5,FALSE)</f>
        <v>#REF!</v>
      </c>
      <c r="H14" s="117" t="e">
        <f>VLOOKUP($C14,#REF!,6,FALSE)</f>
        <v>#REF!</v>
      </c>
      <c r="I14" s="118" t="e">
        <f>VLOOKUP($C14,#REF!,7,FALSE)</f>
        <v>#REF!</v>
      </c>
      <c r="J14" s="116" t="e">
        <f>VLOOKUP($C14,#REF!,8,FALSE)</f>
        <v>#REF!</v>
      </c>
      <c r="K14" s="119" t="e">
        <f>VLOOKUP($C14,#REF!,9,FALSE)</f>
        <v>#REF!</v>
      </c>
      <c r="L14" s="244" t="e">
        <f>VLOOKUP($C14,#REF!,10,FALSE)</f>
        <v>#REF!</v>
      </c>
      <c r="M14" s="120" t="e">
        <f>VLOOKUP($C14,#REF!,11,FALSE)</f>
        <v>#REF!</v>
      </c>
      <c r="N14" s="121" t="e">
        <f>VLOOKUP($C14,#REF!,12,FALSE)</f>
        <v>#REF!</v>
      </c>
      <c r="O14" s="120" t="e">
        <f>VLOOKUP($C14,#REF!,13,FALSE)</f>
        <v>#REF!</v>
      </c>
      <c r="P14" s="192" t="e">
        <f>VLOOKUP($C14,#REF!,14,FALSE)</f>
        <v>#REF!</v>
      </c>
      <c r="Q14" s="120" t="e">
        <f>VLOOKUP($C14,#REF!,15,FALSE)</f>
        <v>#REF!</v>
      </c>
      <c r="R14" s="192" t="e">
        <f>VLOOKUP($C14,#REF!,16,FALSE)</f>
        <v>#REF!</v>
      </c>
      <c r="S14" s="122" t="e">
        <f>VLOOKUP($C14,#REF!,17,FALSE)</f>
        <v>#REF!</v>
      </c>
      <c r="T14" s="123" t="e">
        <f>VLOOKUP($C14,#REF!,18,FALSE)</f>
        <v>#REF!</v>
      </c>
      <c r="U14" s="229" t="e">
        <f>VLOOKUP($C14,#REF!,19,FALSE)</f>
        <v>#REF!</v>
      </c>
      <c r="V14" s="254" t="e">
        <f t="shared" si="1"/>
        <v>#REF!</v>
      </c>
      <c r="W14" s="102"/>
      <c r="X14" s="99"/>
      <c r="Z14" s="237"/>
      <c r="AA14" s="238"/>
      <c r="AB14" s="238"/>
      <c r="AC14" s="239"/>
      <c r="AD14" s="238"/>
    </row>
    <row r="15" spans="1:36" s="100" customFormat="1" ht="35" customHeight="1">
      <c r="A15" s="977"/>
      <c r="B15" s="262" t="e">
        <f t="shared" si="0"/>
        <v>#REF!</v>
      </c>
      <c r="C15" s="215" t="s">
        <v>185</v>
      </c>
      <c r="D15" s="216" t="s">
        <v>482</v>
      </c>
      <c r="E15" s="219" t="e">
        <f>VLOOKUP($C15,#REF!,3,FALSE)</f>
        <v>#REF!</v>
      </c>
      <c r="F15" s="211" t="e">
        <f>VLOOKUP($C15,#REF!,4,FALSE)</f>
        <v>#REF!</v>
      </c>
      <c r="G15" s="124" t="e">
        <f>VLOOKUP($C15,#REF!,5,FALSE)</f>
        <v>#REF!</v>
      </c>
      <c r="H15" s="125" t="e">
        <f>VLOOKUP($C15,#REF!,6,FALSE)</f>
        <v>#REF!</v>
      </c>
      <c r="I15" s="126" t="e">
        <f>VLOOKUP($C15,#REF!,7,FALSE)</f>
        <v>#REF!</v>
      </c>
      <c r="J15" s="124" t="e">
        <f>VLOOKUP($C15,#REF!,8,FALSE)</f>
        <v>#REF!</v>
      </c>
      <c r="K15" s="127" t="e">
        <f>VLOOKUP($C15,#REF!,9,FALSE)</f>
        <v>#REF!</v>
      </c>
      <c r="L15" s="294" t="e">
        <f>VLOOKUP($C15,#REF!,10,FALSE)</f>
        <v>#REF!</v>
      </c>
      <c r="M15" s="128" t="e">
        <f>VLOOKUP($C15,#REF!,11,FALSE)</f>
        <v>#REF!</v>
      </c>
      <c r="N15" s="295" t="e">
        <f>VLOOKUP($C15,#REF!,12,FALSE)</f>
        <v>#REF!</v>
      </c>
      <c r="O15" s="128" t="e">
        <f>VLOOKUP($C15,#REF!,13,FALSE)</f>
        <v>#REF!</v>
      </c>
      <c r="P15" s="296" t="e">
        <f>VLOOKUP($C15,#REF!,14,FALSE)</f>
        <v>#REF!</v>
      </c>
      <c r="Q15" s="128" t="e">
        <f>VLOOKUP($C15,#REF!,15,FALSE)</f>
        <v>#REF!</v>
      </c>
      <c r="R15" s="296" t="e">
        <f>VLOOKUP($C15,#REF!,16,FALSE)</f>
        <v>#REF!</v>
      </c>
      <c r="S15" s="113" t="e">
        <f>VLOOKUP($C15,#REF!,17,FALSE)</f>
        <v>#REF!</v>
      </c>
      <c r="T15" s="114" t="e">
        <f>VLOOKUP($C15,#REF!,18,FALSE)</f>
        <v>#REF!</v>
      </c>
      <c r="U15" s="228" t="e">
        <f>VLOOKUP($C15,#REF!,19,FALSE)</f>
        <v>#REF!</v>
      </c>
      <c r="V15" s="115" t="e">
        <f t="shared" si="1"/>
        <v>#REF!</v>
      </c>
      <c r="W15" s="102"/>
      <c r="X15" s="99"/>
      <c r="Z15" s="237"/>
      <c r="AA15" s="238"/>
      <c r="AB15" s="238"/>
      <c r="AC15" s="239"/>
      <c r="AD15" s="238"/>
    </row>
    <row r="16" spans="1:36" s="100" customFormat="1" ht="35" customHeight="1">
      <c r="A16" s="977"/>
      <c r="B16" s="261" t="e">
        <f t="shared" si="0"/>
        <v>#REF!</v>
      </c>
      <c r="C16" s="215" t="s">
        <v>383</v>
      </c>
      <c r="D16" s="216" t="s">
        <v>384</v>
      </c>
      <c r="E16" s="219" t="e">
        <f>VLOOKUP($C16,#REF!,3,FALSE)</f>
        <v>#REF!</v>
      </c>
      <c r="F16" s="255" t="e">
        <f>VLOOKUP($C16,#REF!,4,FALSE)</f>
        <v>#REF!</v>
      </c>
      <c r="G16" s="124" t="e">
        <f>VLOOKUP($C16,#REF!,5,FALSE)</f>
        <v>#REF!</v>
      </c>
      <c r="H16" s="125" t="e">
        <f>VLOOKUP($C16,#REF!,6,FALSE)</f>
        <v>#REF!</v>
      </c>
      <c r="I16" s="126" t="e">
        <f>VLOOKUP($C16,#REF!,7,FALSE)</f>
        <v>#REF!</v>
      </c>
      <c r="J16" s="124" t="e">
        <f>VLOOKUP($C16,#REF!,8,FALSE)</f>
        <v>#REF!</v>
      </c>
      <c r="K16" s="127" t="e">
        <f>VLOOKUP($C16,#REF!,9,FALSE)</f>
        <v>#REF!</v>
      </c>
      <c r="L16" s="246" t="e">
        <f>VLOOKUP($C16,#REF!,10,FALSE)</f>
        <v>#REF!</v>
      </c>
      <c r="M16" s="128" t="e">
        <f>VLOOKUP($C16,#REF!,11,FALSE)</f>
        <v>#REF!</v>
      </c>
      <c r="N16" s="129" t="e">
        <f>VLOOKUP($C16,#REF!,12,FALSE)</f>
        <v>#REF!</v>
      </c>
      <c r="O16" s="128" t="e">
        <f>VLOOKUP($C16,#REF!,13,FALSE)</f>
        <v>#REF!</v>
      </c>
      <c r="P16" s="121" t="e">
        <f>VLOOKUP($C16,#REF!,14,FALSE)</f>
        <v>#REF!</v>
      </c>
      <c r="Q16" s="128" t="e">
        <f>VLOOKUP($C16,#REF!,15,FALSE)</f>
        <v>#REF!</v>
      </c>
      <c r="R16" s="121" t="e">
        <f>VLOOKUP($C16,#REF!,16,FALSE)</f>
        <v>#REF!</v>
      </c>
      <c r="S16" s="122" t="e">
        <f>VLOOKUP($C16,#REF!,17,FALSE)</f>
        <v>#REF!</v>
      </c>
      <c r="T16" s="123" t="e">
        <f>VLOOKUP($C16,#REF!,18,FALSE)</f>
        <v>#REF!</v>
      </c>
      <c r="U16" s="229" t="e">
        <f>VLOOKUP($C16,#REF!,19,FALSE)</f>
        <v>#REF!</v>
      </c>
      <c r="V16" s="115" t="e">
        <f t="shared" si="1"/>
        <v>#REF!</v>
      </c>
      <c r="W16" s="102"/>
      <c r="X16" s="99"/>
      <c r="Z16" s="237"/>
      <c r="AA16" s="238"/>
      <c r="AB16" s="238"/>
      <c r="AC16" s="239"/>
      <c r="AD16" s="238"/>
    </row>
    <row r="17" spans="1:30" s="100" customFormat="1" ht="35" customHeight="1">
      <c r="A17" s="977"/>
      <c r="B17" s="262" t="e">
        <f t="shared" si="0"/>
        <v>#REF!</v>
      </c>
      <c r="C17" s="215" t="s">
        <v>216</v>
      </c>
      <c r="D17" s="216" t="s">
        <v>68</v>
      </c>
      <c r="E17" s="219" t="e">
        <f>VLOOKUP($C17,#REF!,3,FALSE)</f>
        <v>#REF!</v>
      </c>
      <c r="F17" s="211" t="e">
        <f>VLOOKUP($C17,#REF!,4,FALSE)</f>
        <v>#REF!</v>
      </c>
      <c r="G17" s="124" t="e">
        <f>VLOOKUP($C17,#REF!,5,FALSE)</f>
        <v>#REF!</v>
      </c>
      <c r="H17" s="125" t="e">
        <f>VLOOKUP($C17,#REF!,6,FALSE)</f>
        <v>#REF!</v>
      </c>
      <c r="I17" s="126" t="e">
        <f>VLOOKUP($C17,#REF!,7,FALSE)</f>
        <v>#REF!</v>
      </c>
      <c r="J17" s="124" t="e">
        <f>VLOOKUP($C17,#REF!,8,FALSE)</f>
        <v>#REF!</v>
      </c>
      <c r="K17" s="127" t="e">
        <f>VLOOKUP($C17,#REF!,9,FALSE)</f>
        <v>#REF!</v>
      </c>
      <c r="L17" s="246" t="e">
        <f>VLOOKUP($C17,#REF!,10,FALSE)</f>
        <v>#REF!</v>
      </c>
      <c r="M17" s="128" t="e">
        <f>VLOOKUP($C17,#REF!,11,FALSE)</f>
        <v>#REF!</v>
      </c>
      <c r="N17" s="129" t="e">
        <f>VLOOKUP($C17,#REF!,12,FALSE)</f>
        <v>#REF!</v>
      </c>
      <c r="O17" s="128" t="e">
        <f>VLOOKUP($C17,#REF!,13,FALSE)</f>
        <v>#REF!</v>
      </c>
      <c r="P17" s="121" t="e">
        <f>VLOOKUP($C17,#REF!,14,FALSE)</f>
        <v>#REF!</v>
      </c>
      <c r="Q17" s="128" t="e">
        <f>VLOOKUP($C17,#REF!,15,FALSE)</f>
        <v>#REF!</v>
      </c>
      <c r="R17" s="121" t="e">
        <f>VLOOKUP($C17,#REF!,16,FALSE)</f>
        <v>#REF!</v>
      </c>
      <c r="S17" s="122" t="e">
        <f>VLOOKUP($C17,#REF!,17,FALSE)</f>
        <v>#REF!</v>
      </c>
      <c r="T17" s="123" t="e">
        <f>VLOOKUP($C17,#REF!,18,FALSE)</f>
        <v>#REF!</v>
      </c>
      <c r="U17" s="229" t="e">
        <f>VLOOKUP($C17,#REF!,19,FALSE)</f>
        <v>#REF!</v>
      </c>
      <c r="V17" s="115" t="e">
        <f t="shared" si="1"/>
        <v>#REF!</v>
      </c>
      <c r="W17" s="102"/>
      <c r="X17" s="99"/>
      <c r="Z17" s="237"/>
      <c r="AA17" s="240"/>
      <c r="AB17" s="238"/>
      <c r="AC17" s="239"/>
      <c r="AD17" s="238"/>
    </row>
    <row r="18" spans="1:30" s="100" customFormat="1" ht="35" customHeight="1">
      <c r="A18" s="977"/>
      <c r="B18" s="261" t="e">
        <f t="shared" si="0"/>
        <v>#REF!</v>
      </c>
      <c r="C18" s="215" t="s">
        <v>300</v>
      </c>
      <c r="D18" s="216" t="s">
        <v>225</v>
      </c>
      <c r="E18" s="219" t="e">
        <f>VLOOKUP($C18,#REF!,3,FALSE)</f>
        <v>#REF!</v>
      </c>
      <c r="F18" s="211" t="e">
        <f>VLOOKUP($C18,#REF!,4,FALSE)</f>
        <v>#REF!</v>
      </c>
      <c r="G18" s="124" t="e">
        <f>VLOOKUP($C18,#REF!,5,FALSE)</f>
        <v>#REF!</v>
      </c>
      <c r="H18" s="125" t="e">
        <f>VLOOKUP($C18,#REF!,6,FALSE)</f>
        <v>#REF!</v>
      </c>
      <c r="I18" s="126" t="e">
        <f>VLOOKUP($C18,#REF!,7,FALSE)</f>
        <v>#REF!</v>
      </c>
      <c r="J18" s="124" t="e">
        <f>VLOOKUP($C18,#REF!,8,FALSE)</f>
        <v>#REF!</v>
      </c>
      <c r="K18" s="127" t="e">
        <f>VLOOKUP($C18,#REF!,9,FALSE)</f>
        <v>#REF!</v>
      </c>
      <c r="L18" s="246" t="e">
        <f>VLOOKUP($C18,#REF!,10,FALSE)</f>
        <v>#REF!</v>
      </c>
      <c r="M18" s="128" t="e">
        <f>VLOOKUP($C18,#REF!,11,FALSE)</f>
        <v>#REF!</v>
      </c>
      <c r="N18" s="129" t="e">
        <f>VLOOKUP($C18,#REF!,12,FALSE)</f>
        <v>#REF!</v>
      </c>
      <c r="O18" s="128" t="e">
        <f>VLOOKUP($C18,#REF!,13,FALSE)</f>
        <v>#REF!</v>
      </c>
      <c r="P18" s="121" t="e">
        <f>VLOOKUP($C18,#REF!,14,FALSE)</f>
        <v>#REF!</v>
      </c>
      <c r="Q18" s="128" t="e">
        <f>VLOOKUP($C18,#REF!,15,FALSE)</f>
        <v>#REF!</v>
      </c>
      <c r="R18" s="121" t="e">
        <f>VLOOKUP($C18,#REF!,16,FALSE)</f>
        <v>#REF!</v>
      </c>
      <c r="S18" s="122" t="e">
        <f>VLOOKUP($C18,#REF!,17,FALSE)</f>
        <v>#REF!</v>
      </c>
      <c r="T18" s="123" t="e">
        <f>VLOOKUP($C18,#REF!,18,FALSE)</f>
        <v>#REF!</v>
      </c>
      <c r="U18" s="229" t="e">
        <f>VLOOKUP($C18,#REF!,19,FALSE)</f>
        <v>#REF!</v>
      </c>
      <c r="V18" s="115" t="e">
        <f t="shared" si="1"/>
        <v>#REF!</v>
      </c>
      <c r="W18" s="102"/>
      <c r="X18" s="99"/>
      <c r="Z18" s="237"/>
      <c r="AA18" s="238"/>
      <c r="AB18" s="238"/>
      <c r="AC18" s="239"/>
      <c r="AD18" s="238"/>
    </row>
    <row r="19" spans="1:30" s="100" customFormat="1" ht="35" customHeight="1">
      <c r="A19" s="977"/>
      <c r="B19" s="262" t="e">
        <f t="shared" si="0"/>
        <v>#REF!</v>
      </c>
      <c r="C19" s="215" t="s">
        <v>186</v>
      </c>
      <c r="D19" s="216" t="s">
        <v>452</v>
      </c>
      <c r="E19" s="219" t="e">
        <f>VLOOKUP($C19,#REF!,3,FALSE)</f>
        <v>#REF!</v>
      </c>
      <c r="F19" s="211" t="e">
        <f>VLOOKUP($C19,#REF!,4,FALSE)</f>
        <v>#REF!</v>
      </c>
      <c r="G19" s="124" t="e">
        <f>VLOOKUP($C19,#REF!,5,FALSE)</f>
        <v>#REF!</v>
      </c>
      <c r="H19" s="125" t="e">
        <f>VLOOKUP($C19,#REF!,6,FALSE)</f>
        <v>#REF!</v>
      </c>
      <c r="I19" s="126" t="e">
        <f>VLOOKUP($C19,#REF!,7,FALSE)</f>
        <v>#REF!</v>
      </c>
      <c r="J19" s="124" t="e">
        <f>VLOOKUP($C19,#REF!,8,FALSE)</f>
        <v>#REF!</v>
      </c>
      <c r="K19" s="127" t="e">
        <f>VLOOKUP($C19,#REF!,9,FALSE)</f>
        <v>#REF!</v>
      </c>
      <c r="L19" s="246" t="e">
        <f>VLOOKUP($C19,#REF!,10,FALSE)</f>
        <v>#REF!</v>
      </c>
      <c r="M19" s="128" t="e">
        <f>VLOOKUP($C19,#REF!,11,FALSE)</f>
        <v>#REF!</v>
      </c>
      <c r="N19" s="129" t="e">
        <f>VLOOKUP($C19,#REF!,12,FALSE)</f>
        <v>#REF!</v>
      </c>
      <c r="O19" s="128" t="e">
        <f>VLOOKUP($C19,#REF!,13,FALSE)</f>
        <v>#REF!</v>
      </c>
      <c r="P19" s="121" t="e">
        <f>VLOOKUP($C19,#REF!,14,FALSE)</f>
        <v>#REF!</v>
      </c>
      <c r="Q19" s="128" t="e">
        <f>VLOOKUP($C19,#REF!,15,FALSE)</f>
        <v>#REF!</v>
      </c>
      <c r="R19" s="121" t="e">
        <f>VLOOKUP($C19,#REF!,16,FALSE)</f>
        <v>#REF!</v>
      </c>
      <c r="S19" s="122" t="e">
        <f>VLOOKUP($C19,#REF!,17,FALSE)</f>
        <v>#REF!</v>
      </c>
      <c r="T19" s="123" t="e">
        <f>VLOOKUP($C19,#REF!,18,FALSE)</f>
        <v>#REF!</v>
      </c>
      <c r="U19" s="229" t="e">
        <f>VLOOKUP($C19,#REF!,19,FALSE)</f>
        <v>#REF!</v>
      </c>
      <c r="V19" s="115" t="e">
        <f t="shared" si="1"/>
        <v>#REF!</v>
      </c>
      <c r="W19" s="102"/>
      <c r="X19" s="99"/>
      <c r="Z19" s="237"/>
      <c r="AA19" s="238"/>
      <c r="AB19" s="238"/>
      <c r="AC19" s="239"/>
      <c r="AD19" s="238"/>
    </row>
    <row r="20" spans="1:30" s="100" customFormat="1" ht="35" customHeight="1">
      <c r="A20" s="977"/>
      <c r="B20" s="261" t="e">
        <f t="shared" si="0"/>
        <v>#REF!</v>
      </c>
      <c r="C20" s="215" t="s">
        <v>487</v>
      </c>
      <c r="D20" s="216" t="s">
        <v>63</v>
      </c>
      <c r="E20" s="219" t="e">
        <f>VLOOKUP($C20,#REF!,3,FALSE)</f>
        <v>#REF!</v>
      </c>
      <c r="F20" s="211" t="e">
        <f>VLOOKUP($C20,#REF!,4,FALSE)</f>
        <v>#REF!</v>
      </c>
      <c r="G20" s="124" t="e">
        <f>VLOOKUP($C20,#REF!,5,FALSE)</f>
        <v>#REF!</v>
      </c>
      <c r="H20" s="125" t="e">
        <f>VLOOKUP($C20,#REF!,6,FALSE)</f>
        <v>#REF!</v>
      </c>
      <c r="I20" s="126" t="e">
        <f>VLOOKUP($C20,#REF!,7,FALSE)</f>
        <v>#REF!</v>
      </c>
      <c r="J20" s="124" t="e">
        <f>VLOOKUP($C20,#REF!,8,FALSE)</f>
        <v>#REF!</v>
      </c>
      <c r="K20" s="127" t="e">
        <f>VLOOKUP($C20,#REF!,9,FALSE)</f>
        <v>#REF!</v>
      </c>
      <c r="L20" s="246" t="e">
        <f>VLOOKUP($C20,#REF!,10,FALSE)</f>
        <v>#REF!</v>
      </c>
      <c r="M20" s="128" t="e">
        <f>VLOOKUP($C20,#REF!,11,FALSE)</f>
        <v>#REF!</v>
      </c>
      <c r="N20" s="129" t="e">
        <f>VLOOKUP($C20,#REF!,12,FALSE)</f>
        <v>#REF!</v>
      </c>
      <c r="O20" s="128" t="e">
        <f>VLOOKUP($C20,#REF!,13,FALSE)</f>
        <v>#REF!</v>
      </c>
      <c r="P20" s="121" t="e">
        <f>VLOOKUP($C20,#REF!,14,FALSE)</f>
        <v>#REF!</v>
      </c>
      <c r="Q20" s="128" t="e">
        <f>VLOOKUP($C20,#REF!,15,FALSE)</f>
        <v>#REF!</v>
      </c>
      <c r="R20" s="121" t="e">
        <f>VLOOKUP($C20,#REF!,16,FALSE)</f>
        <v>#REF!</v>
      </c>
      <c r="S20" s="122" t="e">
        <f>VLOOKUP($C20,#REF!,17,FALSE)</f>
        <v>#REF!</v>
      </c>
      <c r="T20" s="123" t="e">
        <f>VLOOKUP($C20,#REF!,18,FALSE)</f>
        <v>#REF!</v>
      </c>
      <c r="U20" s="229" t="e">
        <f>VLOOKUP($C20,#REF!,19,FALSE)</f>
        <v>#REF!</v>
      </c>
      <c r="V20" s="115" t="e">
        <f t="shared" si="1"/>
        <v>#REF!</v>
      </c>
      <c r="W20" s="102"/>
      <c r="X20" s="99"/>
      <c r="Z20" s="237"/>
      <c r="AA20" s="238"/>
      <c r="AB20" s="238"/>
      <c r="AC20" s="239"/>
      <c r="AD20" s="238"/>
    </row>
    <row r="21" spans="1:30" s="100" customFormat="1" ht="35" customHeight="1">
      <c r="A21" s="978"/>
      <c r="B21" s="262" t="e">
        <f t="shared" si="0"/>
        <v>#REF!</v>
      </c>
      <c r="C21" s="302" t="s">
        <v>2</v>
      </c>
      <c r="D21" s="303" t="s">
        <v>122</v>
      </c>
      <c r="E21" s="304" t="e">
        <f>VLOOKUP($C21,#REF!,3,FALSE)</f>
        <v>#REF!</v>
      </c>
      <c r="F21" s="211" t="e">
        <f>VLOOKUP($C21,#REF!,4,FALSE)</f>
        <v>#REF!</v>
      </c>
      <c r="G21" s="297" t="e">
        <f>VLOOKUP($C21,#REF!,5,FALSE)</f>
        <v>#REF!</v>
      </c>
      <c r="H21" s="298" t="e">
        <f>VLOOKUP($C21,#REF!,6,FALSE)</f>
        <v>#REF!</v>
      </c>
      <c r="I21" s="299" t="e">
        <f>VLOOKUP($C21,#REF!,7,FALSE)</f>
        <v>#REF!</v>
      </c>
      <c r="J21" s="297" t="e">
        <f>VLOOKUP($C21,#REF!,8,FALSE)</f>
        <v>#REF!</v>
      </c>
      <c r="K21" s="300" t="e">
        <f>VLOOKUP($C21,#REF!,9,FALSE)</f>
        <v>#REF!</v>
      </c>
      <c r="L21" s="301" t="e">
        <f>VLOOKUP($C21,#REF!,10,FALSE)</f>
        <v>#REF!</v>
      </c>
      <c r="M21" s="111" t="e">
        <f>VLOOKUP($C21,#REF!,11,FALSE)</f>
        <v>#REF!</v>
      </c>
      <c r="N21" s="112" t="e">
        <f>VLOOKUP($C21,#REF!,12,FALSE)</f>
        <v>#REF!</v>
      </c>
      <c r="O21" s="111" t="e">
        <f>VLOOKUP($C21,#REF!,13,FALSE)</f>
        <v>#REF!</v>
      </c>
      <c r="P21" s="112" t="e">
        <f>VLOOKUP($C21,#REF!,14,FALSE)</f>
        <v>#REF!</v>
      </c>
      <c r="Q21" s="111" t="e">
        <f>VLOOKUP($C21,#REF!,15,FALSE)</f>
        <v>#REF!</v>
      </c>
      <c r="R21" s="112" t="e">
        <f>VLOOKUP($C21,#REF!,16,FALSE)</f>
        <v>#REF!</v>
      </c>
      <c r="S21" s="193" t="e">
        <f>VLOOKUP($C21,#REF!,17,FALSE)</f>
        <v>#REF!</v>
      </c>
      <c r="T21" s="194" t="e">
        <f>VLOOKUP($C21,#REF!,18,FALSE)</f>
        <v>#REF!</v>
      </c>
      <c r="U21" s="230" t="e">
        <f>VLOOKUP($C21,#REF!,19,FALSE)</f>
        <v>#REF!</v>
      </c>
      <c r="V21" s="195" t="e">
        <f t="shared" si="1"/>
        <v>#REF!</v>
      </c>
      <c r="W21" s="102"/>
      <c r="X21" s="99"/>
      <c r="Z21" s="237"/>
      <c r="AA21" s="238"/>
      <c r="AB21" s="238"/>
      <c r="AC21" s="239"/>
      <c r="AD21" s="238"/>
    </row>
    <row r="22" spans="1:30" s="100" customFormat="1" ht="35" customHeight="1" thickBot="1">
      <c r="A22" s="980"/>
      <c r="B22" s="262" t="e">
        <f>RANK($L22,$L$7:$L$22)</f>
        <v>#REF!</v>
      </c>
      <c r="C22" s="305" t="s">
        <v>458</v>
      </c>
      <c r="D22" s="306" t="s">
        <v>421</v>
      </c>
      <c r="E22" s="336" t="e">
        <f>VLOOKUP($C22,#REF!,3,FALSE)</f>
        <v>#REF!</v>
      </c>
      <c r="F22" s="220" t="e">
        <f>VLOOKUP($C22,#REF!,4,FALSE)</f>
        <v>#REF!</v>
      </c>
      <c r="G22" s="337" t="e">
        <f>VLOOKUP($C22,#REF!,5,FALSE)</f>
        <v>#REF!</v>
      </c>
      <c r="H22" s="338" t="e">
        <f>VLOOKUP($C22,#REF!,6,FALSE)</f>
        <v>#REF!</v>
      </c>
      <c r="I22" s="339" t="e">
        <f>VLOOKUP($C22,#REF!,7,FALSE)</f>
        <v>#REF!</v>
      </c>
      <c r="J22" s="337" t="e">
        <f>VLOOKUP($C22,#REF!,8,FALSE)</f>
        <v>#REF!</v>
      </c>
      <c r="K22" s="340" t="e">
        <f>VLOOKUP($C22,#REF!,9,FALSE)</f>
        <v>#REF!</v>
      </c>
      <c r="L22" s="341" t="e">
        <f>VLOOKUP($C22,#REF!,10,FALSE)</f>
        <v>#REF!</v>
      </c>
      <c r="M22" s="342" t="e">
        <f>VLOOKUP($C22,#REF!,11,FALSE)</f>
        <v>#REF!</v>
      </c>
      <c r="N22" s="343" t="e">
        <f>VLOOKUP($C22,#REF!,12,FALSE)</f>
        <v>#REF!</v>
      </c>
      <c r="O22" s="342" t="e">
        <f>VLOOKUP($C22,#REF!,13,FALSE)</f>
        <v>#REF!</v>
      </c>
      <c r="P22" s="343" t="e">
        <f>VLOOKUP($C22,#REF!,14,FALSE)</f>
        <v>#REF!</v>
      </c>
      <c r="Q22" s="342" t="e">
        <f>VLOOKUP($C22,#REF!,15,FALSE)</f>
        <v>#REF!</v>
      </c>
      <c r="R22" s="343" t="e">
        <f>VLOOKUP($C22,#REF!,16,FALSE)</f>
        <v>#REF!</v>
      </c>
      <c r="S22" s="205" t="e">
        <f>VLOOKUP($C22,#REF!,17,FALSE)</f>
        <v>#REF!</v>
      </c>
      <c r="T22" s="206" t="e">
        <f>VLOOKUP($C22,#REF!,18,FALSE)</f>
        <v>#REF!</v>
      </c>
      <c r="U22" s="231" t="e">
        <f>VLOOKUP($C22,#REF!,19,FALSE)</f>
        <v>#REF!</v>
      </c>
      <c r="V22" s="344" t="e">
        <f>RANK(U22,$U$7:$U$22)</f>
        <v>#REF!</v>
      </c>
      <c r="W22" s="102"/>
      <c r="X22" s="99"/>
      <c r="Z22" s="237"/>
      <c r="AA22" s="238"/>
      <c r="AB22" s="238"/>
      <c r="AC22" s="239"/>
      <c r="AD22" s="238"/>
    </row>
    <row r="23" spans="1:30" s="100" customFormat="1" ht="35" customHeight="1" thickTop="1" thickBot="1">
      <c r="A23" s="256"/>
      <c r="B23" s="264"/>
      <c r="C23" s="307" t="s">
        <v>372</v>
      </c>
      <c r="D23" s="221" t="s">
        <v>610</v>
      </c>
      <c r="E23" s="222" t="e">
        <f>VLOOKUP($C23,#REF!,3,FALSE)</f>
        <v>#REF!</v>
      </c>
      <c r="F23" s="223" t="e">
        <f>VLOOKUP($C23,#REF!,4,FALSE)</f>
        <v>#REF!</v>
      </c>
      <c r="G23" s="177" t="e">
        <f>VLOOKUP($C23,#REF!,5,FALSE)</f>
        <v>#REF!</v>
      </c>
      <c r="H23" s="178" t="e">
        <f>VLOOKUP($C23,#REF!,6,FALSE)</f>
        <v>#REF!</v>
      </c>
      <c r="I23" s="179" t="e">
        <f>VLOOKUP($C23,#REF!,7,FALSE)</f>
        <v>#REF!</v>
      </c>
      <c r="J23" s="177" t="e">
        <f>VLOOKUP($C23,#REF!,8,FALSE)</f>
        <v>#REF!</v>
      </c>
      <c r="K23" s="180" t="e">
        <f>VLOOKUP($C23,#REF!,9,FALSE)</f>
        <v>#REF!</v>
      </c>
      <c r="L23" s="247" t="e">
        <f>VLOOKUP($C23,#REF!,10,FALSE)</f>
        <v>#REF!</v>
      </c>
      <c r="M23" s="165" t="e">
        <f>VLOOKUP($C23,#REF!,11,FALSE)</f>
        <v>#REF!</v>
      </c>
      <c r="N23" s="166" t="e">
        <f>VLOOKUP($C23,#REF!,12,FALSE)</f>
        <v>#REF!</v>
      </c>
      <c r="O23" s="165" t="e">
        <f>VLOOKUP($C23,#REF!,13,FALSE)</f>
        <v>#REF!</v>
      </c>
      <c r="P23" s="166" t="e">
        <f>VLOOKUP($C23,#REF!,14,FALSE)</f>
        <v>#REF!</v>
      </c>
      <c r="Q23" s="165" t="e">
        <f>VLOOKUP($C23,#REF!,15,FALSE)</f>
        <v>#REF!</v>
      </c>
      <c r="R23" s="166" t="e">
        <f>VLOOKUP($C23,#REF!,16,FALSE)</f>
        <v>#REF!</v>
      </c>
      <c r="S23" s="170" t="e">
        <f>VLOOKUP($C23,#REF!,17,FALSE)</f>
        <v>#REF!</v>
      </c>
      <c r="T23" s="171" t="e">
        <f>VLOOKUP($C23,#REF!,18,FALSE)</f>
        <v>#REF!</v>
      </c>
      <c r="U23" s="232" t="e">
        <f>VLOOKUP($C23,#REF!,19,FALSE)</f>
        <v>#REF!</v>
      </c>
      <c r="V23" s="265"/>
      <c r="W23" s="102"/>
      <c r="X23" s="99"/>
      <c r="Z23" s="238"/>
      <c r="AA23" s="238"/>
      <c r="AB23" s="238"/>
      <c r="AC23" s="239"/>
      <c r="AD23" s="238"/>
    </row>
    <row r="24" spans="1:30" s="100" customFormat="1" ht="35" customHeight="1" thickTop="1" thickBot="1">
      <c r="A24" s="257"/>
      <c r="B24" s="266"/>
      <c r="C24" s="224" t="s">
        <v>503</v>
      </c>
      <c r="D24" s="225" t="s">
        <v>225</v>
      </c>
      <c r="E24" s="226" t="e">
        <f>VLOOKUP($C24,#REF!,3,FALSE)</f>
        <v>#REF!</v>
      </c>
      <c r="F24" s="227" t="e">
        <f>VLOOKUP($C24,#REF!,4,FALSE)</f>
        <v>#REF!</v>
      </c>
      <c r="G24" s="196" t="e">
        <f>VLOOKUP($C24,#REF!,5,FALSE)</f>
        <v>#REF!</v>
      </c>
      <c r="H24" s="197" t="e">
        <f>VLOOKUP($C24,#REF!,6,FALSE)</f>
        <v>#REF!</v>
      </c>
      <c r="I24" s="198" t="e">
        <f>VLOOKUP($C24,#REF!,7,FALSE)</f>
        <v>#REF!</v>
      </c>
      <c r="J24" s="196" t="e">
        <f>VLOOKUP($C24,#REF!,8,FALSE)</f>
        <v>#REF!</v>
      </c>
      <c r="K24" s="199" t="e">
        <f>VLOOKUP($C24,#REF!,9,FALSE)</f>
        <v>#REF!</v>
      </c>
      <c r="L24" s="248" t="e">
        <f>VLOOKUP($C24,#REF!,10,FALSE)</f>
        <v>#REF!</v>
      </c>
      <c r="M24" s="200" t="e">
        <f>VLOOKUP($C24,#REF!,11,FALSE)</f>
        <v>#REF!</v>
      </c>
      <c r="N24" s="201" t="e">
        <f>VLOOKUP($C24,#REF!,12,FALSE)</f>
        <v>#REF!</v>
      </c>
      <c r="O24" s="200" t="e">
        <f>VLOOKUP($C24,#REF!,13,FALSE)</f>
        <v>#REF!</v>
      </c>
      <c r="P24" s="201" t="e">
        <f>VLOOKUP($C24,#REF!,14,FALSE)</f>
        <v>#REF!</v>
      </c>
      <c r="Q24" s="200" t="e">
        <f>VLOOKUP($C24,#REF!,15,FALSE)</f>
        <v>#REF!</v>
      </c>
      <c r="R24" s="201" t="e">
        <f>VLOOKUP($C24,#REF!,16,FALSE)</f>
        <v>#REF!</v>
      </c>
      <c r="S24" s="202" t="e">
        <f>VLOOKUP($C24,#REF!,17,FALSE)</f>
        <v>#REF!</v>
      </c>
      <c r="T24" s="203" t="e">
        <f>VLOOKUP($C24,#REF!,18,FALSE)</f>
        <v>#REF!</v>
      </c>
      <c r="U24" s="233" t="e">
        <f>VLOOKUP($C24,#REF!,19,FALSE)</f>
        <v>#REF!</v>
      </c>
      <c r="V24" s="204"/>
      <c r="W24" s="102"/>
      <c r="X24" s="99"/>
      <c r="Z24" s="101"/>
    </row>
    <row r="25" spans="1:30" s="100" customFormat="1" ht="9" customHeight="1">
      <c r="B25" s="267"/>
      <c r="C25" s="268"/>
      <c r="D25" s="268"/>
      <c r="E25" s="268"/>
      <c r="F25" s="268"/>
      <c r="G25" s="269"/>
      <c r="H25" s="270"/>
      <c r="I25" s="270"/>
      <c r="J25" s="270"/>
      <c r="K25" s="270"/>
      <c r="L25" s="271"/>
      <c r="M25" s="272"/>
      <c r="N25" s="272"/>
      <c r="O25" s="272"/>
      <c r="P25" s="272"/>
      <c r="Q25" s="272"/>
      <c r="R25" s="272"/>
      <c r="S25" s="273"/>
      <c r="T25" s="270"/>
      <c r="U25" s="273"/>
      <c r="V25" s="274"/>
      <c r="W25" s="103"/>
      <c r="X25" s="104"/>
    </row>
    <row r="26" spans="1:30" s="105" customFormat="1" ht="35" customHeight="1" thickBot="1">
      <c r="A26" s="181"/>
      <c r="B26" s="275"/>
      <c r="C26" s="276" t="s">
        <v>531</v>
      </c>
      <c r="D26" s="277"/>
      <c r="E26" s="278" t="e">
        <f>VLOOKUP($C26,#REF!,3,FALSE)</f>
        <v>#REF!</v>
      </c>
      <c r="F26" s="279" t="e">
        <f>VLOOKUP($C26,#REF!,4,FALSE)</f>
        <v>#REF!</v>
      </c>
      <c r="G26" s="280" t="e">
        <f>VLOOKUP($C26,#REF!,5,FALSE)</f>
        <v>#REF!</v>
      </c>
      <c r="H26" s="281" t="e">
        <f>VLOOKUP($C26,#REF!,6,FALSE)</f>
        <v>#REF!</v>
      </c>
      <c r="I26" s="282" t="e">
        <f>VLOOKUP($C26,#REF!,7,FALSE)</f>
        <v>#REF!</v>
      </c>
      <c r="J26" s="283" t="e">
        <f>VLOOKUP($C26,#REF!,8,FALSE)</f>
        <v>#REF!</v>
      </c>
      <c r="K26" s="281" t="e">
        <f>VLOOKUP($C26,#REF!,9,FALSE)</f>
        <v>#REF!</v>
      </c>
      <c r="L26" s="282" t="e">
        <f>VLOOKUP($C26,#REF!,10,FALSE)</f>
        <v>#REF!</v>
      </c>
      <c r="M26" s="284" t="e">
        <f>VLOOKUP($C26,#REF!,11,FALSE)</f>
        <v>#REF!</v>
      </c>
      <c r="N26" s="285" t="e">
        <f>VLOOKUP($C26,#REF!,12,FALSE)</f>
        <v>#REF!</v>
      </c>
      <c r="O26" s="286"/>
      <c r="P26" s="287"/>
      <c r="Q26" s="286"/>
      <c r="R26" s="287"/>
      <c r="S26" s="288" t="e">
        <f>VLOOKUP($C26,#REF!,17,FALSE)</f>
        <v>#REF!</v>
      </c>
      <c r="T26" s="289" t="e">
        <f>VLOOKUP($C26,#REF!,18,FALSE)</f>
        <v>#REF!</v>
      </c>
      <c r="U26" s="290" t="e">
        <f>VLOOKUP($C26,#REF!,19,FALSE)</f>
        <v>#REF!</v>
      </c>
      <c r="V26" s="291"/>
      <c r="X26" s="106"/>
    </row>
    <row r="28" spans="1:30">
      <c r="G28" s="93"/>
      <c r="L28" s="93"/>
      <c r="M28" s="93"/>
      <c r="N28" s="93"/>
      <c r="O28" s="93"/>
      <c r="P28" s="93"/>
      <c r="Q28" s="93"/>
      <c r="R28" s="93"/>
      <c r="S28" s="93"/>
      <c r="T28" s="93"/>
      <c r="U28" s="93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2026-04-20T09:16:37Z</cp:lastPrinted>
  <dcterms:created xsi:type="dcterms:W3CDTF">2014-11-27T06:37:55Z</dcterms:created>
  <dcterms:modified xsi:type="dcterms:W3CDTF">2026-04-20T09:49:18Z</dcterms:modified>
</cp:coreProperties>
</file>