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9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6E3C77BB-02C8-1E4E-8F35-453DC17D24EB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" hidden="1" xlm="1">#NAME?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 iterateCount="10000" iterateDelta="9.9999999999999995E-7" calcOnSave="0" concurrentCalc="0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/>
  <c r="U13" i="13"/>
  <c r="U18" i="13"/>
  <c r="V18" i="13"/>
  <c r="U10" i="13"/>
  <c r="V10" i="13"/>
  <c r="S12" i="13"/>
  <c r="T11" i="13"/>
  <c r="T16" i="13"/>
  <c r="U19" i="13"/>
  <c r="V19" i="13"/>
  <c r="S9" i="13"/>
  <c r="T9" i="13"/>
  <c r="S18" i="13"/>
  <c r="U14" i="13"/>
  <c r="V14" i="13"/>
  <c r="S17" i="13"/>
  <c r="T17" i="13"/>
  <c r="S15" i="13"/>
  <c r="T13" i="13"/>
  <c r="S8" i="13"/>
  <c r="T12" i="13"/>
  <c r="U12" i="13"/>
  <c r="V12" i="13"/>
  <c r="T19" i="13"/>
  <c r="S16" i="13"/>
  <c r="S19" i="13"/>
  <c r="U11" i="13"/>
  <c r="V11" i="13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/>
  <c r="S23" i="13"/>
  <c r="T23" i="13"/>
</calcChain>
</file>

<file path=xl/sharedStrings.xml><?xml version="1.0" encoding="utf-8"?>
<sst xmlns="http://schemas.openxmlformats.org/spreadsheetml/2006/main" count="3191" uniqueCount="930">
  <si>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</si>
  <si>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</si>
  <si>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</si>
  <si>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</si>
  <si>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</si>
  <si>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</si>
  <si>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</si>
  <si>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</si>
  <si>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</si>
  <si>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</si>
  <si>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</si>
  <si>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</si>
  <si>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</si>
  <si>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</si>
  <si>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</si>
  <si>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</si>
  <si>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</si>
  <si>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</si>
  <si>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</si>
  <si>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</si>
  <si>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</si>
  <si>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</si>
  <si>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</si>
  <si>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</si>
  <si>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</si>
  <si>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</si>
  <si>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</si>
  <si>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</si>
  <si>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</si>
  <si>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</si>
  <si>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</si>
  <si>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</si>
  <si>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</si>
  <si>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</si>
  <si>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</si>
  <si>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</si>
  <si>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</si>
  <si>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</si>
  <si>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</si>
  <si>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</si>
  <si>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</si>
  <si>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</si>
  <si>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</si>
  <si>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</si>
  <si>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</si>
  <si>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</si>
  <si>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</si>
  <si>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</si>
  <si>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</si>
  <si>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</si>
  <si>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</si>
  <si>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</si>
  <si>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</si>
  <si>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</si>
  <si>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</si>
  <si>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</si>
  <si>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</si>
  <si>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</si>
  <si>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</si>
  <si>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</si>
  <si>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</si>
  <si>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</si>
  <si>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</si>
  <si>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</si>
  <si>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</si>
  <si>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</si>
  <si>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</si>
  <si>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</si>
  <si>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</si>
  <si>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</si>
  <si>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</si>
  <si>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</si>
  <si>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</si>
  <si>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</si>
  <si>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</si>
  <si>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</si>
  <si>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</si>
  <si>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</si>
  <si>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</si>
  <si>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</si>
  <si>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</si>
  <si>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</si>
  <si>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</si>
  <si>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</si>
  <si>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</si>
  <si>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</si>
  <si>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</si>
  <si>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</si>
  <si>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</si>
  <si>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</si>
  <si>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</si>
  <si>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</si>
  <si>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</si>
  <si>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</si>
  <si>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</si>
  <si>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</si>
  <si>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</si>
  <si>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</si>
  <si>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</si>
  <si>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</si>
  <si>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</si>
  <si>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</si>
  <si>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</si>
  <si>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</si>
  <si>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</si>
  <si>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</si>
  <si>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</si>
  <si>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</si>
  <si>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</si>
  <si>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</si>
  <si>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</si>
  <si>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</si>
  <si>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</si>
  <si>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</si>
  <si>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</si>
  <si>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</si>
  <si>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</si>
  <si>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</si>
  <si>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</si>
  <si>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</si>
  <si>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</si>
  <si>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</si>
  <si>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</si>
  <si>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</si>
  <si>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</si>
  <si>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</si>
  <si>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</si>
  <si>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</si>
  <si>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</si>
  <si>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</si>
  <si>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</si>
  <si>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</si>
  <si>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</si>
  <si>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</si>
  <si>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</si>
  <si>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</si>
  <si>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</si>
  <si>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</si>
  <si>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</si>
  <si>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</si>
  <si>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</si>
  <si>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</si>
  <si>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</si>
  <si>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</si>
  <si>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</si>
  <si>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</si>
  <si>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</si>
  <si>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</si>
  <si>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</si>
  <si>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</si>
  <si>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</si>
  <si>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</si>
  <si>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</si>
  <si>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</si>
  <si>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</si>
  <si>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</si>
  <si>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</si>
  <si>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</si>
  <si>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</si>
  <si>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</si>
  <si>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</si>
  <si>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</si>
  <si>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</si>
  <si>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</si>
  <si>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</si>
  <si>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</si>
  <si>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</si>
  <si>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</si>
  <si>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</si>
  <si>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</si>
  <si>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</si>
  <si>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</si>
  <si>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</si>
  <si>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</si>
  <si>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</si>
  <si>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</si>
  <si>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</si>
  <si>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</si>
  <si>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</si>
  <si>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</si>
  <si>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</si>
  <si>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</si>
  <si>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</si>
  <si>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</si>
  <si>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</si>
  <si>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</si>
  <si>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</si>
  <si>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</si>
  <si>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</si>
  <si>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</si>
  <si>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</si>
  <si>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</si>
  <si>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</si>
  <si>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</si>
  <si>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</si>
  <si>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</si>
  <si>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</si>
  <si>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</si>
  <si>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</si>
  <si>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</si>
  <si>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</si>
  <si>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</si>
  <si>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</si>
  <si>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</si>
  <si>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</si>
  <si>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</si>
  <si>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</si>
  <si>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</si>
  <si>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</si>
  <si>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</si>
  <si>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</si>
  <si>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</si>
  <si>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</si>
  <si>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</si>
  <si>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</si>
  <si>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</si>
  <si>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</si>
  <si>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</si>
  <si>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</si>
  <si>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</si>
  <si>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</si>
  <si>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</si>
  <si>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</si>
  <si>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</si>
  <si>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</si>
  <si>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</si>
  <si>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</si>
  <si>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</si>
  <si>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</si>
  <si>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</si>
  <si>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</si>
  <si>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</si>
  <si>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</si>
  <si>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</si>
  <si>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</si>
  <si>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</si>
  <si>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</si>
  <si>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</si>
  <si>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</si>
  <si>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</si>
  <si>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</si>
  <si>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</si>
  <si>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</si>
  <si>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</si>
  <si>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</si>
  <si>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</si>
  <si>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</si>
  <si>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</si>
  <si>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</si>
  <si>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</si>
  <si>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</si>
  <si>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</si>
  <si>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</si>
  <si>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</si>
  <si>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</si>
  <si>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</si>
  <si>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</si>
  <si>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</si>
  <si>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</si>
  <si>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</si>
  <si>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</si>
  <si>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</si>
  <si>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</si>
  <si>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</si>
  <si>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</si>
  <si>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</si>
  <si>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</si>
  <si>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</si>
  <si>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</si>
  <si>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</si>
  <si>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</si>
  <si>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</si>
  <si>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</si>
  <si>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</si>
  <si>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</si>
  <si>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</si>
  <si>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</si>
  <si>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</si>
  <si>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</si>
  <si>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</si>
  <si>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</si>
  <si>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</si>
  <si>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</si>
  <si>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</si>
  <si>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</si>
  <si>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</si>
  <si>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</si>
  <si>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</si>
  <si>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</si>
  <si>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</si>
  <si>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</si>
  <si>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</si>
  <si>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</si>
  <si>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</si>
  <si>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</si>
  <si>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</si>
  <si>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</si>
  <si>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</si>
  <si>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</si>
  <si>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</si>
  <si>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</si>
  <si>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</si>
  <si>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</si>
  <si>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</si>
  <si>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</si>
  <si>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</si>
  <si>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</si>
  <si>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</si>
  <si>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</si>
  <si>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</si>
  <si>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</si>
  <si>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</si>
  <si>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</si>
  <si>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</si>
  <si>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</si>
  <si>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</si>
  <si>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</si>
  <si>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</si>
  <si>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</si>
  <si>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</si>
  <si>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</si>
  <si>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</si>
  <si>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</si>
  <si>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</si>
  <si>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</si>
  <si>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</si>
  <si>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</si>
  <si>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</si>
  <si>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</si>
  <si>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</si>
  <si>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</si>
  <si>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</si>
  <si>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</si>
  <si>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</si>
  <si>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</si>
  <si>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</si>
  <si>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</si>
  <si>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</si>
  <si>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</si>
  <si>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</si>
  <si>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</si>
  <si>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</si>
  <si>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</si>
  <si>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</si>
  <si>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</si>
  <si>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</si>
  <si>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</si>
  <si>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</si>
  <si>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</si>
  <si>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</si>
  <si>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</si>
  <si>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</si>
  <si>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</si>
  <si>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</si>
  <si>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</si>
  <si>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</si>
  <si>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</si>
  <si>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</si>
  <si>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</si>
  <si>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</si>
  <si>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</si>
  <si>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</si>
  <si>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</si>
  <si>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</si>
  <si>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</si>
  <si>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</si>
  <si>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</si>
  <si>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</si>
  <si>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</si>
  <si>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</si>
  <si>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</si>
  <si>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</si>
  <si>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</si>
  <si>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</si>
  <si>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</si>
  <si>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</si>
  <si>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</si>
  <si>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</si>
  <si>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</si>
  <si>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</si>
  <si>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</si>
  <si>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</si>
  <si>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</si>
  <si>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</si>
  <si>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</si>
  <si>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</si>
  <si>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</si>
  <si>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</si>
  <si>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</si>
  <si>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</si>
  <si>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</si>
  <si>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</si>
  <si>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</si>
  <si>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</si>
  <si>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</si>
  <si>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</si>
  <si>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</si>
  <si>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</si>
  <si>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</si>
  <si>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</si>
  <si>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</si>
  <si>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</si>
  <si>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</si>
  <si>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</si>
  <si>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</si>
  <si>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</si>
  <si>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</si>
  <si>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</si>
  <si>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</si>
  <si>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</si>
  <si>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</si>
  <si>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</si>
  <si>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</si>
  <si>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</si>
  <si>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</si>
  <si>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</si>
  <si>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</si>
  <si>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</si>
  <si>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</si>
  <si>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</si>
  <si>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</si>
  <si>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</si>
  <si>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</si>
  <si>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</si>
  <si>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</si>
  <si>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</si>
  <si>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</si>
  <si>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</si>
  <si>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</si>
  <si>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</si>
  <si>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</si>
  <si>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</si>
  <si>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</si>
  <si>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</si>
  <si>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</si>
  <si>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</si>
  <si>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</si>
  <si>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</si>
  <si>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</si>
  <si>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</si>
  <si>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</si>
  <si>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</si>
  <si>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</si>
  <si>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</si>
  <si>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</si>
  <si>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</si>
  <si>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</si>
  <si>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</si>
  <si>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</si>
  <si>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</si>
  <si>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</si>
  <si>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</si>
  <si>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</si>
  <si>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</si>
  <si>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</si>
  <si>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</si>
  <si>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</si>
  <si>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</si>
  <si>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</si>
  <si>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</si>
  <si>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</si>
  <si>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</si>
  <si>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</si>
  <si>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</si>
  <si>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</si>
  <si>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</si>
  <si>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</si>
  <si>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</si>
  <si>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</si>
  <si>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</si>
  <si>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</si>
  <si>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</si>
  <si>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</si>
  <si>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</si>
  <si>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</si>
  <si>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</si>
  <si>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</si>
  <si>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</si>
  <si>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</si>
  <si>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</si>
  <si>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</si>
  <si>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</si>
  <si>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</si>
  <si>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</si>
  <si>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</si>
  <si>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</si>
  <si>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</si>
  <si>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</si>
  <si>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</si>
  <si>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</si>
  <si>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</si>
  <si>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</si>
  <si>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</si>
  <si>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</si>
  <si>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</si>
  <si>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</si>
  <si>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</si>
  <si>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</si>
  <si>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</si>
  <si>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</si>
  <si>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</si>
  <si>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</si>
  <si>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</si>
  <si>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</si>
  <si>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</si>
  <si>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</si>
  <si>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</si>
  <si>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</si>
  <si>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</si>
  <si>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</si>
  <si>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</si>
  <si>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</si>
  <si>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</si>
  <si>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</si>
  <si>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</si>
  <si>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</si>
  <si>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</si>
  <si>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</si>
  <si>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</si>
  <si>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</si>
  <si>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</si>
  <si>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</si>
  <si>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</si>
  <si>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</si>
  <si>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</si>
  <si>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</si>
  <si>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</si>
  <si>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</si>
  <si>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</si>
  <si>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</si>
  <si>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</si>
  <si>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</si>
  <si>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</si>
  <si>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</si>
  <si>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</si>
  <si>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</si>
  <si>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</si>
  <si>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</si>
  <si>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</si>
  <si>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</si>
  <si>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</si>
  <si>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</si>
  <si>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</si>
  <si>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</si>
  <si>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</si>
  <si>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</si>
  <si>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</si>
  <si>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</si>
  <si>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</si>
  <si>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</si>
  <si>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</si>
  <si>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</si>
  <si>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</si>
  <si>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</si>
  <si>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</si>
  <si>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</si>
  <si>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</si>
  <si>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</si>
  <si>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</si>
  <si>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</si>
  <si>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</si>
  <si>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</si>
  <si>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</si>
  <si>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</si>
  <si>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</si>
  <si>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</si>
  <si>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</si>
  <si>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</si>
  <si>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</si>
  <si>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</si>
  <si>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</si>
  <si>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</si>
  <si>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</si>
  <si>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</si>
  <si>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</si>
  <si>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</si>
  <si>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</si>
  <si>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</si>
  <si>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</si>
  <si>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</si>
  <si>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</si>
  <si>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</si>
  <si>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</si>
  <si>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</si>
  <si>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</si>
  <si>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</si>
  <si>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</si>
  <si>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</si>
  <si>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</si>
  <si>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</si>
  <si>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</si>
  <si>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</si>
  <si>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</si>
  <si>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</si>
  <si>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</si>
  <si>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</si>
  <si>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</si>
  <si>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</si>
  <si>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</si>
  <si>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</si>
  <si>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</si>
  <si>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</si>
  <si>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</si>
  <si>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</si>
  <si>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</si>
  <si>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</si>
  <si>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</si>
  <si>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</si>
  <si>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</si>
  <si>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</si>
  <si>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</si>
  <si>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</si>
  <si>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</si>
  <si>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</si>
  <si>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</si>
  <si>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</si>
  <si>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</si>
  <si>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</si>
  <si>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</si>
  <si>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</si>
  <si>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</si>
  <si>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</si>
  <si>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</si>
  <si>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</si>
  <si>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</si>
  <si>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</si>
  <si>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</si>
  <si>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</si>
  <si>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</si>
  <si>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</si>
  <si>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</si>
  <si>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</si>
  <si>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</si>
  <si>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</si>
  <si>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</si>
  <si>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</si>
  <si>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</si>
  <si>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</si>
  <si>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</si>
  <si>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</si>
  <si>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</si>
  <si>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</si>
  <si>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</si>
  <si>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</si>
  <si>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</si>
  <si>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</si>
  <si>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</si>
  <si>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</si>
  <si>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</si>
  <si>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</si>
  <si>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</si>
  <si>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</si>
  <si>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</si>
  <si>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</si>
  <si>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</si>
  <si>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</si>
  <si>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</si>
  <si>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</si>
  <si>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</si>
  <si>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</si>
  <si>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</si>
  <si>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</si>
  <si>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</si>
  <si>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</si>
  <si>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</si>
  <si>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</si>
  <si>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</si>
  <si>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</si>
  <si>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</si>
  <si>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</si>
  <si>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</si>
  <si>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</si>
  <si>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</si>
  <si>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</si>
  <si>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</si>
  <si>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</si>
  <si>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</si>
  <si>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</si>
  <si>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</si>
  <si>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</si>
  <si>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</si>
  <si>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</si>
  <si>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</si>
  <si>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</si>
  <si>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</si>
  <si>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</si>
  <si>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</si>
  <si>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</si>
  <si>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</si>
  <si>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</si>
  <si>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</si>
  <si>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</si>
  <si>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</si>
  <si>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</si>
  <si>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</si>
  <si>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</si>
  <si>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</si>
  <si>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</si>
  <si>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</si>
  <si>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</si>
  <si>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</si>
  <si>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</si>
  <si>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</si>
  <si>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</si>
  <si>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</si>
  <si>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</si>
  <si>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</si>
  <si>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</si>
  <si>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</si>
  <si>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</si>
  <si>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</si>
  <si>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</si>
  <si>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</si>
  <si>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</si>
  <si>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</si>
  <si>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</si>
  <si>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</si>
  <si>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</si>
  <si>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</si>
  <si>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</si>
  <si>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</si>
  <si>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</si>
  <si>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</si>
  <si>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</si>
  <si>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</si>
  <si>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</si>
  <si>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</si>
  <si>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</si>
  <si>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</si>
  <si>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</si>
  <si>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</si>
  <si>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</si>
  <si>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</si>
  <si>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</si>
  <si>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</si>
  <si>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</si>
  <si>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</si>
  <si>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</si>
  <si>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</si>
  <si>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</si>
  <si>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</si>
  <si>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</si>
  <si>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</si>
  <si>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</si>
  <si>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</si>
  <si>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</si>
  <si>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</si>
  <si>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</si>
  <si>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</si>
  <si>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</si>
  <si>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</si>
  <si>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</si>
  <si>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</si>
  <si>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</si>
  <si>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</si>
  <si>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</si>
  <si>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</si>
  <si>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</si>
  <si>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</si>
  <si>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</si>
  <si>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</si>
  <si>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</si>
  <si>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</si>
  <si>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</si>
  <si>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</si>
  <si>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</si>
  <si>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</si>
  <si>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</si>
  <si>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</si>
  <si>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</si>
  <si>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</si>
  <si>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</si>
  <si>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</si>
  <si>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</si>
  <si>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</si>
  <si>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</si>
  <si>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</si>
  <si>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</si>
  <si>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</si>
  <si>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</si>
  <si>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</si>
  <si>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</si>
  <si>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</si>
  <si>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</si>
  <si>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</si>
  <si>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</si>
  <si>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</si>
  <si>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</si>
  <si>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</si>
  <si>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</si>
  <si>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</si>
  <si>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</si>
  <si>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</si>
  <si>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</si>
  <si>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</si>
  <si>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</si>
  <si>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</si>
  <si>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</si>
  <si>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</si>
  <si>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</si>
  <si>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</si>
  <si>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</si>
  <si>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</si>
  <si>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</si>
  <si>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</si>
  <si>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</si>
  <si>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</si>
  <si>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</si>
  <si>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</si>
  <si>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</si>
  <si>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</si>
  <si>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</si>
  <si>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</si>
  <si>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</si>
  <si>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</si>
  <si>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</si>
  <si>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</si>
  <si>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</si>
  <si>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</si>
  <si>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</si>
  <si>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</si>
  <si>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</si>
  <si>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</si>
  <si>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</si>
  <si>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</si>
  <si>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</si>
  <si>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</si>
  <si>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</si>
  <si>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</si>
  <si>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</si>
  <si>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</si>
  <si>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</si>
  <si>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</si>
  <si>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</si>
  <si>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</si>
  <si>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</si>
  <si>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</si>
  <si>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</si>
  <si>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</si>
  <si>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</si>
  <si>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</si>
  <si>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</si>
  <si>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</si>
  <si>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</si>
  <si>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</si>
  <si>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</si>
  <si>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</si>
  <si>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</si>
  <si>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</si>
  <si>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</si>
  <si>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</si>
  <si>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</si>
  <si>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</si>
  <si>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</si>
  <si>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</si>
  <si>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</si>
  <si>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</si>
  <si>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</si>
  <si>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</si>
  <si>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</si>
  <si>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</si>
  <si>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</si>
  <si>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</si>
  <si>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</si>
  <si>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</si>
  <si>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</si>
  <si>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</si>
  <si>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</si>
  <si>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</si>
  <si>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</si>
  <si>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</si>
  <si>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</si>
  <si>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</si>
  <si>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</si>
  <si>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</si>
  <si>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</si>
  <si>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</si>
  <si>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</si>
  <si>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</si>
  <si>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</si>
  <si>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</si>
  <si>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</si>
  <si>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</si>
  <si>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</si>
  <si>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</si>
  <si>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</si>
  <si>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</si>
  <si>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</si>
  <si>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</si>
  <si>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</si>
  <si>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</si>
  <si>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</si>
  <si>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</si>
  <si>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</si>
  <si>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</si>
  <si>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</si>
  <si>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</si>
  <si>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</si>
  <si>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</si>
  <si>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</si>
  <si>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</si>
  <si>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</si>
  <si>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</si>
  <si>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</si>
  <si>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</si>
  <si>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</si>
  <si>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</si>
  <si>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</si>
  <si>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</si>
  <si>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</si>
  <si>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</si>
  <si>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</si>
  <si>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</si>
  <si>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</si>
  <si>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</si>
  <si>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</si>
  <si>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</si>
  <si>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</si>
  <si>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</si>
  <si>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</si>
  <si>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</si>
  <si>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</si>
  <si>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</si>
  <si>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</si>
  <si>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</si>
  <si>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</si>
  <si>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受理日：115.4.30</t>
    <phoneticPr fontId="4" type="noConversion"/>
  </si>
  <si>
    <t>ok</t>
  </si>
  <si>
    <t>_</t>
  </si>
  <si>
    <t>受理日：115.4.30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</si>
</sst>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38" fontId="171" fillId="4" borderId="151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4" t="s">
        <v>916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4"/>
      <c r="Q1" s="914"/>
      <c r="R1" s="914"/>
      <c r="S1" s="914"/>
      <c r="T1" s="914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926</v>
      </c>
      <c r="C4" s="477"/>
      <c r="D4" s="478"/>
      <c r="E4" s="477"/>
      <c r="F4" s="479"/>
      <c r="G4" s="480" t="s">
        <v>191</v>
      </c>
      <c r="H4" s="481"/>
      <c r="I4" s="482"/>
      <c r="J4" s="483" t="s">
        <v>918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2"/>
      <c r="X4" s="922"/>
      <c r="Y4" s="922"/>
      <c r="Z4" s="922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5" t="s">
        <v>548</v>
      </c>
      <c r="B5" s="597" t="s">
        <v>329</v>
      </c>
      <c r="C5" s="924" t="s">
        <v>5</v>
      </c>
      <c r="D5" s="917" t="s">
        <v>520</v>
      </c>
      <c r="E5" s="918" t="s">
        <v>189</v>
      </c>
      <c r="F5" s="918" t="s">
        <v>919</v>
      </c>
      <c r="G5" s="927" t="s">
        <v>506</v>
      </c>
      <c r="H5" s="928"/>
      <c r="I5" s="929"/>
      <c r="J5" s="930" t="s">
        <v>917</v>
      </c>
      <c r="K5" s="930"/>
      <c r="L5" s="931"/>
      <c r="M5" s="932" t="s">
        <v>884</v>
      </c>
      <c r="N5" s="933"/>
      <c r="O5" s="933"/>
      <c r="P5" s="933"/>
      <c r="Q5" s="942" t="s">
        <v>642</v>
      </c>
      <c r="R5" s="942"/>
      <c r="S5" s="943" t="s">
        <v>696</v>
      </c>
      <c r="T5" s="944"/>
      <c r="U5" s="945" t="s">
        <v>865</v>
      </c>
      <c r="V5" s="945"/>
      <c r="W5" s="919" t="s">
        <v>682</v>
      </c>
      <c r="X5" s="919"/>
      <c r="Y5" s="919"/>
      <c r="Z5" s="919"/>
      <c r="AA5" s="920" t="s">
        <v>803</v>
      </c>
      <c r="AB5" s="920" t="s">
        <v>814</v>
      </c>
      <c r="AC5" s="920"/>
      <c r="AD5" s="920"/>
      <c r="AE5" s="915" t="s">
        <v>888</v>
      </c>
      <c r="AF5" s="917" t="s">
        <v>920</v>
      </c>
      <c r="AG5" s="917"/>
      <c r="AH5" s="918"/>
      <c r="AI5" s="934" t="s">
        <v>892</v>
      </c>
      <c r="AJ5" s="936" t="s">
        <v>893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3"/>
      <c r="B6" s="598" t="s">
        <v>192</v>
      </c>
      <c r="C6" s="925"/>
      <c r="D6" s="925"/>
      <c r="E6" s="926"/>
      <c r="F6" s="926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878</v>
      </c>
      <c r="N6" s="605" t="s">
        <v>674</v>
      </c>
      <c r="O6" s="606" t="s">
        <v>813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21"/>
      <c r="AB6" s="822" t="s">
        <v>327</v>
      </c>
      <c r="AC6" s="822" t="s">
        <v>328</v>
      </c>
      <c r="AD6" s="822" t="s">
        <v>192</v>
      </c>
      <c r="AE6" s="916"/>
      <c r="AF6" s="840" t="s">
        <v>327</v>
      </c>
      <c r="AG6" s="841" t="s">
        <v>328</v>
      </c>
      <c r="AH6" s="854" t="s">
        <v>192</v>
      </c>
      <c r="AI6" s="935"/>
      <c r="AJ6" s="937"/>
      <c r="AM6" s="358"/>
      <c r="AN6" s="358"/>
      <c r="AO6" s="358"/>
      <c r="AP6" s="358"/>
      <c r="AQ6" s="358"/>
      <c r="AR6" s="358"/>
      <c r="AS6" s="358"/>
    </row>
    <row r="7" spans="1:47" ht="70" customHeight="1">
      <c r="A7" s="938" t="s">
        <v>627</v>
      </c>
      <c r="B7" s="614">
        <v>1</v>
      </c>
      <c r="C7" s="615" t="s">
        <v>838</v>
      </c>
      <c r="D7" s="615" t="s">
        <v>839</v>
      </c>
      <c r="E7" s="616">
        <v>32</v>
      </c>
      <c r="F7" s="617">
        <v>137</v>
      </c>
      <c r="G7" s="618">
        <v>2</v>
      </c>
      <c r="H7" s="619">
        <v>26409</v>
      </c>
      <c r="I7" s="620">
        <v>1.9276642335766422E-2</v>
      </c>
      <c r="J7" s="898">
        <v>21</v>
      </c>
      <c r="K7" s="621">
        <v>897350</v>
      </c>
      <c r="L7" s="899">
        <v>0.65500000000000003</v>
      </c>
      <c r="M7" s="900"/>
      <c r="N7" s="901"/>
      <c r="O7" s="902"/>
      <c r="P7" s="903"/>
      <c r="Q7" s="622">
        <v>9</v>
      </c>
      <c r="R7" s="904">
        <v>0.28125</v>
      </c>
      <c r="S7" s="622">
        <v>7</v>
      </c>
      <c r="T7" s="904">
        <v>0.21875</v>
      </c>
      <c r="U7" s="622">
        <v>6</v>
      </c>
      <c r="V7" s="623">
        <v>0.1875</v>
      </c>
      <c r="W7" s="783" t="e">
        <v>#N/A</v>
      </c>
      <c r="X7" s="784" t="s">
        <v>928</v>
      </c>
      <c r="Y7" s="783" t="e">
        <v>#N/A</v>
      </c>
      <c r="Z7" s="784" t="s">
        <v>928</v>
      </c>
      <c r="AA7" s="785">
        <v>454</v>
      </c>
      <c r="AB7" s="786">
        <v>897350</v>
      </c>
      <c r="AC7" s="787">
        <v>0.19765418502202642</v>
      </c>
      <c r="AD7" s="788">
        <v>1</v>
      </c>
      <c r="AE7" s="846">
        <v>1704</v>
      </c>
      <c r="AF7" s="842">
        <v>6914630</v>
      </c>
      <c r="AG7" s="851">
        <v>0.40578814553990611</v>
      </c>
      <c r="AH7" s="856">
        <v>4</v>
      </c>
      <c r="AI7" s="866"/>
      <c r="AJ7" s="869"/>
      <c r="AK7" s="861"/>
      <c r="AL7" s="369"/>
    </row>
    <row r="8" spans="1:47" ht="70" customHeight="1">
      <c r="A8" s="939"/>
      <c r="B8" s="624">
        <v>2</v>
      </c>
      <c r="C8" s="625" t="s">
        <v>10</v>
      </c>
      <c r="D8" s="625" t="s">
        <v>148</v>
      </c>
      <c r="E8" s="626">
        <v>107</v>
      </c>
      <c r="F8" s="627">
        <v>333</v>
      </c>
      <c r="G8" s="628">
        <v>4</v>
      </c>
      <c r="H8" s="629">
        <v>136104</v>
      </c>
      <c r="I8" s="630">
        <v>4.0872072072072073E-2</v>
      </c>
      <c r="J8" s="631">
        <v>15</v>
      </c>
      <c r="K8" s="632">
        <v>2034418</v>
      </c>
      <c r="L8" s="633">
        <v>0.61093633633633637</v>
      </c>
      <c r="M8" s="634">
        <v>3181813</v>
      </c>
      <c r="N8" s="635">
        <v>0.63938955557727628</v>
      </c>
      <c r="O8" s="636">
        <v>0</v>
      </c>
      <c r="P8" s="637" t="e">
        <v>#DIV/0!</v>
      </c>
      <c r="Q8" s="638">
        <v>9</v>
      </c>
      <c r="R8" s="639">
        <v>8.4112149532710276E-2</v>
      </c>
      <c r="S8" s="638">
        <v>9</v>
      </c>
      <c r="T8" s="639">
        <v>8.4112149532710276E-2</v>
      </c>
      <c r="U8" s="638">
        <v>6</v>
      </c>
      <c r="V8" s="639">
        <v>5.6074766355140186E-2</v>
      </c>
      <c r="W8" s="789">
        <v>0</v>
      </c>
      <c r="X8" s="790" t="s">
        <v>928</v>
      </c>
      <c r="Y8" s="789">
        <v>0</v>
      </c>
      <c r="Z8" s="790" t="s">
        <v>928</v>
      </c>
      <c r="AA8" s="791">
        <v>1100</v>
      </c>
      <c r="AB8" s="792">
        <v>2034418</v>
      </c>
      <c r="AC8" s="793">
        <v>0.18494709090909092</v>
      </c>
      <c r="AD8" s="788">
        <v>2</v>
      </c>
      <c r="AE8" s="847">
        <v>4147</v>
      </c>
      <c r="AF8" s="474">
        <v>15584372</v>
      </c>
      <c r="AG8" s="475">
        <v>0.37579869785387027</v>
      </c>
      <c r="AH8" s="856">
        <v>5</v>
      </c>
      <c r="AI8" s="863">
        <v>1</v>
      </c>
      <c r="AJ8" s="868">
        <v>4</v>
      </c>
      <c r="AK8" s="370"/>
      <c r="AL8" s="400"/>
    </row>
    <row r="9" spans="1:47" ht="70" customHeight="1">
      <c r="A9" s="939"/>
      <c r="B9" s="640">
        <v>3</v>
      </c>
      <c r="C9" s="641" t="s">
        <v>8</v>
      </c>
      <c r="D9" s="641" t="s">
        <v>656</v>
      </c>
      <c r="E9" s="626">
        <v>39</v>
      </c>
      <c r="F9" s="627">
        <v>164</v>
      </c>
      <c r="G9" s="628">
        <v>1</v>
      </c>
      <c r="H9" s="629">
        <v>201126</v>
      </c>
      <c r="I9" s="630">
        <v>0.12263780487804878</v>
      </c>
      <c r="J9" s="631">
        <v>11</v>
      </c>
      <c r="K9" s="632">
        <v>650166</v>
      </c>
      <c r="L9" s="633">
        <v>0.39644268292682927</v>
      </c>
      <c r="M9" s="634">
        <v>1381736</v>
      </c>
      <c r="N9" s="635">
        <v>0.47054285333811957</v>
      </c>
      <c r="O9" s="636">
        <v>0</v>
      </c>
      <c r="P9" s="637" t="e">
        <v>#DIV/0!</v>
      </c>
      <c r="Q9" s="638">
        <v>7</v>
      </c>
      <c r="R9" s="639">
        <v>0.17948717948717949</v>
      </c>
      <c r="S9" s="638">
        <v>7</v>
      </c>
      <c r="T9" s="639">
        <v>0.17948717948717949</v>
      </c>
      <c r="U9" s="638">
        <v>7</v>
      </c>
      <c r="V9" s="639">
        <v>0.17948717948717949</v>
      </c>
      <c r="W9" s="789">
        <v>0</v>
      </c>
      <c r="X9" s="790" t="s">
        <v>928</v>
      </c>
      <c r="Y9" s="789">
        <v>0</v>
      </c>
      <c r="Z9" s="790" t="s">
        <v>928</v>
      </c>
      <c r="AA9" s="791">
        <v>540</v>
      </c>
      <c r="AB9" s="792">
        <v>650166</v>
      </c>
      <c r="AC9" s="793">
        <v>0.12040111111111111</v>
      </c>
      <c r="AD9" s="788">
        <v>3</v>
      </c>
      <c r="AE9" s="847">
        <v>2045</v>
      </c>
      <c r="AF9" s="474">
        <v>7268118</v>
      </c>
      <c r="AG9" s="475">
        <v>0.35540919315403424</v>
      </c>
      <c r="AH9" s="856">
        <v>7</v>
      </c>
      <c r="AI9" s="863">
        <v>0</v>
      </c>
      <c r="AJ9" s="868">
        <v>0</v>
      </c>
      <c r="AK9" s="370"/>
      <c r="AL9" s="518"/>
    </row>
    <row r="10" spans="1:47" ht="70" customHeight="1">
      <c r="A10" s="939"/>
      <c r="B10" s="640">
        <v>4</v>
      </c>
      <c r="C10" s="625" t="s">
        <v>6</v>
      </c>
      <c r="D10" s="625" t="s">
        <v>73</v>
      </c>
      <c r="E10" s="626">
        <v>88</v>
      </c>
      <c r="F10" s="627">
        <v>449</v>
      </c>
      <c r="G10" s="666">
        <v>5</v>
      </c>
      <c r="H10" s="667">
        <v>44587</v>
      </c>
      <c r="I10" s="668">
        <v>9.9302895322939868E-3</v>
      </c>
      <c r="J10" s="669">
        <v>44</v>
      </c>
      <c r="K10" s="670">
        <v>1685335</v>
      </c>
      <c r="L10" s="671">
        <v>0.3753530066815145</v>
      </c>
      <c r="M10" s="672">
        <v>3843122</v>
      </c>
      <c r="N10" s="673">
        <v>0.4385327866250408</v>
      </c>
      <c r="O10" s="674">
        <v>0</v>
      </c>
      <c r="P10" s="675" t="e">
        <v>#DIV/0!</v>
      </c>
      <c r="Q10" s="676">
        <v>25</v>
      </c>
      <c r="R10" s="677">
        <v>0.28409090909090912</v>
      </c>
      <c r="S10" s="676">
        <v>16</v>
      </c>
      <c r="T10" s="639">
        <v>0.18181818181818182</v>
      </c>
      <c r="U10" s="638">
        <v>10</v>
      </c>
      <c r="V10" s="639">
        <v>0.11363636363636363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1489</v>
      </c>
      <c r="AB10" s="792">
        <v>1685335</v>
      </c>
      <c r="AC10" s="793">
        <v>0.11318569509738079</v>
      </c>
      <c r="AD10" s="788">
        <v>4</v>
      </c>
      <c r="AE10" s="847">
        <v>5607</v>
      </c>
      <c r="AF10" s="474">
        <v>25187078</v>
      </c>
      <c r="AG10" s="475">
        <v>0.44920774032459426</v>
      </c>
      <c r="AH10" s="856">
        <v>3</v>
      </c>
      <c r="AI10" s="863">
        <v>0</v>
      </c>
      <c r="AJ10" s="868">
        <v>4</v>
      </c>
      <c r="AK10" s="370"/>
      <c r="AL10" s="369"/>
    </row>
    <row r="11" spans="1:47" ht="70" customHeight="1">
      <c r="A11" s="939"/>
      <c r="B11" s="640">
        <v>5</v>
      </c>
      <c r="C11" s="625" t="s">
        <v>821</v>
      </c>
      <c r="D11" s="625" t="s">
        <v>822</v>
      </c>
      <c r="E11" s="626">
        <v>30</v>
      </c>
      <c r="F11" s="627">
        <v>191</v>
      </c>
      <c r="G11" s="628">
        <v>1</v>
      </c>
      <c r="H11" s="629">
        <v>50</v>
      </c>
      <c r="I11" s="630">
        <v>2.6178010471204188E-5</v>
      </c>
      <c r="J11" s="631">
        <v>15</v>
      </c>
      <c r="K11" s="632">
        <v>646568</v>
      </c>
      <c r="L11" s="633">
        <v>0.33851727748691102</v>
      </c>
      <c r="M11" s="886"/>
      <c r="N11" s="887"/>
      <c r="O11" s="888"/>
      <c r="P11" s="889"/>
      <c r="Q11" s="638">
        <v>10</v>
      </c>
      <c r="R11" s="639">
        <v>0.33333333333333331</v>
      </c>
      <c r="S11" s="638">
        <v>6</v>
      </c>
      <c r="T11" s="639">
        <v>0.2</v>
      </c>
      <c r="U11" s="638">
        <v>3</v>
      </c>
      <c r="V11" s="639">
        <v>0.1</v>
      </c>
      <c r="W11" s="789" t="e">
        <v>#N/A</v>
      </c>
      <c r="X11" s="790" t="s">
        <v>928</v>
      </c>
      <c r="Y11" s="789" t="e">
        <v>#N/A</v>
      </c>
      <c r="Z11" s="790" t="s">
        <v>928</v>
      </c>
      <c r="AA11" s="791">
        <v>633</v>
      </c>
      <c r="AB11" s="792">
        <v>646568</v>
      </c>
      <c r="AC11" s="793">
        <v>0.1021434439178515</v>
      </c>
      <c r="AD11" s="788">
        <v>5</v>
      </c>
      <c r="AE11" s="847">
        <v>2390</v>
      </c>
      <c r="AF11" s="474">
        <v>12239179</v>
      </c>
      <c r="AG11" s="475">
        <v>0.51209953974895395</v>
      </c>
      <c r="AH11" s="856">
        <v>1</v>
      </c>
      <c r="AI11" s="866"/>
      <c r="AJ11" s="869"/>
      <c r="AK11" s="370"/>
      <c r="AL11" s="369"/>
    </row>
    <row r="12" spans="1:47" ht="70" customHeight="1">
      <c r="A12" s="939"/>
      <c r="B12" s="640">
        <v>6</v>
      </c>
      <c r="C12" s="625" t="s">
        <v>215</v>
      </c>
      <c r="D12" s="625" t="s">
        <v>68</v>
      </c>
      <c r="E12" s="626">
        <v>40</v>
      </c>
      <c r="F12" s="627">
        <v>145</v>
      </c>
      <c r="G12" s="628">
        <v>6</v>
      </c>
      <c r="H12" s="629">
        <v>102086</v>
      </c>
      <c r="I12" s="630">
        <v>7.0404137931034477E-2</v>
      </c>
      <c r="J12" s="631">
        <v>16</v>
      </c>
      <c r="K12" s="632">
        <v>316005</v>
      </c>
      <c r="L12" s="633">
        <v>0.21793448275862068</v>
      </c>
      <c r="M12" s="634">
        <v>1129236</v>
      </c>
      <c r="N12" s="635">
        <v>0.27983964379456555</v>
      </c>
      <c r="O12" s="636">
        <v>0</v>
      </c>
      <c r="P12" s="637" t="e">
        <v>#DIV/0!</v>
      </c>
      <c r="Q12" s="638">
        <v>12</v>
      </c>
      <c r="R12" s="639">
        <v>0.3</v>
      </c>
      <c r="S12" s="638">
        <v>8</v>
      </c>
      <c r="T12" s="639">
        <v>0.2</v>
      </c>
      <c r="U12" s="638">
        <v>5</v>
      </c>
      <c r="V12" s="639">
        <v>0.125</v>
      </c>
      <c r="W12" s="789"/>
      <c r="X12" s="790"/>
      <c r="Y12" s="789"/>
      <c r="Z12" s="790"/>
      <c r="AA12" s="791"/>
      <c r="AB12" s="792"/>
      <c r="AC12" s="793"/>
      <c r="AD12" s="788"/>
      <c r="AE12" s="847">
        <v>1817</v>
      </c>
      <c r="AF12" s="474">
        <v>9228480</v>
      </c>
      <c r="AG12" s="475">
        <v>0.5078965327462851</v>
      </c>
      <c r="AH12" s="856">
        <v>2</v>
      </c>
      <c r="AI12" s="863">
        <v>0</v>
      </c>
      <c r="AJ12" s="868">
        <v>0</v>
      </c>
      <c r="AK12" s="370"/>
      <c r="AL12" s="369"/>
    </row>
    <row r="13" spans="1:47" ht="70" customHeight="1">
      <c r="A13" s="939"/>
      <c r="B13" s="640">
        <v>7</v>
      </c>
      <c r="C13" s="642" t="s">
        <v>204</v>
      </c>
      <c r="D13" s="642" t="s">
        <v>481</v>
      </c>
      <c r="E13" s="643">
        <v>41</v>
      </c>
      <c r="F13" s="627">
        <v>149</v>
      </c>
      <c r="G13" s="644">
        <v>5</v>
      </c>
      <c r="H13" s="645">
        <v>43454</v>
      </c>
      <c r="I13" s="630">
        <v>2.9163758389261746E-2</v>
      </c>
      <c r="J13" s="646">
        <v>22</v>
      </c>
      <c r="K13" s="647">
        <v>294930</v>
      </c>
      <c r="L13" s="633">
        <v>0.19793959731543626</v>
      </c>
      <c r="M13" s="825">
        <v>1007123</v>
      </c>
      <c r="N13" s="826">
        <v>0.29284407167744159</v>
      </c>
      <c r="O13" s="827">
        <v>0</v>
      </c>
      <c r="P13" s="828" t="e">
        <v>#DIV/0!</v>
      </c>
      <c r="Q13" s="648">
        <v>13</v>
      </c>
      <c r="R13" s="649">
        <v>0.31707317073170732</v>
      </c>
      <c r="S13" s="648">
        <v>7</v>
      </c>
      <c r="T13" s="649">
        <v>0.17073170731707318</v>
      </c>
      <c r="U13" s="648">
        <v>4</v>
      </c>
      <c r="V13" s="649">
        <v>9.7560975609756101E-2</v>
      </c>
      <c r="W13" s="794">
        <v>0</v>
      </c>
      <c r="X13" s="795" t="s">
        <v>928</v>
      </c>
      <c r="Y13" s="794">
        <v>0</v>
      </c>
      <c r="Z13" s="795" t="s">
        <v>928</v>
      </c>
      <c r="AA13" s="796">
        <v>492</v>
      </c>
      <c r="AB13" s="797">
        <v>294930</v>
      </c>
      <c r="AC13" s="798">
        <v>5.994512195121951E-2</v>
      </c>
      <c r="AD13" s="799">
        <v>6</v>
      </c>
      <c r="AE13" s="848">
        <v>1859</v>
      </c>
      <c r="AF13" s="843">
        <v>6844233</v>
      </c>
      <c r="AG13" s="852">
        <v>0.36816745562130176</v>
      </c>
      <c r="AH13" s="873">
        <v>6</v>
      </c>
      <c r="AI13" s="863">
        <v>0</v>
      </c>
      <c r="AJ13" s="868">
        <v>2</v>
      </c>
      <c r="AK13" s="370"/>
      <c r="AL13" s="369"/>
    </row>
    <row r="14" spans="1:47" ht="70" customHeight="1" thickBot="1">
      <c r="A14" s="939"/>
      <c r="B14" s="650">
        <v>8</v>
      </c>
      <c r="C14" s="642" t="s">
        <v>9</v>
      </c>
      <c r="D14" s="642" t="s">
        <v>129</v>
      </c>
      <c r="E14" s="643">
        <v>46</v>
      </c>
      <c r="F14" s="627">
        <v>184</v>
      </c>
      <c r="G14" s="644">
        <v>6</v>
      </c>
      <c r="H14" s="645">
        <v>72166</v>
      </c>
      <c r="I14" s="651">
        <v>3.9220652173913045E-2</v>
      </c>
      <c r="J14" s="646">
        <v>29</v>
      </c>
      <c r="K14" s="647">
        <v>354612</v>
      </c>
      <c r="L14" s="839">
        <v>0.19272391304347827</v>
      </c>
      <c r="M14" s="825">
        <v>1823112</v>
      </c>
      <c r="N14" s="826">
        <v>0.19450916893750905</v>
      </c>
      <c r="O14" s="827">
        <v>0</v>
      </c>
      <c r="P14" s="828" t="e">
        <v>#DIV/0!</v>
      </c>
      <c r="Q14" s="648">
        <v>12</v>
      </c>
      <c r="R14" s="649">
        <v>0.2608695652173913</v>
      </c>
      <c r="S14" s="648">
        <v>6</v>
      </c>
      <c r="T14" s="649">
        <v>0.13043478260869565</v>
      </c>
      <c r="U14" s="648">
        <v>4</v>
      </c>
      <c r="V14" s="649">
        <v>8.6956521739130432E-2</v>
      </c>
      <c r="W14" s="794">
        <v>0</v>
      </c>
      <c r="X14" s="795" t="s">
        <v>928</v>
      </c>
      <c r="Y14" s="794">
        <v>0</v>
      </c>
      <c r="Z14" s="795" t="s">
        <v>928</v>
      </c>
      <c r="AA14" s="796">
        <v>610</v>
      </c>
      <c r="AB14" s="797">
        <v>354612</v>
      </c>
      <c r="AC14" s="798">
        <v>5.813311475409836E-2</v>
      </c>
      <c r="AD14" s="799">
        <v>7</v>
      </c>
      <c r="AE14" s="848">
        <v>2298</v>
      </c>
      <c r="AF14" s="843">
        <v>6547069</v>
      </c>
      <c r="AG14" s="852">
        <v>0.28490291557876413</v>
      </c>
      <c r="AH14" s="857">
        <v>8</v>
      </c>
      <c r="AI14" s="864">
        <v>0</v>
      </c>
      <c r="AJ14" s="870">
        <v>1</v>
      </c>
      <c r="AK14" s="370"/>
      <c r="AL14" s="369"/>
    </row>
    <row r="15" spans="1:47" ht="70" customHeight="1" thickTop="1">
      <c r="A15" s="940" t="s">
        <v>628</v>
      </c>
      <c r="B15" s="652">
        <v>1</v>
      </c>
      <c r="C15" s="653" t="s">
        <v>458</v>
      </c>
      <c r="D15" s="653" t="s">
        <v>421</v>
      </c>
      <c r="E15" s="654">
        <v>32</v>
      </c>
      <c r="F15" s="655">
        <v>110</v>
      </c>
      <c r="G15" s="656">
        <v>4</v>
      </c>
      <c r="H15" s="657">
        <v>111433</v>
      </c>
      <c r="I15" s="658">
        <v>0.10130272727272727</v>
      </c>
      <c r="J15" s="659">
        <v>17</v>
      </c>
      <c r="K15" s="660">
        <v>347942</v>
      </c>
      <c r="L15" s="890">
        <v>0.31631090909090909</v>
      </c>
      <c r="M15" s="891">
        <v>932202</v>
      </c>
      <c r="N15" s="892">
        <v>0.37324742920525811</v>
      </c>
      <c r="O15" s="893">
        <v>0</v>
      </c>
      <c r="P15" s="894" t="e">
        <v>#DIV/0!</v>
      </c>
      <c r="Q15" s="661">
        <v>11</v>
      </c>
      <c r="R15" s="662">
        <v>0.34375</v>
      </c>
      <c r="S15" s="661">
        <v>7</v>
      </c>
      <c r="T15" s="662">
        <v>0.21875</v>
      </c>
      <c r="U15" s="661">
        <v>4</v>
      </c>
      <c r="V15" s="880">
        <v>0.125</v>
      </c>
      <c r="W15" s="800"/>
      <c r="X15" s="801"/>
      <c r="Y15" s="800"/>
      <c r="Z15" s="801"/>
      <c r="AA15" s="802"/>
      <c r="AB15" s="803"/>
      <c r="AC15" s="804"/>
      <c r="AD15" s="805"/>
      <c r="AE15" s="849">
        <v>1370</v>
      </c>
      <c r="AF15" s="844">
        <v>4188928</v>
      </c>
      <c r="AG15" s="853">
        <v>0.30576116788321167</v>
      </c>
      <c r="AH15" s="858">
        <v>6</v>
      </c>
      <c r="AI15" s="865">
        <v>0</v>
      </c>
      <c r="AJ15" s="871">
        <v>1</v>
      </c>
      <c r="AK15" s="862"/>
      <c r="AL15" s="369"/>
    </row>
    <row r="16" spans="1:47" ht="70" customHeight="1">
      <c r="A16" s="941"/>
      <c r="B16" s="663">
        <v>2</v>
      </c>
      <c r="C16" s="625" t="s">
        <v>776</v>
      </c>
      <c r="D16" s="625" t="s">
        <v>841</v>
      </c>
      <c r="E16" s="626">
        <v>41</v>
      </c>
      <c r="F16" s="664">
        <v>127</v>
      </c>
      <c r="G16" s="628">
        <v>3</v>
      </c>
      <c r="H16" s="629">
        <v>183118</v>
      </c>
      <c r="I16" s="630">
        <v>0.14418740157480314</v>
      </c>
      <c r="J16" s="631">
        <v>7</v>
      </c>
      <c r="K16" s="632">
        <v>286591</v>
      </c>
      <c r="L16" s="885">
        <v>0.22566220472440945</v>
      </c>
      <c r="M16" s="906">
        <v>878438</v>
      </c>
      <c r="N16" s="908">
        <v>0.32625068587652173</v>
      </c>
      <c r="O16" s="910">
        <v>0</v>
      </c>
      <c r="P16" s="912" t="e">
        <v>#DIV/0!</v>
      </c>
      <c r="Q16" s="638">
        <v>5</v>
      </c>
      <c r="R16" s="680">
        <v>0.12195121951219512</v>
      </c>
      <c r="S16" s="638">
        <v>4</v>
      </c>
      <c r="T16" s="680">
        <v>9.7560975609756101E-2</v>
      </c>
      <c r="U16" s="638">
        <v>3</v>
      </c>
      <c r="V16" s="639">
        <v>7.3170731707317069E-2</v>
      </c>
      <c r="W16" s="789">
        <v>0</v>
      </c>
      <c r="X16" s="790" t="s">
        <v>928</v>
      </c>
      <c r="Y16" s="789">
        <v>0</v>
      </c>
      <c r="Z16" s="790" t="s">
        <v>928</v>
      </c>
      <c r="AA16" s="791">
        <v>416</v>
      </c>
      <c r="AB16" s="792">
        <v>286591</v>
      </c>
      <c r="AC16" s="793">
        <v>6.8892067307692303E-2</v>
      </c>
      <c r="AD16" s="806">
        <v>1</v>
      </c>
      <c r="AE16" s="847">
        <v>1583</v>
      </c>
      <c r="AF16" s="474">
        <v>6850495</v>
      </c>
      <c r="AG16" s="475">
        <v>0.43275394819962099</v>
      </c>
      <c r="AH16" s="859">
        <v>2</v>
      </c>
      <c r="AI16" s="863">
        <v>1</v>
      </c>
      <c r="AJ16" s="868">
        <v>5</v>
      </c>
      <c r="AK16" s="370"/>
      <c r="AL16" s="369"/>
    </row>
    <row r="17" spans="1:38" ht="70" customHeight="1">
      <c r="A17" s="941"/>
      <c r="B17" s="624">
        <v>3</v>
      </c>
      <c r="C17" s="641" t="s">
        <v>879</v>
      </c>
      <c r="D17" s="641" t="s">
        <v>880</v>
      </c>
      <c r="E17" s="665">
        <v>15</v>
      </c>
      <c r="F17" s="627">
        <v>62</v>
      </c>
      <c r="G17" s="666">
        <v>0</v>
      </c>
      <c r="H17" s="667">
        <v>0</v>
      </c>
      <c r="I17" s="668">
        <v>0</v>
      </c>
      <c r="J17" s="669">
        <v>12</v>
      </c>
      <c r="K17" s="670">
        <v>136842</v>
      </c>
      <c r="L17" s="678">
        <v>0.22071290322580644</v>
      </c>
      <c r="M17" s="881">
        <v>206911</v>
      </c>
      <c r="N17" s="882">
        <v>0.66135681524906842</v>
      </c>
      <c r="O17" s="883">
        <v>0</v>
      </c>
      <c r="P17" s="884" t="e">
        <v>#DIV/0!</v>
      </c>
      <c r="Q17" s="676">
        <v>5</v>
      </c>
      <c r="R17" s="679">
        <v>0.33333333333333331</v>
      </c>
      <c r="S17" s="676">
        <v>4</v>
      </c>
      <c r="T17" s="680">
        <v>0.26666666666666666</v>
      </c>
      <c r="U17" s="676">
        <v>2</v>
      </c>
      <c r="V17" s="639">
        <v>0.13333333333333333</v>
      </c>
      <c r="W17" s="789">
        <v>0</v>
      </c>
      <c r="X17" s="790" t="s">
        <v>928</v>
      </c>
      <c r="Y17" s="789">
        <v>0</v>
      </c>
      <c r="Z17" s="790" t="s">
        <v>928</v>
      </c>
      <c r="AA17" s="791">
        <v>209</v>
      </c>
      <c r="AB17" s="792">
        <v>136842</v>
      </c>
      <c r="AC17" s="793">
        <v>6.5474641148325352E-2</v>
      </c>
      <c r="AD17" s="788">
        <v>2</v>
      </c>
      <c r="AE17" s="847">
        <v>780</v>
      </c>
      <c r="AF17" s="474">
        <v>3409546</v>
      </c>
      <c r="AG17" s="475">
        <v>0.43712128205128203</v>
      </c>
      <c r="AH17" s="856">
        <v>1</v>
      </c>
      <c r="AI17" s="863">
        <v>0</v>
      </c>
      <c r="AJ17" s="868">
        <v>1</v>
      </c>
      <c r="AK17" s="370"/>
      <c r="AL17" s="369"/>
    </row>
    <row r="18" spans="1:38" ht="70" customHeight="1">
      <c r="A18" s="941"/>
      <c r="B18" s="624">
        <v>4</v>
      </c>
      <c r="C18" s="641" t="s">
        <v>383</v>
      </c>
      <c r="D18" s="641" t="s">
        <v>384</v>
      </c>
      <c r="E18" s="665">
        <v>31</v>
      </c>
      <c r="F18" s="627">
        <v>121</v>
      </c>
      <c r="G18" s="666">
        <v>3</v>
      </c>
      <c r="H18" s="667">
        <v>40827</v>
      </c>
      <c r="I18" s="668">
        <v>3.3741322314049589E-2</v>
      </c>
      <c r="J18" s="669">
        <v>11</v>
      </c>
      <c r="K18" s="670">
        <v>260306</v>
      </c>
      <c r="L18" s="671">
        <v>0.21512892561983471</v>
      </c>
      <c r="M18" s="672">
        <v>586060</v>
      </c>
      <c r="N18" s="673">
        <v>0.44416271371531924</v>
      </c>
      <c r="O18" s="674">
        <v>0</v>
      </c>
      <c r="P18" s="675" t="e">
        <v>#DIV/0!</v>
      </c>
      <c r="Q18" s="676">
        <v>6</v>
      </c>
      <c r="R18" s="677">
        <v>0.19354838709677419</v>
      </c>
      <c r="S18" s="676">
        <v>5</v>
      </c>
      <c r="T18" s="639">
        <v>0.16129032258064516</v>
      </c>
      <c r="U18" s="676">
        <v>5</v>
      </c>
      <c r="V18" s="680">
        <v>0.16129032258064516</v>
      </c>
      <c r="W18" s="789">
        <v>0</v>
      </c>
      <c r="X18" s="790" t="s">
        <v>928</v>
      </c>
      <c r="Y18" s="789">
        <v>0</v>
      </c>
      <c r="Z18" s="790" t="s">
        <v>928</v>
      </c>
      <c r="AA18" s="791">
        <v>398</v>
      </c>
      <c r="AB18" s="792">
        <v>260306</v>
      </c>
      <c r="AC18" s="793">
        <v>6.5403517587939705E-2</v>
      </c>
      <c r="AD18" s="788">
        <v>3</v>
      </c>
      <c r="AE18" s="847">
        <v>1512</v>
      </c>
      <c r="AF18" s="474">
        <v>5311994</v>
      </c>
      <c r="AG18" s="475">
        <v>0.35132235449735449</v>
      </c>
      <c r="AH18" s="856">
        <v>4</v>
      </c>
      <c r="AI18" s="863">
        <v>0</v>
      </c>
      <c r="AJ18" s="868">
        <v>0</v>
      </c>
      <c r="AK18" s="370"/>
      <c r="AL18" s="369"/>
    </row>
    <row r="19" spans="1:38" ht="70" customHeight="1">
      <c r="A19" s="941"/>
      <c r="B19" s="624">
        <v>5</v>
      </c>
      <c r="C19" s="641" t="s">
        <v>579</v>
      </c>
      <c r="D19" s="641" t="s">
        <v>840</v>
      </c>
      <c r="E19" s="665">
        <v>36</v>
      </c>
      <c r="F19" s="627">
        <v>133</v>
      </c>
      <c r="G19" s="666">
        <v>1</v>
      </c>
      <c r="H19" s="667">
        <v>23040</v>
      </c>
      <c r="I19" s="668">
        <v>1.7323308270676692E-2</v>
      </c>
      <c r="J19" s="669">
        <v>9</v>
      </c>
      <c r="K19" s="670">
        <v>210394</v>
      </c>
      <c r="L19" s="671">
        <v>0.15819097744360902</v>
      </c>
      <c r="M19" s="672">
        <v>1064780</v>
      </c>
      <c r="N19" s="673">
        <v>0.1975938691560698</v>
      </c>
      <c r="O19" s="674">
        <v>0</v>
      </c>
      <c r="P19" s="675" t="e">
        <v>#DIV/0!</v>
      </c>
      <c r="Q19" s="676">
        <v>7</v>
      </c>
      <c r="R19" s="677">
        <v>0.19444444444444445</v>
      </c>
      <c r="S19" s="676">
        <v>4</v>
      </c>
      <c r="T19" s="639">
        <v>0.1111111111111111</v>
      </c>
      <c r="U19" s="676">
        <v>4</v>
      </c>
      <c r="V19" s="639">
        <v>0.1111111111111111</v>
      </c>
      <c r="W19" s="789">
        <v>0</v>
      </c>
      <c r="X19" s="790" t="s">
        <v>928</v>
      </c>
      <c r="Y19" s="789">
        <v>0</v>
      </c>
      <c r="Z19" s="790" t="s">
        <v>928</v>
      </c>
      <c r="AA19" s="791">
        <v>443</v>
      </c>
      <c r="AB19" s="792">
        <v>210394</v>
      </c>
      <c r="AC19" s="793">
        <v>4.7493002257336346E-2</v>
      </c>
      <c r="AD19" s="788">
        <v>4</v>
      </c>
      <c r="AE19" s="847">
        <v>1663</v>
      </c>
      <c r="AF19" s="474">
        <v>4539472</v>
      </c>
      <c r="AG19" s="475">
        <v>0.27296885147324113</v>
      </c>
      <c r="AH19" s="856">
        <v>9</v>
      </c>
      <c r="AI19" s="863">
        <v>0</v>
      </c>
      <c r="AJ19" s="868">
        <v>2</v>
      </c>
      <c r="AK19" s="370"/>
      <c r="AL19" s="369"/>
    </row>
    <row r="20" spans="1:38" ht="70" customHeight="1">
      <c r="A20" s="941"/>
      <c r="B20" s="624">
        <v>6</v>
      </c>
      <c r="C20" s="905" t="s">
        <v>816</v>
      </c>
      <c r="D20" s="641" t="s">
        <v>823</v>
      </c>
      <c r="E20" s="665">
        <v>26</v>
      </c>
      <c r="F20" s="627">
        <v>121</v>
      </c>
      <c r="G20" s="666">
        <v>2</v>
      </c>
      <c r="H20" s="667">
        <v>18128</v>
      </c>
      <c r="I20" s="668">
        <v>1.4981818181818181E-2</v>
      </c>
      <c r="J20" s="669">
        <v>8</v>
      </c>
      <c r="K20" s="670">
        <v>141417</v>
      </c>
      <c r="L20" s="678">
        <v>0.11687355371900826</v>
      </c>
      <c r="M20" s="907"/>
      <c r="N20" s="909"/>
      <c r="O20" s="911"/>
      <c r="P20" s="913"/>
      <c r="Q20" s="676">
        <v>6</v>
      </c>
      <c r="R20" s="679">
        <v>0.23076923076923078</v>
      </c>
      <c r="S20" s="676">
        <v>3</v>
      </c>
      <c r="T20" s="680">
        <v>0.11538461538461539</v>
      </c>
      <c r="U20" s="676">
        <v>1</v>
      </c>
      <c r="V20" s="639">
        <v>3.8461538461538464E-2</v>
      </c>
      <c r="W20" s="789" t="e">
        <v>#N/A</v>
      </c>
      <c r="X20" s="790" t="s">
        <v>928</v>
      </c>
      <c r="Y20" s="789" t="e">
        <v>#N/A</v>
      </c>
      <c r="Z20" s="790" t="s">
        <v>928</v>
      </c>
      <c r="AA20" s="791">
        <v>402</v>
      </c>
      <c r="AB20" s="792">
        <v>141417</v>
      </c>
      <c r="AC20" s="793">
        <v>3.5178358208955221E-2</v>
      </c>
      <c r="AD20" s="788">
        <v>5</v>
      </c>
      <c r="AE20" s="847">
        <v>1513</v>
      </c>
      <c r="AF20" s="474">
        <v>6033269</v>
      </c>
      <c r="AG20" s="475">
        <v>0.39876199603436879</v>
      </c>
      <c r="AH20" s="856">
        <v>3</v>
      </c>
      <c r="AI20" s="866"/>
      <c r="AJ20" s="869"/>
      <c r="AK20" s="370"/>
      <c r="AL20" s="369"/>
    </row>
    <row r="21" spans="1:38" ht="70" customHeight="1">
      <c r="A21" s="941"/>
      <c r="B21" s="624">
        <v>7</v>
      </c>
      <c r="C21" s="641" t="s">
        <v>475</v>
      </c>
      <c r="D21" s="641" t="s">
        <v>657</v>
      </c>
      <c r="E21" s="665">
        <v>32</v>
      </c>
      <c r="F21" s="627">
        <v>130</v>
      </c>
      <c r="G21" s="666">
        <v>1</v>
      </c>
      <c r="H21" s="667">
        <v>61439</v>
      </c>
      <c r="I21" s="668">
        <v>4.7260769230769231E-2</v>
      </c>
      <c r="J21" s="669">
        <v>3</v>
      </c>
      <c r="K21" s="670">
        <v>149460</v>
      </c>
      <c r="L21" s="671">
        <v>0.11496923076923077</v>
      </c>
      <c r="M21" s="672">
        <v>835525</v>
      </c>
      <c r="N21" s="673">
        <v>0.17888154154573471</v>
      </c>
      <c r="O21" s="674">
        <v>0</v>
      </c>
      <c r="P21" s="675" t="e">
        <v>#DIV/0!</v>
      </c>
      <c r="Q21" s="676">
        <v>3</v>
      </c>
      <c r="R21" s="677">
        <v>9.375E-2</v>
      </c>
      <c r="S21" s="676">
        <v>2</v>
      </c>
      <c r="T21" s="639">
        <v>6.25E-2</v>
      </c>
      <c r="U21" s="676">
        <v>2</v>
      </c>
      <c r="V21" s="639">
        <v>6.25E-2</v>
      </c>
      <c r="W21" s="789">
        <v>0</v>
      </c>
      <c r="X21" s="790" t="s">
        <v>928</v>
      </c>
      <c r="Y21" s="789">
        <v>0</v>
      </c>
      <c r="Z21" s="790" t="s">
        <v>928</v>
      </c>
      <c r="AA21" s="791">
        <v>432</v>
      </c>
      <c r="AB21" s="792">
        <v>149460</v>
      </c>
      <c r="AC21" s="793">
        <v>3.4597222222222224E-2</v>
      </c>
      <c r="AD21" s="788">
        <v>6</v>
      </c>
      <c r="AE21" s="847">
        <v>1631</v>
      </c>
      <c r="AF21" s="474">
        <v>4729219</v>
      </c>
      <c r="AG21" s="475">
        <v>0.28995824647455548</v>
      </c>
      <c r="AH21" s="856">
        <v>8</v>
      </c>
      <c r="AI21" s="863">
        <v>0</v>
      </c>
      <c r="AJ21" s="868">
        <v>1</v>
      </c>
      <c r="AK21" s="370"/>
      <c r="AL21" s="369"/>
    </row>
    <row r="22" spans="1:38" ht="70" customHeight="1">
      <c r="A22" s="941"/>
      <c r="B22" s="624">
        <v>8</v>
      </c>
      <c r="C22" s="641" t="s">
        <v>7</v>
      </c>
      <c r="D22" s="641" t="s">
        <v>52</v>
      </c>
      <c r="E22" s="665">
        <v>20</v>
      </c>
      <c r="F22" s="627">
        <v>62</v>
      </c>
      <c r="G22" s="666">
        <v>0</v>
      </c>
      <c r="H22" s="667">
        <v>5000</v>
      </c>
      <c r="I22" s="668">
        <v>8.0645161290322578E-3</v>
      </c>
      <c r="J22" s="669">
        <v>2</v>
      </c>
      <c r="K22" s="670">
        <v>29409</v>
      </c>
      <c r="L22" s="671">
        <v>4.7433870967741938E-2</v>
      </c>
      <c r="M22" s="672">
        <v>946027</v>
      </c>
      <c r="N22" s="673">
        <v>3.1086850586716869E-2</v>
      </c>
      <c r="O22" s="674">
        <v>0</v>
      </c>
      <c r="P22" s="675" t="e">
        <v>#DIV/0!</v>
      </c>
      <c r="Q22" s="676">
        <v>2</v>
      </c>
      <c r="R22" s="677">
        <v>0.1</v>
      </c>
      <c r="S22" s="676">
        <v>1</v>
      </c>
      <c r="T22" s="639">
        <v>0.05</v>
      </c>
      <c r="U22" s="676">
        <v>0</v>
      </c>
      <c r="V22" s="639">
        <v>0</v>
      </c>
      <c r="W22" s="789">
        <v>0</v>
      </c>
      <c r="X22" s="790" t="s">
        <v>928</v>
      </c>
      <c r="Y22" s="789">
        <v>0</v>
      </c>
      <c r="Z22" s="790" t="s">
        <v>928</v>
      </c>
      <c r="AA22" s="791">
        <v>209</v>
      </c>
      <c r="AB22" s="792">
        <v>29409</v>
      </c>
      <c r="AC22" s="793">
        <v>1.4071291866028708E-2</v>
      </c>
      <c r="AD22" s="788">
        <v>7</v>
      </c>
      <c r="AE22" s="847">
        <v>780</v>
      </c>
      <c r="AF22" s="474">
        <v>2605746</v>
      </c>
      <c r="AG22" s="475">
        <v>0.33406999999999998</v>
      </c>
      <c r="AH22" s="856">
        <v>5</v>
      </c>
      <c r="AI22" s="863">
        <v>0</v>
      </c>
      <c r="AJ22" s="868">
        <v>1</v>
      </c>
      <c r="AK22" s="370"/>
      <c r="AL22" s="369"/>
    </row>
    <row r="23" spans="1:38" ht="70" customHeight="1">
      <c r="A23" s="941"/>
      <c r="B23" s="650">
        <v>9</v>
      </c>
      <c r="C23" s="625" t="s">
        <v>265</v>
      </c>
      <c r="D23" s="681" t="s">
        <v>80</v>
      </c>
      <c r="E23" s="665">
        <v>19</v>
      </c>
      <c r="F23" s="627">
        <v>69</v>
      </c>
      <c r="G23" s="666">
        <v>0</v>
      </c>
      <c r="H23" s="667">
        <v>0</v>
      </c>
      <c r="I23" s="668">
        <v>0</v>
      </c>
      <c r="J23" s="669">
        <v>1</v>
      </c>
      <c r="K23" s="670">
        <v>30830</v>
      </c>
      <c r="L23" s="671">
        <v>4.4681159420289857E-2</v>
      </c>
      <c r="M23" s="672">
        <v>374446</v>
      </c>
      <c r="N23" s="673">
        <v>8.2334969528316496E-2</v>
      </c>
      <c r="O23" s="674">
        <v>0</v>
      </c>
      <c r="P23" s="675" t="e">
        <v>#DIV/0!</v>
      </c>
      <c r="Q23" s="676">
        <v>1</v>
      </c>
      <c r="R23" s="677">
        <v>5.2631578947368418E-2</v>
      </c>
      <c r="S23" s="676">
        <v>1</v>
      </c>
      <c r="T23" s="639">
        <v>5.2631578947368418E-2</v>
      </c>
      <c r="U23" s="676">
        <v>1</v>
      </c>
      <c r="V23" s="680">
        <v>5.2631578947368418E-2</v>
      </c>
      <c r="W23" s="789"/>
      <c r="X23" s="790"/>
      <c r="Y23" s="789"/>
      <c r="Z23" s="790"/>
      <c r="AA23" s="791"/>
      <c r="AB23" s="792"/>
      <c r="AC23" s="793"/>
      <c r="AD23" s="788"/>
      <c r="AE23" s="847">
        <v>860</v>
      </c>
      <c r="AF23" s="474">
        <v>2611699</v>
      </c>
      <c r="AG23" s="475">
        <v>0.30368593023255813</v>
      </c>
      <c r="AH23" s="856">
        <v>7</v>
      </c>
      <c r="AI23" s="863">
        <v>0</v>
      </c>
      <c r="AJ23" s="868">
        <v>0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2232</v>
      </c>
      <c r="G24" s="686">
        <v>39</v>
      </c>
      <c r="H24" s="687">
        <v>1024380</v>
      </c>
      <c r="I24" s="688">
        <v>4.5895161290322582E-2</v>
      </c>
      <c r="J24" s="689">
        <v>199</v>
      </c>
      <c r="K24" s="690">
        <v>6787240</v>
      </c>
      <c r="L24" s="691">
        <v>0.3040878136200717</v>
      </c>
      <c r="M24" s="692">
        <v>18190531</v>
      </c>
      <c r="N24" s="693">
        <v>0.37311939931824972</v>
      </c>
      <c r="O24" s="694">
        <v>0</v>
      </c>
      <c r="P24" s="695" t="e">
        <v>#DIV/0!</v>
      </c>
      <c r="Q24" s="696">
        <v>118</v>
      </c>
      <c r="R24" s="697">
        <v>0.20102214650766609</v>
      </c>
      <c r="S24" s="696">
        <v>81</v>
      </c>
      <c r="T24" s="697">
        <v>0.13798977853492334</v>
      </c>
      <c r="U24" s="696">
        <v>57</v>
      </c>
      <c r="V24" s="697">
        <v>9.7103918228279393E-2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7392</v>
      </c>
      <c r="AB24" s="810">
        <v>6787240</v>
      </c>
      <c r="AC24" s="811">
        <v>9.1818722943722939E-2</v>
      </c>
      <c r="AD24" s="812"/>
      <c r="AE24" s="850">
        <v>27882</v>
      </c>
      <c r="AF24" s="845">
        <v>104906449</v>
      </c>
      <c r="AG24" s="403">
        <v>0.3762515206943548</v>
      </c>
      <c r="AH24" s="860"/>
      <c r="AI24" s="867">
        <v>2</v>
      </c>
      <c r="AJ24" s="872">
        <v>22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65644</v>
      </c>
      <c r="G26" s="613">
        <v>869</v>
      </c>
      <c r="H26" s="583">
        <v>18875138</v>
      </c>
      <c r="I26" s="584">
        <v>2.8753790140759246E-2</v>
      </c>
      <c r="J26" s="585">
        <v>8130</v>
      </c>
      <c r="K26" s="586">
        <v>173010446</v>
      </c>
      <c r="L26" s="587">
        <v>0.2636</v>
      </c>
      <c r="M26" s="588">
        <v>510301120</v>
      </c>
      <c r="N26" s="589">
        <v>0.33903599114185756</v>
      </c>
      <c r="O26" s="590">
        <v>0</v>
      </c>
      <c r="P26" s="591" t="e">
        <v>#DIV/0!</v>
      </c>
      <c r="Q26" s="592">
        <v>4932</v>
      </c>
      <c r="R26" s="593">
        <v>0.28899999999999998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173010446</v>
      </c>
      <c r="AC26" s="818">
        <v>7.9565518478320857E-2</v>
      </c>
      <c r="AD26" s="819"/>
      <c r="AE26" s="820">
        <v>820544</v>
      </c>
      <c r="AF26" s="377">
        <v>3038393785</v>
      </c>
      <c r="AG26" s="378">
        <v>0.3702901715203572</v>
      </c>
      <c r="AH26" s="379"/>
      <c r="AI26" s="855"/>
      <c r="AJ26" s="855"/>
      <c r="AL26" s="381"/>
    </row>
    <row r="27" spans="1:38" ht="49.25" customHeight="1" thickTop="1">
      <c r="C27" s="491" t="s">
        <v>837</v>
      </c>
      <c r="E27" s="466">
        <v>88</v>
      </c>
      <c r="F27" s="465">
        <v>449</v>
      </c>
      <c r="G27" s="494">
        <v>5</v>
      </c>
      <c r="H27" s="467">
        <v>44587</v>
      </c>
      <c r="I27" s="495">
        <v>9.9302895322939868E-3</v>
      </c>
      <c r="J27" s="493">
        <v>44</v>
      </c>
      <c r="K27" s="468">
        <v>1685335</v>
      </c>
      <c r="L27" s="492">
        <v>0.3753530066815145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25</v>
      </c>
      <c r="R27" s="472">
        <v>0.28409090909090912</v>
      </c>
      <c r="S27" s="471">
        <v>16</v>
      </c>
      <c r="T27" s="469">
        <v>0.18181818181818182</v>
      </c>
      <c r="U27" s="471">
        <v>10</v>
      </c>
      <c r="V27" s="470">
        <v>0.11363636363636363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1489</v>
      </c>
      <c r="AB27" s="474">
        <v>1685335</v>
      </c>
      <c r="AC27" s="475">
        <v>0.11318569509738079</v>
      </c>
      <c r="AD27" s="473"/>
    </row>
    <row r="28" spans="1:38" ht="57" customHeight="1">
      <c r="G28" s="476" t="s">
        <v>842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896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897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E11" sqref="E11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9" t="s">
        <v>921</v>
      </c>
      <c r="C1" s="949"/>
      <c r="D1" s="949"/>
      <c r="E1" s="949"/>
      <c r="F1" s="949"/>
      <c r="G1" s="949"/>
      <c r="H1" s="949"/>
      <c r="I1" s="949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854</v>
      </c>
      <c r="L2" s="425"/>
      <c r="M2" s="401" t="s">
        <v>875</v>
      </c>
      <c r="N2" s="291"/>
      <c r="O2" s="51"/>
      <c r="P2" s="51"/>
      <c r="Q2" s="51"/>
    </row>
    <row r="3" spans="2:17" ht="19.5" customHeight="1" thickBot="1">
      <c r="B3" s="950"/>
      <c r="C3" s="950"/>
      <c r="D3" s="4"/>
      <c r="E3" s="951" t="s">
        <v>11</v>
      </c>
      <c r="F3" s="952"/>
      <c r="G3" s="953" t="s">
        <v>286</v>
      </c>
      <c r="H3" s="954"/>
      <c r="I3" s="348" t="s">
        <v>905</v>
      </c>
      <c r="J3" s="877" t="s">
        <v>906</v>
      </c>
      <c r="K3" s="879" t="s">
        <v>907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0</v>
      </c>
      <c r="F9" s="9">
        <v>0</v>
      </c>
      <c r="G9" s="8">
        <v>1</v>
      </c>
      <c r="H9" s="10">
        <v>23331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0</v>
      </c>
      <c r="F11" s="16">
        <v>0</v>
      </c>
      <c r="G11" s="15">
        <v>1</v>
      </c>
      <c r="H11" s="17">
        <v>23331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5000</v>
      </c>
      <c r="G12" s="8">
        <v>0</v>
      </c>
      <c r="H12" s="10">
        <v>5000</v>
      </c>
      <c r="I12" s="310">
        <v>0</v>
      </c>
      <c r="J12" s="405">
        <v>0</v>
      </c>
      <c r="K12" s="409">
        <v>0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5000</v>
      </c>
      <c r="G15" s="15">
        <v>0</v>
      </c>
      <c r="H15" s="17">
        <v>5000</v>
      </c>
      <c r="I15" s="311">
        <v>0</v>
      </c>
      <c r="J15" s="312">
        <v>0</v>
      </c>
      <c r="K15" s="410">
        <v>0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0">
        <v>0</v>
      </c>
      <c r="J16" s="405">
        <v>0</v>
      </c>
      <c r="K16" s="409">
        <v>0</v>
      </c>
      <c r="L16" s="426"/>
    </row>
    <row r="17" spans="2:13" ht="18.25" customHeight="1" outlineLevel="2">
      <c r="B17" s="5" t="s">
        <v>7</v>
      </c>
      <c r="C17" s="6" t="s">
        <v>784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1">
        <v>0</v>
      </c>
      <c r="J19" s="312">
        <v>0</v>
      </c>
      <c r="K19" s="410">
        <v>0</v>
      </c>
      <c r="L19" s="427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0</v>
      </c>
      <c r="F23" s="9">
        <v>0</v>
      </c>
      <c r="G23" s="8">
        <v>1</v>
      </c>
      <c r="H23" s="10">
        <v>1078</v>
      </c>
      <c r="I23" s="310">
        <v>1</v>
      </c>
      <c r="J23" s="405">
        <v>0</v>
      </c>
      <c r="K23" s="409">
        <v>0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0</v>
      </c>
      <c r="F25" s="16">
        <v>0</v>
      </c>
      <c r="G25" s="21">
        <v>1</v>
      </c>
      <c r="H25" s="17">
        <v>1078</v>
      </c>
      <c r="I25" s="311">
        <v>1</v>
      </c>
      <c r="J25" s="312">
        <v>0</v>
      </c>
      <c r="K25" s="410">
        <v>0</v>
      </c>
      <c r="L25" s="427">
        <v>0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0</v>
      </c>
      <c r="H28" s="17">
        <v>0</v>
      </c>
      <c r="I28" s="311">
        <v>0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0</v>
      </c>
      <c r="H29" s="10">
        <v>0</v>
      </c>
      <c r="I29" s="310">
        <v>0</v>
      </c>
      <c r="J29" s="405">
        <v>0</v>
      </c>
      <c r="K29" s="409">
        <v>0</v>
      </c>
      <c r="L29" s="426"/>
    </row>
    <row r="30" spans="2:13" ht="18.25" customHeight="1" outlineLevel="2">
      <c r="B30" s="5" t="s">
        <v>7</v>
      </c>
      <c r="C30" s="6" t="s">
        <v>911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0</v>
      </c>
      <c r="H32" s="17">
        <v>0</v>
      </c>
      <c r="I32" s="311">
        <v>0</v>
      </c>
      <c r="J32" s="312">
        <v>0</v>
      </c>
      <c r="K32" s="410">
        <v>0</v>
      </c>
      <c r="L32" s="427">
        <v>0</v>
      </c>
      <c r="M32" s="1" t="s">
        <v>168</v>
      </c>
    </row>
    <row r="33" spans="1:14" s="149" customFormat="1" ht="18.25" customHeight="1">
      <c r="A33" s="569" t="s">
        <v>824</v>
      </c>
      <c r="B33" s="947" t="s">
        <v>7</v>
      </c>
      <c r="C33" s="948"/>
      <c r="D33" s="145">
        <v>20</v>
      </c>
      <c r="E33" s="150">
        <v>0</v>
      </c>
      <c r="F33" s="151">
        <v>5000</v>
      </c>
      <c r="G33" s="146">
        <v>2</v>
      </c>
      <c r="H33" s="152">
        <v>29409</v>
      </c>
      <c r="I33" s="314">
        <v>2</v>
      </c>
      <c r="J33" s="315">
        <v>1</v>
      </c>
      <c r="K33" s="411">
        <v>0</v>
      </c>
      <c r="L33" s="428">
        <v>0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1</v>
      </c>
      <c r="H34" s="10">
        <v>20355</v>
      </c>
      <c r="I34" s="310">
        <v>1</v>
      </c>
      <c r="J34" s="405">
        <v>1</v>
      </c>
      <c r="K34" s="409">
        <v>0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0</v>
      </c>
      <c r="F36" s="16">
        <v>0</v>
      </c>
      <c r="G36" s="15">
        <v>1</v>
      </c>
      <c r="H36" s="17">
        <v>20355</v>
      </c>
      <c r="I36" s="311">
        <v>1</v>
      </c>
      <c r="J36" s="312">
        <v>1</v>
      </c>
      <c r="K36" s="410">
        <v>0</v>
      </c>
      <c r="L36" s="427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912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1:14" ht="18.25" customHeight="1" outlineLevel="2">
      <c r="B38" s="5" t="s">
        <v>300</v>
      </c>
      <c r="C38" s="6" t="s">
        <v>851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0</v>
      </c>
      <c r="H39" s="17">
        <v>0</v>
      </c>
      <c r="I39" s="311">
        <v>0</v>
      </c>
      <c r="J39" s="312">
        <v>0</v>
      </c>
      <c r="K39" s="410">
        <v>0</v>
      </c>
      <c r="L39" s="427">
        <v>0</v>
      </c>
      <c r="M39" s="1" t="s">
        <v>168</v>
      </c>
    </row>
    <row r="40" spans="1:14" ht="18.25" customHeight="1" outlineLevel="2">
      <c r="B40" s="5" t="s">
        <v>300</v>
      </c>
      <c r="C40" s="878" t="s">
        <v>902</v>
      </c>
      <c r="D40" s="45"/>
      <c r="E40" s="8">
        <v>1</v>
      </c>
      <c r="F40" s="9">
        <v>8252</v>
      </c>
      <c r="G40" s="8">
        <v>1</v>
      </c>
      <c r="H40" s="10">
        <v>8252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903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1</v>
      </c>
      <c r="F42" s="16">
        <v>8252</v>
      </c>
      <c r="G42" s="15">
        <v>1</v>
      </c>
      <c r="H42" s="17">
        <v>8252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1">
        <v>0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0</v>
      </c>
      <c r="H51" s="64">
        <v>0</v>
      </c>
      <c r="I51" s="316">
        <v>0</v>
      </c>
      <c r="J51" s="317">
        <v>0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808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0</v>
      </c>
      <c r="F55" s="62">
        <v>0</v>
      </c>
      <c r="G55" s="66">
        <v>0</v>
      </c>
      <c r="H55" s="64">
        <v>0</v>
      </c>
      <c r="I55" s="316">
        <v>0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0</v>
      </c>
      <c r="H56" s="10">
        <v>0</v>
      </c>
      <c r="I56" s="310">
        <v>0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909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0</v>
      </c>
      <c r="F58" s="62">
        <v>0</v>
      </c>
      <c r="G58" s="66">
        <v>0</v>
      </c>
      <c r="H58" s="64">
        <v>0</v>
      </c>
      <c r="I58" s="316">
        <v>0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ht="18.25" customHeight="1" outlineLevel="2">
      <c r="B60" s="5" t="s">
        <v>300</v>
      </c>
      <c r="C60" s="6" t="s">
        <v>777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572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316">
        <v>0</v>
      </c>
      <c r="J61" s="317">
        <v>0</v>
      </c>
      <c r="K61" s="412">
        <v>0</v>
      </c>
      <c r="L61" s="429">
        <v>0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0">
        <v>0</v>
      </c>
      <c r="J62" s="405">
        <v>0</v>
      </c>
      <c r="K62" s="409">
        <v>0</v>
      </c>
      <c r="L62" s="426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687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6">
        <v>0</v>
      </c>
      <c r="J64" s="317">
        <v>0</v>
      </c>
      <c r="K64" s="412">
        <v>0</v>
      </c>
      <c r="L64" s="429">
        <v>0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ht="18.25" customHeight="1" outlineLevel="2">
      <c r="B66" s="5" t="s">
        <v>300</v>
      </c>
      <c r="C66" s="6" t="s">
        <v>923</v>
      </c>
      <c r="D66" s="7" t="s">
        <v>16</v>
      </c>
      <c r="E66" s="8">
        <v>0</v>
      </c>
      <c r="F66" s="9">
        <v>0</v>
      </c>
      <c r="G66" s="8">
        <v>1</v>
      </c>
      <c r="H66" s="10">
        <v>20645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3</v>
      </c>
      <c r="E68" s="62">
        <v>0</v>
      </c>
      <c r="F68" s="62">
        <v>0</v>
      </c>
      <c r="G68" s="66">
        <v>1</v>
      </c>
      <c r="H68" s="64">
        <v>20645</v>
      </c>
      <c r="I68" s="316">
        <v>1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61253</v>
      </c>
      <c r="I69" s="310">
        <v>1</v>
      </c>
      <c r="J69" s="405">
        <v>1</v>
      </c>
      <c r="K69" s="409">
        <v>1</v>
      </c>
      <c r="L69" s="426"/>
    </row>
    <row r="70" spans="1:14" ht="18.25" customHeight="1" outlineLevel="2">
      <c r="B70" s="5" t="s">
        <v>300</v>
      </c>
      <c r="C70" s="6" t="s">
        <v>797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61253</v>
      </c>
      <c r="I71" s="316">
        <v>1</v>
      </c>
      <c r="J71" s="317">
        <v>1</v>
      </c>
      <c r="K71" s="412">
        <v>1</v>
      </c>
      <c r="L71" s="429">
        <v>1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6">
        <v>0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789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10">
        <v>0</v>
      </c>
      <c r="J78" s="405">
        <v>0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1</v>
      </c>
      <c r="H79" s="10">
        <v>1220</v>
      </c>
      <c r="I79" s="310">
        <v>1</v>
      </c>
      <c r="J79" s="405">
        <v>0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0">
        <v>0</v>
      </c>
      <c r="J80" s="405">
        <v>0</v>
      </c>
      <c r="K80" s="409">
        <v>0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1</v>
      </c>
      <c r="H81" s="64">
        <v>1220</v>
      </c>
      <c r="I81" s="316">
        <v>1</v>
      </c>
      <c r="J81" s="317">
        <v>0</v>
      </c>
      <c r="K81" s="412">
        <v>0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868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0">
        <v>0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0">
        <v>0</v>
      </c>
      <c r="J86" s="405">
        <v>0</v>
      </c>
      <c r="K86" s="409">
        <v>0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6">
        <v>0</v>
      </c>
      <c r="J87" s="317">
        <v>0</v>
      </c>
      <c r="K87" s="412">
        <v>0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6">
        <v>0</v>
      </c>
      <c r="J90" s="317">
        <v>0</v>
      </c>
      <c r="K90" s="412">
        <v>0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2</v>
      </c>
      <c r="F91" s="9">
        <v>174866</v>
      </c>
      <c r="G91" s="8">
        <v>2</v>
      </c>
      <c r="H91" s="10">
        <v>174866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896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2</v>
      </c>
      <c r="F94" s="63">
        <v>174866</v>
      </c>
      <c r="G94" s="62">
        <v>2</v>
      </c>
      <c r="H94" s="64">
        <v>174866</v>
      </c>
      <c r="I94" s="316">
        <v>1</v>
      </c>
      <c r="J94" s="317">
        <v>1</v>
      </c>
      <c r="K94" s="412">
        <v>1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891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825</v>
      </c>
      <c r="B97" s="947" t="s">
        <v>302</v>
      </c>
      <c r="C97" s="948"/>
      <c r="D97" s="145">
        <v>41</v>
      </c>
      <c r="E97" s="146">
        <v>3</v>
      </c>
      <c r="F97" s="147">
        <v>183118</v>
      </c>
      <c r="G97" s="146">
        <v>7</v>
      </c>
      <c r="H97" s="148">
        <v>286591</v>
      </c>
      <c r="I97" s="314">
        <v>5</v>
      </c>
      <c r="J97" s="315">
        <v>4</v>
      </c>
      <c r="K97" s="411">
        <v>3</v>
      </c>
      <c r="L97" s="428">
        <v>1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862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862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862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862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0">
        <v>0</v>
      </c>
      <c r="J102" s="405">
        <v>0</v>
      </c>
      <c r="K102" s="409">
        <v>0</v>
      </c>
      <c r="L102" s="780" t="s">
        <v>862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1">
        <v>0</v>
      </c>
      <c r="J103" s="312">
        <v>0</v>
      </c>
      <c r="K103" s="410">
        <v>0</v>
      </c>
      <c r="L103" s="780" t="s">
        <v>862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0</v>
      </c>
      <c r="H104" s="10">
        <v>0</v>
      </c>
      <c r="I104" s="310">
        <v>0</v>
      </c>
      <c r="J104" s="405">
        <v>0</v>
      </c>
      <c r="K104" s="409">
        <v>0</v>
      </c>
      <c r="L104" s="780" t="s">
        <v>862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1">
        <v>0</v>
      </c>
      <c r="J105" s="312">
        <v>0</v>
      </c>
      <c r="K105" s="410">
        <v>0</v>
      </c>
      <c r="L105" s="780" t="s">
        <v>862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1</v>
      </c>
      <c r="H106" s="10">
        <v>18000</v>
      </c>
      <c r="I106" s="310">
        <v>1</v>
      </c>
      <c r="J106" s="405">
        <v>0</v>
      </c>
      <c r="K106" s="409">
        <v>0</v>
      </c>
      <c r="L106" s="780" t="s">
        <v>862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1</v>
      </c>
      <c r="H107" s="21">
        <v>18000</v>
      </c>
      <c r="I107" s="311">
        <v>1</v>
      </c>
      <c r="J107" s="312">
        <v>0</v>
      </c>
      <c r="K107" s="410">
        <v>0</v>
      </c>
      <c r="L107" s="780" t="s">
        <v>862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862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2</v>
      </c>
      <c r="H109" s="10">
        <v>19192</v>
      </c>
      <c r="I109" s="310">
        <v>1</v>
      </c>
      <c r="J109" s="405">
        <v>1</v>
      </c>
      <c r="K109" s="409">
        <v>0</v>
      </c>
      <c r="L109" s="780" t="s">
        <v>862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2</v>
      </c>
      <c r="H110" s="17">
        <v>19192</v>
      </c>
      <c r="I110" s="311">
        <v>1</v>
      </c>
      <c r="J110" s="312">
        <v>1</v>
      </c>
      <c r="K110" s="410">
        <v>0</v>
      </c>
      <c r="L110" s="780" t="s">
        <v>862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33091</v>
      </c>
      <c r="I111" s="310">
        <v>1</v>
      </c>
      <c r="J111" s="405">
        <v>1</v>
      </c>
      <c r="K111" s="409">
        <v>1</v>
      </c>
      <c r="L111" s="780" t="s">
        <v>862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862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862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33091</v>
      </c>
      <c r="I114" s="311">
        <v>1</v>
      </c>
      <c r="J114" s="312">
        <v>1</v>
      </c>
      <c r="K114" s="410">
        <v>1</v>
      </c>
      <c r="L114" s="780" t="s">
        <v>862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862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0</v>
      </c>
      <c r="F116" s="9">
        <v>0</v>
      </c>
      <c r="G116" s="8">
        <v>1</v>
      </c>
      <c r="H116" s="10">
        <v>1902</v>
      </c>
      <c r="I116" s="310">
        <v>1</v>
      </c>
      <c r="J116" s="405">
        <v>0</v>
      </c>
      <c r="K116" s="409">
        <v>0</v>
      </c>
      <c r="L116" s="780" t="s">
        <v>862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0</v>
      </c>
      <c r="F117" s="16">
        <v>0</v>
      </c>
      <c r="G117" s="15">
        <v>1</v>
      </c>
      <c r="H117" s="17">
        <v>1902</v>
      </c>
      <c r="I117" s="311">
        <v>1</v>
      </c>
      <c r="J117" s="312">
        <v>0</v>
      </c>
      <c r="K117" s="410">
        <v>0</v>
      </c>
      <c r="L117" s="780" t="s">
        <v>862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27220</v>
      </c>
      <c r="I118" s="310">
        <v>1</v>
      </c>
      <c r="J118" s="405">
        <v>1</v>
      </c>
      <c r="K118" s="409">
        <v>1</v>
      </c>
      <c r="L118" s="780" t="s">
        <v>862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10951</v>
      </c>
      <c r="I119" s="310">
        <v>1</v>
      </c>
      <c r="J119" s="405">
        <v>1</v>
      </c>
      <c r="K119" s="409">
        <v>0</v>
      </c>
      <c r="L119" s="780" t="s">
        <v>862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862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2</v>
      </c>
      <c r="H121" s="64">
        <v>38171</v>
      </c>
      <c r="I121" s="316">
        <v>2</v>
      </c>
      <c r="J121" s="317">
        <v>2</v>
      </c>
      <c r="K121" s="412">
        <v>1</v>
      </c>
      <c r="L121" s="780" t="s">
        <v>862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862</v>
      </c>
    </row>
    <row r="123" spans="1:17" ht="18.25" customHeight="1" outlineLevel="3">
      <c r="A123" s="778"/>
      <c r="B123" s="5" t="s">
        <v>184</v>
      </c>
      <c r="C123" s="539" t="s">
        <v>806</v>
      </c>
      <c r="D123" s="23" t="s">
        <v>16</v>
      </c>
      <c r="E123" s="8">
        <v>0</v>
      </c>
      <c r="F123" s="9">
        <v>0</v>
      </c>
      <c r="G123" s="8">
        <v>1</v>
      </c>
      <c r="H123" s="10">
        <v>0</v>
      </c>
      <c r="I123" s="310">
        <v>1</v>
      </c>
      <c r="J123" s="405">
        <v>0</v>
      </c>
      <c r="K123" s="409">
        <v>0</v>
      </c>
      <c r="L123" s="780" t="s">
        <v>862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1</v>
      </c>
      <c r="F124" s="9">
        <v>50</v>
      </c>
      <c r="G124" s="8">
        <v>4</v>
      </c>
      <c r="H124" s="10">
        <v>492875</v>
      </c>
      <c r="I124" s="310">
        <v>1</v>
      </c>
      <c r="J124" s="405">
        <v>1</v>
      </c>
      <c r="K124" s="409">
        <v>1</v>
      </c>
      <c r="L124" s="780" t="s">
        <v>862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10">
        <v>0</v>
      </c>
      <c r="J125" s="405">
        <v>0</v>
      </c>
      <c r="K125" s="409">
        <v>0</v>
      </c>
      <c r="L125" s="780" t="s">
        <v>862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1</v>
      </c>
      <c r="F126" s="16">
        <v>50</v>
      </c>
      <c r="G126" s="15">
        <v>5</v>
      </c>
      <c r="H126" s="17">
        <v>492875</v>
      </c>
      <c r="I126" s="311">
        <v>2</v>
      </c>
      <c r="J126" s="312">
        <v>1</v>
      </c>
      <c r="K126" s="410">
        <v>1</v>
      </c>
      <c r="L126" s="780" t="s">
        <v>862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0</v>
      </c>
      <c r="F127" s="9">
        <v>0</v>
      </c>
      <c r="G127" s="8">
        <v>1</v>
      </c>
      <c r="H127" s="10">
        <v>12500</v>
      </c>
      <c r="I127" s="310">
        <v>1</v>
      </c>
      <c r="J127" s="405">
        <v>0</v>
      </c>
      <c r="K127" s="409">
        <v>0</v>
      </c>
      <c r="L127" s="780" t="s">
        <v>862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0</v>
      </c>
      <c r="F128" s="16">
        <v>0</v>
      </c>
      <c r="G128" s="15">
        <v>1</v>
      </c>
      <c r="H128" s="17">
        <v>12500</v>
      </c>
      <c r="I128" s="311">
        <v>1</v>
      </c>
      <c r="J128" s="312">
        <v>0</v>
      </c>
      <c r="K128" s="410">
        <v>0</v>
      </c>
      <c r="L128" s="780" t="s">
        <v>862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862</v>
      </c>
    </row>
    <row r="130" spans="1:17" ht="18.25" customHeight="1" outlineLevel="3">
      <c r="A130" s="778"/>
      <c r="B130" s="5" t="s">
        <v>184</v>
      </c>
      <c r="C130" s="539" t="s">
        <v>849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862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1">
        <v>0</v>
      </c>
      <c r="J131" s="312">
        <v>0</v>
      </c>
      <c r="K131" s="410">
        <v>0</v>
      </c>
      <c r="L131" s="780" t="s">
        <v>862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862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862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862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862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1">
        <v>0</v>
      </c>
      <c r="J136" s="312">
        <v>0</v>
      </c>
      <c r="K136" s="410">
        <v>0</v>
      </c>
      <c r="L136" s="780" t="s">
        <v>862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11637</v>
      </c>
      <c r="I137" s="310">
        <v>1</v>
      </c>
      <c r="J137" s="405">
        <v>0</v>
      </c>
      <c r="K137" s="409">
        <v>0</v>
      </c>
      <c r="L137" s="780" t="s">
        <v>862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11637</v>
      </c>
      <c r="I138" s="311">
        <v>1</v>
      </c>
      <c r="J138" s="312">
        <v>0</v>
      </c>
      <c r="K138" s="410">
        <v>0</v>
      </c>
      <c r="L138" s="780" t="s">
        <v>862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862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862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0</v>
      </c>
      <c r="H141" s="10">
        <v>19200</v>
      </c>
      <c r="I141" s="310">
        <v>0</v>
      </c>
      <c r="J141" s="405">
        <v>1</v>
      </c>
      <c r="K141" s="409">
        <v>0</v>
      </c>
      <c r="L141" s="780" t="s">
        <v>862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0</v>
      </c>
      <c r="F142" s="16">
        <v>0</v>
      </c>
      <c r="G142" s="15">
        <v>0</v>
      </c>
      <c r="H142" s="17">
        <v>19200</v>
      </c>
      <c r="I142" s="311">
        <v>0</v>
      </c>
      <c r="J142" s="312">
        <v>1</v>
      </c>
      <c r="K142" s="410">
        <v>0</v>
      </c>
      <c r="L142" s="780" t="s">
        <v>862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862</v>
      </c>
      <c r="B143" s="545" t="s">
        <v>815</v>
      </c>
      <c r="C143" s="546" t="s">
        <v>74</v>
      </c>
      <c r="D143" s="547">
        <v>30</v>
      </c>
      <c r="E143" s="548">
        <v>1</v>
      </c>
      <c r="F143" s="549">
        <v>50</v>
      </c>
      <c r="G143" s="548">
        <v>15</v>
      </c>
      <c r="H143" s="550">
        <v>646568</v>
      </c>
      <c r="I143" s="551">
        <v>10</v>
      </c>
      <c r="J143" s="552">
        <v>6</v>
      </c>
      <c r="K143" s="553">
        <v>3</v>
      </c>
      <c r="L143" s="780" t="s">
        <v>862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1</v>
      </c>
      <c r="H144" s="10">
        <v>1650</v>
      </c>
      <c r="I144" s="310">
        <v>1</v>
      </c>
      <c r="J144" s="405">
        <v>0</v>
      </c>
      <c r="K144" s="409">
        <v>0</v>
      </c>
      <c r="L144" s="781" t="s">
        <v>863</v>
      </c>
    </row>
    <row r="145" spans="1:17" ht="18.25" customHeight="1" outlineLevel="3">
      <c r="A145" s="778"/>
      <c r="B145" s="5" t="s">
        <v>6</v>
      </c>
      <c r="C145" s="543" t="s">
        <v>866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836</v>
      </c>
    </row>
    <row r="146" spans="1:17" ht="18.25" customHeight="1" outlineLevel="3">
      <c r="A146" s="778"/>
      <c r="B146" s="5" t="s">
        <v>6</v>
      </c>
      <c r="C146" s="543" t="s">
        <v>785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863</v>
      </c>
    </row>
    <row r="147" spans="1:17" ht="18.25" customHeight="1" outlineLevel="3">
      <c r="A147" s="778"/>
      <c r="B147" s="5" t="s">
        <v>6</v>
      </c>
      <c r="C147" s="543" t="s">
        <v>756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863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1</v>
      </c>
      <c r="F148" s="9">
        <v>9248</v>
      </c>
      <c r="G148" s="8">
        <v>1</v>
      </c>
      <c r="H148" s="10">
        <v>9248</v>
      </c>
      <c r="I148" s="310">
        <v>1</v>
      </c>
      <c r="J148" s="405">
        <v>0</v>
      </c>
      <c r="K148" s="409">
        <v>0</v>
      </c>
      <c r="L148" s="781" t="s">
        <v>863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1</v>
      </c>
      <c r="F149" s="63">
        <v>9248</v>
      </c>
      <c r="G149" s="62">
        <v>2</v>
      </c>
      <c r="H149" s="64">
        <v>10898</v>
      </c>
      <c r="I149" s="316">
        <v>2</v>
      </c>
      <c r="J149" s="317">
        <v>0</v>
      </c>
      <c r="K149" s="412">
        <v>0</v>
      </c>
      <c r="L149" s="781" t="s">
        <v>863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863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863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863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863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863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6">
        <v>0</v>
      </c>
      <c r="J155" s="406">
        <v>0</v>
      </c>
      <c r="K155" s="413">
        <v>0</v>
      </c>
      <c r="L155" s="781" t="s">
        <v>863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863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863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863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7200</v>
      </c>
      <c r="I159" s="310">
        <v>1</v>
      </c>
      <c r="J159" s="405">
        <v>0</v>
      </c>
      <c r="K159" s="409">
        <v>0</v>
      </c>
      <c r="L159" s="781" t="s">
        <v>863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7200</v>
      </c>
      <c r="I160" s="311">
        <v>1</v>
      </c>
      <c r="J160" s="312">
        <v>0</v>
      </c>
      <c r="K160" s="410">
        <v>0</v>
      </c>
      <c r="L160" s="781" t="s">
        <v>863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863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889</v>
      </c>
      <c r="D162" s="7" t="s">
        <v>16</v>
      </c>
      <c r="E162" s="8">
        <v>0</v>
      </c>
      <c r="F162" s="9">
        <v>0</v>
      </c>
      <c r="G162" s="8">
        <v>1</v>
      </c>
      <c r="H162" s="10">
        <v>85828</v>
      </c>
      <c r="I162" s="310">
        <v>1</v>
      </c>
      <c r="J162" s="405">
        <v>1</v>
      </c>
      <c r="K162" s="409">
        <v>1</v>
      </c>
      <c r="L162" s="781" t="s">
        <v>863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1</v>
      </c>
      <c r="H163" s="17">
        <v>85828</v>
      </c>
      <c r="I163" s="311">
        <v>1</v>
      </c>
      <c r="J163" s="312">
        <v>1</v>
      </c>
      <c r="K163" s="410">
        <v>1</v>
      </c>
      <c r="L163" s="781" t="s">
        <v>863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782</v>
      </c>
      <c r="D164" s="7" t="s">
        <v>304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863</v>
      </c>
    </row>
    <row r="165" spans="1:17" ht="18.25" customHeight="1" outlineLevel="2">
      <c r="A165" s="778"/>
      <c r="B165" s="12" t="s">
        <v>6</v>
      </c>
      <c r="C165" s="13" t="s">
        <v>782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1">
        <v>0</v>
      </c>
      <c r="J165" s="312">
        <v>0</v>
      </c>
      <c r="K165" s="410">
        <v>0</v>
      </c>
      <c r="L165" s="781" t="s">
        <v>863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863</v>
      </c>
    </row>
    <row r="167" spans="1:17" ht="18.25" customHeight="1" outlineLevel="3">
      <c r="A167" s="778"/>
      <c r="B167" s="5" t="s">
        <v>6</v>
      </c>
      <c r="C167" s="542" t="s">
        <v>800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863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863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863</v>
      </c>
    </row>
    <row r="170" spans="1:17" ht="18.25" customHeight="1" outlineLevel="3">
      <c r="A170" s="778"/>
      <c r="B170" s="5" t="s">
        <v>6</v>
      </c>
      <c r="C170" s="542" t="s">
        <v>853</v>
      </c>
      <c r="D170" s="7" t="s">
        <v>16</v>
      </c>
      <c r="E170" s="8">
        <v>1</v>
      </c>
      <c r="F170" s="9">
        <v>8880</v>
      </c>
      <c r="G170" s="8">
        <v>3</v>
      </c>
      <c r="H170" s="10">
        <v>22934</v>
      </c>
      <c r="I170" s="310">
        <v>1</v>
      </c>
      <c r="J170" s="405">
        <v>1</v>
      </c>
      <c r="K170" s="409">
        <v>0</v>
      </c>
      <c r="L170" s="781" t="s">
        <v>863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1</v>
      </c>
      <c r="F171" s="63">
        <v>8880</v>
      </c>
      <c r="G171" s="62">
        <v>3</v>
      </c>
      <c r="H171" s="64">
        <v>22934</v>
      </c>
      <c r="I171" s="316">
        <v>1</v>
      </c>
      <c r="J171" s="317">
        <v>1</v>
      </c>
      <c r="K171" s="412">
        <v>0</v>
      </c>
      <c r="L171" s="781" t="s">
        <v>863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863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1</v>
      </c>
      <c r="H173" s="10">
        <v>14557</v>
      </c>
      <c r="I173" s="310">
        <v>1</v>
      </c>
      <c r="J173" s="405">
        <v>1</v>
      </c>
      <c r="K173" s="409">
        <v>0</v>
      </c>
      <c r="L173" s="781" t="s">
        <v>863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863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1</v>
      </c>
      <c r="H175" s="64">
        <v>14557</v>
      </c>
      <c r="I175" s="316">
        <v>1</v>
      </c>
      <c r="J175" s="317">
        <v>1</v>
      </c>
      <c r="K175" s="412">
        <v>0</v>
      </c>
      <c r="L175" s="781" t="s">
        <v>863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863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863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6">
        <v>0</v>
      </c>
      <c r="J178" s="317">
        <v>0</v>
      </c>
      <c r="K178" s="412">
        <v>0</v>
      </c>
      <c r="L178" s="781" t="s">
        <v>863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863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1" t="s">
        <v>863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1">
        <v>0</v>
      </c>
      <c r="J181" s="312">
        <v>0</v>
      </c>
      <c r="K181" s="410">
        <v>0</v>
      </c>
      <c r="L181" s="781" t="s">
        <v>863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836</v>
      </c>
      <c r="B182" s="545" t="s">
        <v>816</v>
      </c>
      <c r="C182" s="546" t="s">
        <v>115</v>
      </c>
      <c r="D182" s="547">
        <v>26</v>
      </c>
      <c r="E182" s="548">
        <v>2</v>
      </c>
      <c r="F182" s="549">
        <v>18128</v>
      </c>
      <c r="G182" s="548">
        <v>8</v>
      </c>
      <c r="H182" s="550">
        <v>141417</v>
      </c>
      <c r="I182" s="551">
        <v>6</v>
      </c>
      <c r="J182" s="552">
        <v>3</v>
      </c>
      <c r="K182" s="553">
        <v>1</v>
      </c>
      <c r="L182" s="781" t="s">
        <v>863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2</v>
      </c>
      <c r="H183" s="10">
        <v>96331</v>
      </c>
      <c r="I183" s="310">
        <v>1</v>
      </c>
      <c r="J183" s="405">
        <v>1</v>
      </c>
      <c r="K183" s="409">
        <v>1</v>
      </c>
      <c r="L183" s="782" t="s">
        <v>864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864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2</v>
      </c>
      <c r="H185" s="17">
        <v>96331</v>
      </c>
      <c r="I185" s="311">
        <v>1</v>
      </c>
      <c r="J185" s="312">
        <v>1</v>
      </c>
      <c r="K185" s="410">
        <v>1</v>
      </c>
      <c r="L185" s="782" t="s">
        <v>864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899</v>
      </c>
      <c r="D186" s="7" t="s">
        <v>492</v>
      </c>
      <c r="E186" s="8">
        <v>0</v>
      </c>
      <c r="F186" s="9">
        <v>0</v>
      </c>
      <c r="G186" s="8">
        <v>2</v>
      </c>
      <c r="H186" s="10">
        <v>30238</v>
      </c>
      <c r="I186" s="310">
        <v>1</v>
      </c>
      <c r="J186" s="405">
        <v>1</v>
      </c>
      <c r="K186" s="409">
        <v>1</v>
      </c>
      <c r="L186" s="782" t="s">
        <v>835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899</v>
      </c>
      <c r="D187" s="14">
        <v>1</v>
      </c>
      <c r="E187" s="15">
        <v>0</v>
      </c>
      <c r="F187" s="16">
        <v>0</v>
      </c>
      <c r="G187" s="15">
        <v>2</v>
      </c>
      <c r="H187" s="17">
        <v>30238</v>
      </c>
      <c r="I187" s="311">
        <v>1</v>
      </c>
      <c r="J187" s="312">
        <v>1</v>
      </c>
      <c r="K187" s="410">
        <v>1</v>
      </c>
      <c r="L187" s="782" t="s">
        <v>835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864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864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864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904</v>
      </c>
      <c r="D191" s="23" t="s">
        <v>187</v>
      </c>
      <c r="E191" s="8">
        <v>0</v>
      </c>
      <c r="F191" s="9">
        <v>0</v>
      </c>
      <c r="G191" s="8">
        <v>7</v>
      </c>
      <c r="H191" s="10">
        <v>66608</v>
      </c>
      <c r="I191" s="310">
        <v>1</v>
      </c>
      <c r="J191" s="405">
        <v>1</v>
      </c>
      <c r="K191" s="409">
        <v>1</v>
      </c>
      <c r="L191" s="782" t="s">
        <v>835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864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864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0</v>
      </c>
      <c r="F194" s="16">
        <v>0</v>
      </c>
      <c r="G194" s="15">
        <v>7</v>
      </c>
      <c r="H194" s="17">
        <v>66608</v>
      </c>
      <c r="I194" s="311">
        <v>1</v>
      </c>
      <c r="J194" s="312">
        <v>1</v>
      </c>
      <c r="K194" s="410">
        <v>1</v>
      </c>
      <c r="L194" s="782" t="s">
        <v>864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0">
        <v>0</v>
      </c>
      <c r="J195" s="405">
        <v>0</v>
      </c>
      <c r="K195" s="409">
        <v>0</v>
      </c>
      <c r="L195" s="782" t="s">
        <v>864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1">
        <v>0</v>
      </c>
      <c r="J196" s="312">
        <v>0</v>
      </c>
      <c r="K196" s="410">
        <v>0</v>
      </c>
      <c r="L196" s="782" t="s">
        <v>864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5">
        <v>0</v>
      </c>
      <c r="K197" s="409">
        <v>0</v>
      </c>
      <c r="L197" s="782" t="s">
        <v>864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1</v>
      </c>
      <c r="H198" s="10">
        <v>12128</v>
      </c>
      <c r="I198" s="310">
        <v>1</v>
      </c>
      <c r="J198" s="405">
        <v>1</v>
      </c>
      <c r="K198" s="409">
        <v>0</v>
      </c>
      <c r="L198" s="782" t="s">
        <v>835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110069</v>
      </c>
      <c r="I199" s="310">
        <v>1</v>
      </c>
      <c r="J199" s="405">
        <v>1</v>
      </c>
      <c r="K199" s="409">
        <v>1</v>
      </c>
      <c r="L199" s="782" t="s">
        <v>835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864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864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0</v>
      </c>
      <c r="F202" s="16">
        <v>0</v>
      </c>
      <c r="G202" s="15">
        <v>3</v>
      </c>
      <c r="H202" s="17">
        <v>122197</v>
      </c>
      <c r="I202" s="311">
        <v>2</v>
      </c>
      <c r="J202" s="312">
        <v>2</v>
      </c>
      <c r="K202" s="410">
        <v>1</v>
      </c>
      <c r="L202" s="782" t="s">
        <v>864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0">
        <v>0</v>
      </c>
      <c r="J203" s="405">
        <v>0</v>
      </c>
      <c r="K203" s="409">
        <v>0</v>
      </c>
      <c r="L203" s="782" t="s">
        <v>864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790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864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864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864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6">
        <v>0</v>
      </c>
      <c r="J207" s="317">
        <v>0</v>
      </c>
      <c r="K207" s="412">
        <v>0</v>
      </c>
      <c r="L207" s="782" t="s">
        <v>864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0">
        <v>0</v>
      </c>
      <c r="J208" s="405">
        <v>0</v>
      </c>
      <c r="K208" s="409">
        <v>0</v>
      </c>
      <c r="L208" s="782" t="s">
        <v>864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864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6">
        <v>0</v>
      </c>
      <c r="J210" s="317">
        <v>0</v>
      </c>
      <c r="K210" s="412">
        <v>0</v>
      </c>
      <c r="L210" s="782" t="s">
        <v>864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864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864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864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864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0</v>
      </c>
      <c r="F215" s="9">
        <v>0</v>
      </c>
      <c r="G215" s="8">
        <v>1</v>
      </c>
      <c r="H215" s="10">
        <v>4637</v>
      </c>
      <c r="I215" s="310">
        <v>1</v>
      </c>
      <c r="J215" s="405">
        <v>0</v>
      </c>
      <c r="K215" s="409">
        <v>0</v>
      </c>
      <c r="L215" s="782" t="s">
        <v>835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0</v>
      </c>
      <c r="F216" s="16">
        <v>0</v>
      </c>
      <c r="G216" s="15">
        <v>1</v>
      </c>
      <c r="H216" s="17">
        <v>4637</v>
      </c>
      <c r="I216" s="311">
        <v>1</v>
      </c>
      <c r="J216" s="312">
        <v>0</v>
      </c>
      <c r="K216" s="410">
        <v>0</v>
      </c>
      <c r="L216" s="782" t="s">
        <v>835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1</v>
      </c>
      <c r="F217" s="9">
        <v>13297</v>
      </c>
      <c r="G217" s="8">
        <v>1</v>
      </c>
      <c r="H217" s="10">
        <v>13297</v>
      </c>
      <c r="I217" s="310">
        <v>1</v>
      </c>
      <c r="J217" s="405">
        <v>0</v>
      </c>
      <c r="K217" s="409">
        <v>0</v>
      </c>
      <c r="L217" s="782" t="s">
        <v>864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1</v>
      </c>
      <c r="F218" s="16">
        <v>13297</v>
      </c>
      <c r="G218" s="15">
        <v>1</v>
      </c>
      <c r="H218" s="17">
        <v>13297</v>
      </c>
      <c r="I218" s="311">
        <v>1</v>
      </c>
      <c r="J218" s="312">
        <v>0</v>
      </c>
      <c r="K218" s="410">
        <v>0</v>
      </c>
      <c r="L218" s="782" t="s">
        <v>864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864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1">
        <v>0</v>
      </c>
      <c r="J220" s="312">
        <v>0</v>
      </c>
      <c r="K220" s="410">
        <v>0</v>
      </c>
      <c r="L220" s="782" t="s">
        <v>864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864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3</v>
      </c>
      <c r="H223" s="10">
        <v>462301</v>
      </c>
      <c r="I223" s="310">
        <v>1</v>
      </c>
      <c r="J223" s="405">
        <v>1</v>
      </c>
      <c r="K223" s="409">
        <v>1</v>
      </c>
      <c r="L223" s="782" t="s">
        <v>864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864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3</v>
      </c>
      <c r="H225" s="17">
        <v>462301</v>
      </c>
      <c r="I225" s="311">
        <v>1</v>
      </c>
      <c r="J225" s="312">
        <v>1</v>
      </c>
      <c r="K225" s="410">
        <v>1</v>
      </c>
      <c r="L225" s="782" t="s">
        <v>864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1</v>
      </c>
      <c r="F226" s="9">
        <v>13112</v>
      </c>
      <c r="G226" s="8">
        <v>2</v>
      </c>
      <c r="H226" s="10">
        <v>101741</v>
      </c>
      <c r="I226" s="310">
        <v>1</v>
      </c>
      <c r="J226" s="405">
        <v>1</v>
      </c>
      <c r="K226" s="409">
        <v>1</v>
      </c>
      <c r="L226" s="782" t="s">
        <v>864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864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1</v>
      </c>
      <c r="F228" s="16">
        <v>13112</v>
      </c>
      <c r="G228" s="15">
        <v>2</v>
      </c>
      <c r="H228" s="17">
        <v>101741</v>
      </c>
      <c r="I228" s="311">
        <v>1</v>
      </c>
      <c r="J228" s="312">
        <v>1</v>
      </c>
      <c r="K228" s="410">
        <v>1</v>
      </c>
      <c r="L228" s="782" t="s">
        <v>864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835</v>
      </c>
      <c r="B229" s="554" t="s">
        <v>817</v>
      </c>
      <c r="C229" s="555" t="s">
        <v>110</v>
      </c>
      <c r="D229" s="547">
        <v>32</v>
      </c>
      <c r="E229" s="556">
        <v>2</v>
      </c>
      <c r="F229" s="550">
        <v>26409</v>
      </c>
      <c r="G229" s="548">
        <v>21</v>
      </c>
      <c r="H229" s="557">
        <v>897350</v>
      </c>
      <c r="I229" s="551">
        <v>9</v>
      </c>
      <c r="J229" s="552">
        <v>7</v>
      </c>
      <c r="K229" s="553">
        <v>6</v>
      </c>
      <c r="L229" s="782" t="s">
        <v>864</v>
      </c>
      <c r="O229"/>
      <c r="P229"/>
      <c r="Q229"/>
    </row>
    <row r="230" spans="1:17" s="149" customFormat="1" ht="18.25" customHeight="1">
      <c r="A230" s="569" t="s">
        <v>826</v>
      </c>
      <c r="B230" s="947" t="s">
        <v>6</v>
      </c>
      <c r="C230" s="948"/>
      <c r="D230" s="145">
        <v>88</v>
      </c>
      <c r="E230" s="150">
        <v>5</v>
      </c>
      <c r="F230" s="151">
        <v>44587</v>
      </c>
      <c r="G230" s="146">
        <v>44</v>
      </c>
      <c r="H230" s="152">
        <v>1685335</v>
      </c>
      <c r="I230" s="314">
        <v>25</v>
      </c>
      <c r="J230" s="315">
        <v>16</v>
      </c>
      <c r="K230" s="411">
        <v>10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1</v>
      </c>
      <c r="F234" s="9">
        <v>201126</v>
      </c>
      <c r="G234" s="8">
        <v>2</v>
      </c>
      <c r="H234" s="10">
        <v>210828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1</v>
      </c>
      <c r="F236" s="16">
        <v>201126</v>
      </c>
      <c r="G236" s="15">
        <v>2</v>
      </c>
      <c r="H236" s="17">
        <v>210828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0</v>
      </c>
      <c r="H237" s="10">
        <v>0</v>
      </c>
      <c r="I237" s="310">
        <v>0</v>
      </c>
      <c r="J237" s="405">
        <v>0</v>
      </c>
      <c r="K237" s="409">
        <v>0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0</v>
      </c>
      <c r="H238" s="17">
        <v>0</v>
      </c>
      <c r="I238" s="311">
        <v>0</v>
      </c>
      <c r="J238" s="312">
        <v>0</v>
      </c>
      <c r="K238" s="410">
        <v>0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2</v>
      </c>
      <c r="H239" s="10">
        <v>154304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2</v>
      </c>
      <c r="H242" s="17">
        <v>154304</v>
      </c>
      <c r="I242" s="311">
        <v>1</v>
      </c>
      <c r="J242" s="312">
        <v>1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0">
        <v>0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0</v>
      </c>
      <c r="G247" s="15">
        <v>0</v>
      </c>
      <c r="H247" s="17">
        <v>0</v>
      </c>
      <c r="I247" s="311">
        <v>0</v>
      </c>
      <c r="J247" s="312">
        <v>0</v>
      </c>
      <c r="K247" s="410">
        <v>0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0">
        <v>0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809</v>
      </c>
      <c r="D251" s="7" t="s">
        <v>304</v>
      </c>
      <c r="E251" s="8">
        <v>0</v>
      </c>
      <c r="F251" s="9">
        <v>0</v>
      </c>
      <c r="G251" s="8">
        <v>1</v>
      </c>
      <c r="H251" s="10">
        <v>26932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809</v>
      </c>
      <c r="D252" s="14">
        <v>1</v>
      </c>
      <c r="E252" s="15">
        <v>0</v>
      </c>
      <c r="F252" s="16">
        <v>0</v>
      </c>
      <c r="G252" s="15">
        <v>1</v>
      </c>
      <c r="H252" s="17">
        <v>26932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0</v>
      </c>
      <c r="F255" s="9">
        <v>0</v>
      </c>
      <c r="G255" s="8">
        <v>2</v>
      </c>
      <c r="H255" s="10">
        <v>119982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0</v>
      </c>
      <c r="F256" s="16">
        <v>0</v>
      </c>
      <c r="G256" s="15">
        <v>2</v>
      </c>
      <c r="H256" s="17">
        <v>119982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44300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44300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2</v>
      </c>
      <c r="H262" s="17">
        <v>88600</v>
      </c>
      <c r="I262" s="311">
        <v>2</v>
      </c>
      <c r="J262" s="312">
        <v>2</v>
      </c>
      <c r="K262" s="410">
        <v>2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877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0">
        <v>0</v>
      </c>
      <c r="J265" s="405">
        <v>0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0</v>
      </c>
      <c r="H267" s="17">
        <v>0</v>
      </c>
      <c r="I267" s="311">
        <v>0</v>
      </c>
      <c r="J267" s="312">
        <v>0</v>
      </c>
      <c r="K267" s="410">
        <v>0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0">
        <v>0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1">
        <v>0</v>
      </c>
      <c r="J271" s="312">
        <v>0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811</v>
      </c>
      <c r="D272" s="23" t="s">
        <v>219</v>
      </c>
      <c r="E272" s="42">
        <v>0</v>
      </c>
      <c r="F272" s="43">
        <v>0</v>
      </c>
      <c r="G272" s="42">
        <v>0</v>
      </c>
      <c r="H272" s="44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802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0</v>
      </c>
      <c r="H275" s="17">
        <v>0</v>
      </c>
      <c r="I275" s="311">
        <v>0</v>
      </c>
      <c r="J275" s="312">
        <v>0</v>
      </c>
      <c r="K275" s="410">
        <v>0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0</v>
      </c>
      <c r="H278" s="64">
        <v>0</v>
      </c>
      <c r="I278" s="316">
        <v>0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0</v>
      </c>
      <c r="F280" s="9">
        <v>0</v>
      </c>
      <c r="G280" s="8">
        <v>2</v>
      </c>
      <c r="H280" s="10">
        <v>49520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0</v>
      </c>
      <c r="F281" s="63">
        <v>0</v>
      </c>
      <c r="G281" s="62">
        <v>2</v>
      </c>
      <c r="H281" s="64">
        <v>49520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6">
        <v>0</v>
      </c>
      <c r="J283" s="317">
        <v>0</v>
      </c>
      <c r="K283" s="412">
        <v>0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6">
        <v>0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827</v>
      </c>
      <c r="B287" s="947" t="s">
        <v>8</v>
      </c>
      <c r="C287" s="948"/>
      <c r="D287" s="145">
        <v>39</v>
      </c>
      <c r="E287" s="146">
        <v>1</v>
      </c>
      <c r="F287" s="147">
        <v>201126</v>
      </c>
      <c r="G287" s="146">
        <v>11</v>
      </c>
      <c r="H287" s="148">
        <v>650166</v>
      </c>
      <c r="I287" s="314">
        <v>7</v>
      </c>
      <c r="J287" s="315">
        <v>7</v>
      </c>
      <c r="K287" s="411">
        <v>7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1</v>
      </c>
      <c r="H288" s="10">
        <v>2868</v>
      </c>
      <c r="I288" s="310">
        <v>1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1</v>
      </c>
      <c r="H289" s="17">
        <v>2868</v>
      </c>
      <c r="I289" s="311">
        <v>1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3</v>
      </c>
      <c r="F293" s="9">
        <v>24202</v>
      </c>
      <c r="G293" s="8">
        <v>3</v>
      </c>
      <c r="H293" s="10">
        <v>24202</v>
      </c>
      <c r="I293" s="310">
        <v>1</v>
      </c>
      <c r="J293" s="405">
        <v>1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3</v>
      </c>
      <c r="F294" s="16">
        <v>24202</v>
      </c>
      <c r="G294" s="15">
        <v>3</v>
      </c>
      <c r="H294" s="17">
        <v>24202</v>
      </c>
      <c r="I294" s="311">
        <v>1</v>
      </c>
      <c r="J294" s="312">
        <v>1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799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799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1</v>
      </c>
      <c r="F297" s="9">
        <v>17213</v>
      </c>
      <c r="G297" s="8">
        <v>2</v>
      </c>
      <c r="H297" s="10">
        <v>30727</v>
      </c>
      <c r="I297" s="310">
        <v>1</v>
      </c>
      <c r="J297" s="405">
        <v>1</v>
      </c>
      <c r="K297" s="409">
        <v>1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1</v>
      </c>
      <c r="F300" s="16">
        <v>17213</v>
      </c>
      <c r="G300" s="15">
        <v>2</v>
      </c>
      <c r="H300" s="17">
        <v>30727</v>
      </c>
      <c r="I300" s="311">
        <v>1</v>
      </c>
      <c r="J300" s="312">
        <v>1</v>
      </c>
      <c r="K300" s="410">
        <v>1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901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4</v>
      </c>
      <c r="H303" s="10">
        <v>48065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2</v>
      </c>
      <c r="H304" s="10">
        <v>24000</v>
      </c>
      <c r="I304" s="310">
        <v>1</v>
      </c>
      <c r="J304" s="405">
        <v>1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0</v>
      </c>
      <c r="F305" s="16">
        <v>0</v>
      </c>
      <c r="G305" s="15">
        <v>6</v>
      </c>
      <c r="H305" s="17">
        <v>72065</v>
      </c>
      <c r="I305" s="311">
        <v>2</v>
      </c>
      <c r="J305" s="312">
        <v>2</v>
      </c>
      <c r="K305" s="410">
        <v>1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1</v>
      </c>
      <c r="H306" s="10">
        <v>8400</v>
      </c>
      <c r="I306" s="310">
        <v>1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1</v>
      </c>
      <c r="H307" s="17">
        <v>8400</v>
      </c>
      <c r="I307" s="311">
        <v>1</v>
      </c>
      <c r="J307" s="312">
        <v>0</v>
      </c>
      <c r="K307" s="410">
        <v>0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3</v>
      </c>
      <c r="H309" s="10">
        <v>9511</v>
      </c>
      <c r="I309" s="310">
        <v>1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3</v>
      </c>
      <c r="H310" s="17">
        <v>9511</v>
      </c>
      <c r="I310" s="311">
        <v>1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1</v>
      </c>
      <c r="F312" s="9">
        <v>22700</v>
      </c>
      <c r="G312" s="8">
        <v>4</v>
      </c>
      <c r="H312" s="10">
        <v>71076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1</v>
      </c>
      <c r="F313" s="16">
        <v>22700</v>
      </c>
      <c r="G313" s="15">
        <v>4</v>
      </c>
      <c r="H313" s="17">
        <v>71076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1">
        <v>0</v>
      </c>
      <c r="J319" s="312">
        <v>0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111670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5</v>
      </c>
      <c r="H322" s="17">
        <v>111670</v>
      </c>
      <c r="I322" s="311">
        <v>1</v>
      </c>
      <c r="J322" s="312">
        <v>1</v>
      </c>
      <c r="K322" s="410">
        <v>1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1">
        <v>0</v>
      </c>
      <c r="J325" s="312">
        <v>0</v>
      </c>
      <c r="K325" s="410">
        <v>0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10">
        <v>0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0</v>
      </c>
      <c r="H329" s="17">
        <v>0</v>
      </c>
      <c r="I329" s="311">
        <v>0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157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</v>
      </c>
      <c r="H332" s="17">
        <v>157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0</v>
      </c>
      <c r="H333" s="10">
        <v>169</v>
      </c>
      <c r="I333" s="310">
        <v>0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250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0</v>
      </c>
      <c r="H335" s="17">
        <v>419</v>
      </c>
      <c r="I335" s="311">
        <v>0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2</v>
      </c>
      <c r="H336" s="10">
        <v>10396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2</v>
      </c>
      <c r="H337" s="17">
        <v>10396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1</v>
      </c>
      <c r="F339" s="9">
        <v>8051</v>
      </c>
      <c r="G339" s="8">
        <v>1</v>
      </c>
      <c r="H339" s="10">
        <v>8051</v>
      </c>
      <c r="I339" s="310">
        <v>1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1</v>
      </c>
      <c r="F340" s="16">
        <v>8051</v>
      </c>
      <c r="G340" s="15">
        <v>1</v>
      </c>
      <c r="H340" s="17">
        <v>8051</v>
      </c>
      <c r="I340" s="311">
        <v>1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1">
        <v>0</v>
      </c>
      <c r="J343" s="312">
        <v>0</v>
      </c>
      <c r="K343" s="410">
        <v>0</v>
      </c>
      <c r="L343" s="427">
        <v>0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5070</v>
      </c>
      <c r="I345" s="310">
        <v>1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5070</v>
      </c>
      <c r="I347" s="311">
        <v>1</v>
      </c>
      <c r="J347" s="312">
        <v>0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1">
        <v>0</v>
      </c>
      <c r="J350" s="312">
        <v>0</v>
      </c>
      <c r="K350" s="410">
        <v>0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0</v>
      </c>
      <c r="H356" s="17">
        <v>0</v>
      </c>
      <c r="I356" s="311">
        <v>0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828</v>
      </c>
      <c r="B357" s="947" t="s">
        <v>9</v>
      </c>
      <c r="C357" s="948"/>
      <c r="D357" s="145">
        <v>46</v>
      </c>
      <c r="E357" s="150">
        <v>6</v>
      </c>
      <c r="F357" s="148">
        <v>72166</v>
      </c>
      <c r="G357" s="146">
        <v>29</v>
      </c>
      <c r="H357" s="152">
        <v>354612</v>
      </c>
      <c r="I357" s="314">
        <v>12</v>
      </c>
      <c r="J357" s="315">
        <v>6</v>
      </c>
      <c r="K357" s="411">
        <v>4</v>
      </c>
      <c r="L357" s="428">
        <v>0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0</v>
      </c>
      <c r="H361" s="17">
        <v>0</v>
      </c>
      <c r="I361" s="311">
        <v>0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5">
        <v>0</v>
      </c>
      <c r="K362" s="409">
        <v>0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0</v>
      </c>
      <c r="H363" s="17">
        <v>0</v>
      </c>
      <c r="I363" s="311">
        <v>0</v>
      </c>
      <c r="J363" s="312">
        <v>0</v>
      </c>
      <c r="K363" s="410">
        <v>0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1</v>
      </c>
      <c r="H364" s="10">
        <v>30830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1</v>
      </c>
      <c r="H367" s="17">
        <v>30830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0</v>
      </c>
      <c r="H368" s="10">
        <v>0</v>
      </c>
      <c r="I368" s="310">
        <v>0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0</v>
      </c>
      <c r="H370" s="17">
        <v>0</v>
      </c>
      <c r="I370" s="311">
        <v>0</v>
      </c>
      <c r="J370" s="312">
        <v>0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0</v>
      </c>
      <c r="H373" s="17">
        <v>0</v>
      </c>
      <c r="I373" s="311">
        <v>0</v>
      </c>
      <c r="J373" s="312">
        <v>0</v>
      </c>
      <c r="K373" s="410">
        <v>0</v>
      </c>
      <c r="L373" s="427">
        <v>0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1">
        <v>0</v>
      </c>
      <c r="J378" s="312">
        <v>0</v>
      </c>
      <c r="K378" s="410">
        <v>0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1">
        <v>0</v>
      </c>
      <c r="J381" s="312">
        <v>0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0</v>
      </c>
      <c r="H384" s="17">
        <v>0</v>
      </c>
      <c r="I384" s="311">
        <v>0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47" t="s">
        <v>265</v>
      </c>
      <c r="C385" s="948"/>
      <c r="D385" s="145">
        <v>19</v>
      </c>
      <c r="E385" s="150">
        <v>0</v>
      </c>
      <c r="F385" s="151">
        <v>0</v>
      </c>
      <c r="G385" s="146">
        <v>1</v>
      </c>
      <c r="H385" s="152">
        <v>30830</v>
      </c>
      <c r="I385" s="314">
        <v>1</v>
      </c>
      <c r="J385" s="315">
        <v>1</v>
      </c>
      <c r="K385" s="411">
        <v>1</v>
      </c>
      <c r="L385" s="428">
        <v>0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1</v>
      </c>
      <c r="H386" s="10">
        <v>19646</v>
      </c>
      <c r="I386" s="310">
        <v>1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1</v>
      </c>
      <c r="H389" s="17">
        <v>19646</v>
      </c>
      <c r="I389" s="311">
        <v>1</v>
      </c>
      <c r="J389" s="312">
        <v>0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1</v>
      </c>
      <c r="H391" s="10">
        <v>10785</v>
      </c>
      <c r="I391" s="310">
        <v>1</v>
      </c>
      <c r="J391" s="405">
        <v>1</v>
      </c>
      <c r="K391" s="409">
        <v>0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1</v>
      </c>
      <c r="H392" s="17">
        <v>10785</v>
      </c>
      <c r="I392" s="311">
        <v>1</v>
      </c>
      <c r="J392" s="312">
        <v>1</v>
      </c>
      <c r="K392" s="410">
        <v>0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0</v>
      </c>
      <c r="F393" s="9">
        <v>0</v>
      </c>
      <c r="G393" s="8">
        <v>2</v>
      </c>
      <c r="H393" s="10">
        <v>65468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0</v>
      </c>
      <c r="H394" s="10">
        <v>0</v>
      </c>
      <c r="I394" s="310">
        <v>0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890</v>
      </c>
      <c r="D395" s="45"/>
      <c r="E395" s="8">
        <v>0</v>
      </c>
      <c r="F395" s="9">
        <v>0</v>
      </c>
      <c r="G395" s="8">
        <v>0</v>
      </c>
      <c r="H395" s="10">
        <v>0</v>
      </c>
      <c r="I395" s="318"/>
      <c r="J395" s="407"/>
      <c r="K395" s="414"/>
      <c r="L395" s="426"/>
    </row>
    <row r="396" spans="1:17" ht="18.25" customHeight="1" outlineLevel="1">
      <c r="B396" s="12" t="s">
        <v>204</v>
      </c>
      <c r="C396" s="13" t="s">
        <v>315</v>
      </c>
      <c r="D396" s="14">
        <v>2</v>
      </c>
      <c r="E396" s="15">
        <v>0</v>
      </c>
      <c r="F396" s="16">
        <v>0</v>
      </c>
      <c r="G396" s="15">
        <v>2</v>
      </c>
      <c r="H396" s="17">
        <v>65468</v>
      </c>
      <c r="I396" s="311">
        <v>1</v>
      </c>
      <c r="J396" s="312">
        <v>1</v>
      </c>
      <c r="K396" s="410">
        <v>1</v>
      </c>
      <c r="L396" s="427">
        <v>0</v>
      </c>
      <c r="M396" s="1" t="s">
        <v>170</v>
      </c>
    </row>
    <row r="397" spans="1:17" s="1" customFormat="1" ht="18.25" customHeight="1" outlineLevel="2">
      <c r="A397" s="570"/>
      <c r="B397" s="5" t="s">
        <v>205</v>
      </c>
      <c r="C397" s="6" t="s">
        <v>796</v>
      </c>
      <c r="D397" s="19" t="s">
        <v>915</v>
      </c>
      <c r="E397" s="8">
        <v>0</v>
      </c>
      <c r="F397" s="9">
        <v>0</v>
      </c>
      <c r="G397" s="8">
        <v>1</v>
      </c>
      <c r="H397" s="10">
        <v>16170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204</v>
      </c>
      <c r="C398" s="13" t="s">
        <v>796</v>
      </c>
      <c r="D398" s="14">
        <v>1</v>
      </c>
      <c r="E398" s="15">
        <v>0</v>
      </c>
      <c r="F398" s="16">
        <v>0</v>
      </c>
      <c r="G398" s="15">
        <v>1</v>
      </c>
      <c r="H398" s="17">
        <v>16170</v>
      </c>
      <c r="I398" s="311">
        <v>1</v>
      </c>
      <c r="J398" s="312">
        <v>0</v>
      </c>
      <c r="K398" s="410">
        <v>0</v>
      </c>
      <c r="L398" s="427">
        <v>0</v>
      </c>
      <c r="M398" s="1" t="s">
        <v>663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6" t="s">
        <v>852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852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0</v>
      </c>
      <c r="F401" s="9">
        <v>0</v>
      </c>
      <c r="G401" s="8">
        <v>2</v>
      </c>
      <c r="H401" s="10">
        <v>52262</v>
      </c>
      <c r="I401" s="310">
        <v>1</v>
      </c>
      <c r="J401" s="405">
        <v>1</v>
      </c>
      <c r="K401" s="409">
        <v>1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0</v>
      </c>
      <c r="F402" s="9">
        <v>0</v>
      </c>
      <c r="G402" s="8">
        <v>2</v>
      </c>
      <c r="H402" s="10">
        <v>7911</v>
      </c>
      <c r="I402" s="310">
        <v>1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729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0</v>
      </c>
      <c r="F404" s="16">
        <v>0</v>
      </c>
      <c r="G404" s="15">
        <v>4</v>
      </c>
      <c r="H404" s="17">
        <v>60173</v>
      </c>
      <c r="I404" s="311">
        <v>2</v>
      </c>
      <c r="J404" s="312">
        <v>1</v>
      </c>
      <c r="K404" s="410">
        <v>1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346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739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346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1">
        <v>0</v>
      </c>
      <c r="J407" s="312">
        <v>0</v>
      </c>
      <c r="K407" s="410">
        <v>0</v>
      </c>
      <c r="L407" s="427">
        <v>0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334</v>
      </c>
      <c r="D409" s="7" t="s">
        <v>38</v>
      </c>
      <c r="E409" s="8">
        <v>0</v>
      </c>
      <c r="F409" s="9">
        <v>0</v>
      </c>
      <c r="G409" s="8">
        <v>0</v>
      </c>
      <c r="H409" s="10">
        <v>0</v>
      </c>
      <c r="I409" s="310">
        <v>0</v>
      </c>
      <c r="J409" s="405">
        <v>0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0</v>
      </c>
      <c r="H410" s="17">
        <v>0</v>
      </c>
      <c r="I410" s="311">
        <v>0</v>
      </c>
      <c r="J410" s="312">
        <v>0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332</v>
      </c>
      <c r="D411" s="7" t="s">
        <v>188</v>
      </c>
      <c r="E411" s="8">
        <v>0</v>
      </c>
      <c r="F411" s="9">
        <v>0</v>
      </c>
      <c r="G411" s="8">
        <v>1</v>
      </c>
      <c r="H411" s="10">
        <v>25355</v>
      </c>
      <c r="I411" s="310">
        <v>1</v>
      </c>
      <c r="J411" s="405">
        <v>1</v>
      </c>
      <c r="K411" s="409">
        <v>1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332</v>
      </c>
      <c r="D413" s="14">
        <v>2</v>
      </c>
      <c r="E413" s="15">
        <v>0</v>
      </c>
      <c r="F413" s="15">
        <v>0</v>
      </c>
      <c r="G413" s="15">
        <v>1</v>
      </c>
      <c r="H413" s="21">
        <v>25355</v>
      </c>
      <c r="I413" s="311">
        <v>1</v>
      </c>
      <c r="J413" s="312">
        <v>1</v>
      </c>
      <c r="K413" s="410">
        <v>1</v>
      </c>
      <c r="L413" s="427">
        <v>1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484</v>
      </c>
      <c r="D414" s="7" t="s">
        <v>238</v>
      </c>
      <c r="E414" s="8">
        <v>2</v>
      </c>
      <c r="F414" s="9">
        <v>23379</v>
      </c>
      <c r="G414" s="8">
        <v>2</v>
      </c>
      <c r="H414" s="10">
        <v>23379</v>
      </c>
      <c r="I414" s="310">
        <v>1</v>
      </c>
      <c r="J414" s="405">
        <v>1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703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484</v>
      </c>
      <c r="D416" s="14">
        <v>2</v>
      </c>
      <c r="E416" s="15">
        <v>2</v>
      </c>
      <c r="F416" s="15">
        <v>23379</v>
      </c>
      <c r="G416" s="15">
        <v>2</v>
      </c>
      <c r="H416" s="21">
        <v>23379</v>
      </c>
      <c r="I416" s="311">
        <v>1</v>
      </c>
      <c r="J416" s="312">
        <v>1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894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349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0">
        <v>0</v>
      </c>
      <c r="J422" s="405">
        <v>0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461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1">
        <v>0</v>
      </c>
      <c r="J423" s="312">
        <v>0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1</v>
      </c>
      <c r="F424" s="9">
        <v>830</v>
      </c>
      <c r="G424" s="8">
        <v>1</v>
      </c>
      <c r="H424" s="10">
        <v>830</v>
      </c>
      <c r="I424" s="310">
        <v>1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769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1</v>
      </c>
      <c r="F426" s="16">
        <v>830</v>
      </c>
      <c r="G426" s="15">
        <v>1</v>
      </c>
      <c r="H426" s="17">
        <v>830</v>
      </c>
      <c r="I426" s="311">
        <v>1</v>
      </c>
      <c r="J426" s="312">
        <v>0</v>
      </c>
      <c r="K426" s="410">
        <v>0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0">
        <v>0</v>
      </c>
      <c r="J429" s="405">
        <v>0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1">
        <v>0</v>
      </c>
      <c r="J430" s="312">
        <v>0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0</v>
      </c>
      <c r="F431" s="9">
        <v>0</v>
      </c>
      <c r="G431" s="8">
        <v>4</v>
      </c>
      <c r="H431" s="10">
        <v>39415</v>
      </c>
      <c r="I431" s="310">
        <v>1</v>
      </c>
      <c r="J431" s="405">
        <v>1</v>
      </c>
      <c r="K431" s="409">
        <v>1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0</v>
      </c>
      <c r="F433" s="16">
        <v>0</v>
      </c>
      <c r="G433" s="15">
        <v>4</v>
      </c>
      <c r="H433" s="17">
        <v>39415</v>
      </c>
      <c r="I433" s="311">
        <v>1</v>
      </c>
      <c r="J433" s="312">
        <v>1</v>
      </c>
      <c r="K433" s="410">
        <v>1</v>
      </c>
      <c r="L433" s="427">
        <v>1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505</v>
      </c>
      <c r="D434" s="7" t="s">
        <v>219</v>
      </c>
      <c r="E434" s="8">
        <v>1</v>
      </c>
      <c r="F434" s="9">
        <v>11700</v>
      </c>
      <c r="G434" s="8">
        <v>3</v>
      </c>
      <c r="H434" s="10">
        <v>24768</v>
      </c>
      <c r="I434" s="310">
        <v>1</v>
      </c>
      <c r="J434" s="405">
        <v>1</v>
      </c>
      <c r="K434" s="409">
        <v>0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897</v>
      </c>
      <c r="D435" s="7" t="s">
        <v>38</v>
      </c>
      <c r="E435" s="8">
        <v>0</v>
      </c>
      <c r="F435" s="9">
        <v>0</v>
      </c>
      <c r="G435" s="8">
        <v>1</v>
      </c>
      <c r="H435" s="10">
        <v>1396</v>
      </c>
      <c r="I435" s="310">
        <v>1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1</v>
      </c>
      <c r="F436" s="16">
        <v>11700</v>
      </c>
      <c r="G436" s="15">
        <v>4</v>
      </c>
      <c r="H436" s="17">
        <v>26164</v>
      </c>
      <c r="I436" s="311">
        <v>2</v>
      </c>
      <c r="J436" s="312">
        <v>1</v>
      </c>
      <c r="K436" s="410">
        <v>0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488</v>
      </c>
      <c r="D437" s="7" t="s">
        <v>914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807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488</v>
      </c>
      <c r="D440" s="14">
        <v>3</v>
      </c>
      <c r="E440" s="15">
        <v>0</v>
      </c>
      <c r="F440" s="16">
        <v>0</v>
      </c>
      <c r="G440" s="15">
        <v>0</v>
      </c>
      <c r="H440" s="17">
        <v>0</v>
      </c>
      <c r="I440" s="311">
        <v>0</v>
      </c>
      <c r="J440" s="312">
        <v>0</v>
      </c>
      <c r="K440" s="410">
        <v>0</v>
      </c>
      <c r="L440" s="427">
        <v>0</v>
      </c>
      <c r="M440" s="1" t="s">
        <v>170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732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716</v>
      </c>
      <c r="D444" s="23" t="s">
        <v>168</v>
      </c>
      <c r="E444" s="8">
        <v>1</v>
      </c>
      <c r="F444" s="9">
        <v>7545</v>
      </c>
      <c r="G444" s="8">
        <v>1</v>
      </c>
      <c r="H444" s="10">
        <v>7545</v>
      </c>
      <c r="I444" s="310">
        <v>1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380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1</v>
      </c>
      <c r="F446" s="16">
        <v>7545</v>
      </c>
      <c r="G446" s="15">
        <v>1</v>
      </c>
      <c r="H446" s="17">
        <v>7545</v>
      </c>
      <c r="I446" s="311">
        <v>1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47" t="s">
        <v>205</v>
      </c>
      <c r="C447" s="948"/>
      <c r="D447" s="145">
        <v>41</v>
      </c>
      <c r="E447" s="150">
        <v>5</v>
      </c>
      <c r="F447" s="151">
        <v>43454</v>
      </c>
      <c r="G447" s="146">
        <v>22</v>
      </c>
      <c r="H447" s="152">
        <v>294930</v>
      </c>
      <c r="I447" s="314">
        <v>13</v>
      </c>
      <c r="J447" s="315">
        <v>7</v>
      </c>
      <c r="K447" s="411">
        <v>4</v>
      </c>
      <c r="L447" s="428">
        <v>2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0">
        <v>0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1">
        <v>0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409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411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19">
        <v>0</v>
      </c>
      <c r="J451" s="405">
        <v>0</v>
      </c>
      <c r="K451" s="409">
        <v>0</v>
      </c>
      <c r="L451" s="426"/>
    </row>
    <row r="452" spans="1:17" ht="18.25" customHeight="1" outlineLevel="2">
      <c r="B452" s="52" t="s">
        <v>216</v>
      </c>
      <c r="C452" s="54" t="s">
        <v>634</v>
      </c>
      <c r="D452" s="7" t="s">
        <v>180</v>
      </c>
      <c r="E452" s="58">
        <v>0</v>
      </c>
      <c r="F452" s="59">
        <v>0</v>
      </c>
      <c r="G452" s="58">
        <v>0</v>
      </c>
      <c r="H452" s="76">
        <v>0</v>
      </c>
      <c r="I452" s="319">
        <v>0</v>
      </c>
      <c r="J452" s="405">
        <v>0</v>
      </c>
      <c r="K452" s="409">
        <v>0</v>
      </c>
      <c r="L452" s="426"/>
    </row>
    <row r="453" spans="1:17" ht="18.25" customHeight="1" outlineLevel="1">
      <c r="B453" s="67" t="s">
        <v>216</v>
      </c>
      <c r="C453" s="68" t="s">
        <v>409</v>
      </c>
      <c r="D453" s="26">
        <v>3</v>
      </c>
      <c r="E453" s="69">
        <v>0</v>
      </c>
      <c r="F453" s="70">
        <v>0</v>
      </c>
      <c r="G453" s="69">
        <v>0</v>
      </c>
      <c r="H453" s="77">
        <v>0</v>
      </c>
      <c r="I453" s="320">
        <v>0</v>
      </c>
      <c r="J453" s="321">
        <v>0</v>
      </c>
      <c r="K453" s="322">
        <v>0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410</v>
      </c>
      <c r="D454" s="527" t="s">
        <v>713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410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412</v>
      </c>
      <c r="D456" s="7" t="s">
        <v>219</v>
      </c>
      <c r="E456" s="58">
        <v>0.5</v>
      </c>
      <c r="F456" s="59">
        <v>26334</v>
      </c>
      <c r="G456" s="58">
        <v>2.5</v>
      </c>
      <c r="H456" s="76">
        <v>58306</v>
      </c>
      <c r="I456" s="319">
        <v>1</v>
      </c>
      <c r="J456" s="405">
        <v>1</v>
      </c>
      <c r="K456" s="409">
        <v>1</v>
      </c>
      <c r="L456" s="426"/>
    </row>
    <row r="457" spans="1:17" ht="18.25" customHeight="1" outlineLevel="2">
      <c r="B457" s="53" t="s">
        <v>216</v>
      </c>
      <c r="C457" s="54" t="s">
        <v>755</v>
      </c>
      <c r="D457" s="7" t="s">
        <v>180</v>
      </c>
      <c r="E457" s="58">
        <v>0.5</v>
      </c>
      <c r="F457" s="59">
        <v>26334</v>
      </c>
      <c r="G457" s="58">
        <v>0.5</v>
      </c>
      <c r="H457" s="76">
        <v>26334</v>
      </c>
      <c r="I457" s="319">
        <v>1</v>
      </c>
      <c r="J457" s="405">
        <v>1</v>
      </c>
      <c r="K457" s="409">
        <v>1</v>
      </c>
      <c r="L457" s="426"/>
    </row>
    <row r="458" spans="1:17" ht="18.25" customHeight="1" outlineLevel="2">
      <c r="B458" s="53" t="s">
        <v>216</v>
      </c>
      <c r="C458" s="54" t="s">
        <v>786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412</v>
      </c>
      <c r="D459" s="26">
        <v>3</v>
      </c>
      <c r="E459" s="69">
        <v>1</v>
      </c>
      <c r="F459" s="70">
        <v>52668</v>
      </c>
      <c r="G459" s="69">
        <v>3</v>
      </c>
      <c r="H459" s="77">
        <v>84640</v>
      </c>
      <c r="I459" s="320">
        <v>2</v>
      </c>
      <c r="J459" s="321">
        <v>2</v>
      </c>
      <c r="K459" s="322">
        <v>2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413</v>
      </c>
      <c r="D460" s="7" t="s">
        <v>219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ht="18.25" customHeight="1" outlineLevel="2">
      <c r="B461" s="53" t="s">
        <v>216</v>
      </c>
      <c r="C461" s="54" t="s">
        <v>787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413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0">
        <v>0</v>
      </c>
      <c r="J462" s="321">
        <v>0</v>
      </c>
      <c r="K462" s="322">
        <v>0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414</v>
      </c>
      <c r="D463" s="7" t="s">
        <v>170</v>
      </c>
      <c r="E463" s="58">
        <v>2</v>
      </c>
      <c r="F463" s="59">
        <v>5542</v>
      </c>
      <c r="G463" s="58">
        <v>2</v>
      </c>
      <c r="H463" s="76">
        <v>5542</v>
      </c>
      <c r="I463" s="319">
        <v>1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676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414</v>
      </c>
      <c r="D465" s="26">
        <v>2</v>
      </c>
      <c r="E465" s="69">
        <v>2</v>
      </c>
      <c r="F465" s="69">
        <v>5542</v>
      </c>
      <c r="G465" s="69">
        <v>2</v>
      </c>
      <c r="H465" s="79">
        <v>5542</v>
      </c>
      <c r="I465" s="320">
        <v>1</v>
      </c>
      <c r="J465" s="321">
        <v>0</v>
      </c>
      <c r="K465" s="322">
        <v>0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415</v>
      </c>
      <c r="D466" s="7" t="s">
        <v>50</v>
      </c>
      <c r="E466" s="58">
        <v>0</v>
      </c>
      <c r="F466" s="59">
        <v>0</v>
      </c>
      <c r="G466" s="58">
        <v>1</v>
      </c>
      <c r="H466" s="76">
        <v>9821</v>
      </c>
      <c r="I466" s="319">
        <v>1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417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810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648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416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19">
        <v>0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415</v>
      </c>
      <c r="D471" s="26">
        <v>5</v>
      </c>
      <c r="E471" s="69">
        <v>0</v>
      </c>
      <c r="F471" s="70">
        <v>0</v>
      </c>
      <c r="G471" s="69">
        <v>1</v>
      </c>
      <c r="H471" s="77">
        <v>9821</v>
      </c>
      <c r="I471" s="320">
        <v>1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418</v>
      </c>
      <c r="D472" s="7" t="s">
        <v>365</v>
      </c>
      <c r="E472" s="58">
        <v>0</v>
      </c>
      <c r="F472" s="59">
        <v>0</v>
      </c>
      <c r="G472" s="58">
        <v>0</v>
      </c>
      <c r="H472" s="76">
        <v>0</v>
      </c>
      <c r="I472" s="319">
        <v>0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886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0">
        <v>0</v>
      </c>
      <c r="J473" s="321">
        <v>0</v>
      </c>
      <c r="K473" s="322">
        <v>0</v>
      </c>
      <c r="L473" s="434">
        <v>0</v>
      </c>
      <c r="M473" s="1" t="s">
        <v>663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419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690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19">
        <v>0</v>
      </c>
      <c r="J475" s="405">
        <v>0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419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0">
        <v>0</v>
      </c>
      <c r="J476" s="321">
        <v>0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420</v>
      </c>
      <c r="D477" s="7" t="s">
        <v>219</v>
      </c>
      <c r="E477" s="58">
        <v>0</v>
      </c>
      <c r="F477" s="59">
        <v>0</v>
      </c>
      <c r="G477" s="58">
        <v>1</v>
      </c>
      <c r="H477" s="76">
        <v>24549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685</v>
      </c>
      <c r="D478" s="7" t="s">
        <v>180</v>
      </c>
      <c r="E478" s="58">
        <v>1</v>
      </c>
      <c r="F478" s="59">
        <v>19200</v>
      </c>
      <c r="G478" s="58">
        <v>1</v>
      </c>
      <c r="H478" s="76">
        <v>19200</v>
      </c>
      <c r="I478" s="319">
        <v>1</v>
      </c>
      <c r="J478" s="405">
        <v>1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658</v>
      </c>
      <c r="D479" s="26">
        <v>2</v>
      </c>
      <c r="E479" s="69">
        <v>1</v>
      </c>
      <c r="F479" s="70">
        <v>19200</v>
      </c>
      <c r="G479" s="69">
        <v>2</v>
      </c>
      <c r="H479" s="77">
        <v>43749</v>
      </c>
      <c r="I479" s="320">
        <v>2</v>
      </c>
      <c r="J479" s="321">
        <v>2</v>
      </c>
      <c r="K479" s="322">
        <v>0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473</v>
      </c>
      <c r="D481" s="7" t="s">
        <v>16</v>
      </c>
      <c r="E481" s="8">
        <v>0</v>
      </c>
      <c r="F481" s="9">
        <v>0</v>
      </c>
      <c r="G481" s="8">
        <v>1</v>
      </c>
      <c r="H481" s="10">
        <v>6600</v>
      </c>
      <c r="I481" s="310">
        <v>1</v>
      </c>
      <c r="J481" s="405">
        <v>0</v>
      </c>
      <c r="K481" s="409">
        <v>0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0</v>
      </c>
      <c r="F482" s="16">
        <v>0</v>
      </c>
      <c r="G482" s="15">
        <v>1</v>
      </c>
      <c r="H482" s="17">
        <v>6600</v>
      </c>
      <c r="I482" s="311">
        <v>1</v>
      </c>
      <c r="J482" s="312">
        <v>0</v>
      </c>
      <c r="K482" s="410">
        <v>0</v>
      </c>
      <c r="L482" s="427">
        <v>0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314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568</v>
      </c>
      <c r="D484" s="7" t="s">
        <v>16</v>
      </c>
      <c r="E484" s="8">
        <v>0</v>
      </c>
      <c r="F484" s="9">
        <v>0</v>
      </c>
      <c r="G484" s="8">
        <v>2</v>
      </c>
      <c r="H484" s="10">
        <v>40073</v>
      </c>
      <c r="I484" s="310">
        <v>1</v>
      </c>
      <c r="J484" s="405">
        <v>1</v>
      </c>
      <c r="K484" s="409">
        <v>1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313</v>
      </c>
      <c r="D485" s="14">
        <v>2</v>
      </c>
      <c r="E485" s="15">
        <v>0</v>
      </c>
      <c r="F485" s="16">
        <v>0</v>
      </c>
      <c r="G485" s="15">
        <v>2</v>
      </c>
      <c r="H485" s="17">
        <v>40073</v>
      </c>
      <c r="I485" s="311">
        <v>1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1">
        <v>0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0</v>
      </c>
      <c r="G489" s="8">
        <v>0</v>
      </c>
      <c r="H489" s="10">
        <v>50400</v>
      </c>
      <c r="I489" s="310">
        <v>0</v>
      </c>
      <c r="J489" s="405">
        <v>1</v>
      </c>
      <c r="K489" s="409">
        <v>1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805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680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50400</v>
      </c>
      <c r="I492" s="311">
        <v>0</v>
      </c>
      <c r="J492" s="312">
        <v>1</v>
      </c>
      <c r="K492" s="410">
        <v>1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507</v>
      </c>
      <c r="D493" s="23" t="s">
        <v>219</v>
      </c>
      <c r="E493" s="8">
        <v>0</v>
      </c>
      <c r="F493" s="9">
        <v>0</v>
      </c>
      <c r="G493" s="8">
        <v>1</v>
      </c>
      <c r="H493" s="10">
        <v>10200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730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0</v>
      </c>
      <c r="F495" s="16">
        <v>0</v>
      </c>
      <c r="G495" s="15">
        <v>1</v>
      </c>
      <c r="H495" s="17">
        <v>10200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536</v>
      </c>
      <c r="D496" s="23" t="s">
        <v>188</v>
      </c>
      <c r="E496" s="8">
        <v>0</v>
      </c>
      <c r="F496" s="9">
        <v>0</v>
      </c>
      <c r="G496" s="8">
        <v>1</v>
      </c>
      <c r="H496" s="10">
        <v>12779</v>
      </c>
      <c r="I496" s="313">
        <v>1</v>
      </c>
      <c r="J496" s="405">
        <v>0</v>
      </c>
      <c r="K496" s="409">
        <v>0</v>
      </c>
      <c r="L496" s="426"/>
    </row>
    <row r="497" spans="1:14" ht="18.25" customHeight="1" outlineLevel="2">
      <c r="B497" s="5" t="s">
        <v>216</v>
      </c>
      <c r="C497" s="18" t="s">
        <v>731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536</v>
      </c>
      <c r="D498" s="14">
        <v>2</v>
      </c>
      <c r="E498" s="15">
        <v>0</v>
      </c>
      <c r="F498" s="16">
        <v>0</v>
      </c>
      <c r="G498" s="15">
        <v>1</v>
      </c>
      <c r="H498" s="17">
        <v>12779</v>
      </c>
      <c r="I498" s="311">
        <v>1</v>
      </c>
      <c r="J498" s="312">
        <v>0</v>
      </c>
      <c r="K498" s="410">
        <v>0</v>
      </c>
      <c r="L498" s="427">
        <v>0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0</v>
      </c>
      <c r="F499" s="9">
        <v>0</v>
      </c>
      <c r="G499" s="8">
        <v>1</v>
      </c>
      <c r="H499" s="10">
        <v>27525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774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0</v>
      </c>
      <c r="F501" s="16">
        <v>0</v>
      </c>
      <c r="G501" s="15">
        <v>1</v>
      </c>
      <c r="H501" s="17">
        <v>27525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740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2</v>
      </c>
      <c r="F504" s="9">
        <v>24676</v>
      </c>
      <c r="G504" s="8">
        <v>2</v>
      </c>
      <c r="H504" s="10">
        <v>24676</v>
      </c>
      <c r="I504" s="310">
        <v>1</v>
      </c>
      <c r="J504" s="405">
        <v>1</v>
      </c>
      <c r="K504" s="409">
        <v>0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2</v>
      </c>
      <c r="F505" s="16">
        <v>24676</v>
      </c>
      <c r="G505" s="15">
        <v>2</v>
      </c>
      <c r="H505" s="17">
        <v>24676</v>
      </c>
      <c r="I505" s="311">
        <v>1</v>
      </c>
      <c r="J505" s="312">
        <v>1</v>
      </c>
      <c r="K505" s="410">
        <v>0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485</v>
      </c>
      <c r="D506" s="7" t="s">
        <v>304</v>
      </c>
      <c r="E506" s="8">
        <v>0</v>
      </c>
      <c r="F506" s="9">
        <v>0</v>
      </c>
      <c r="G506" s="8">
        <v>0</v>
      </c>
      <c r="H506" s="10">
        <v>0</v>
      </c>
      <c r="I506" s="310">
        <v>0</v>
      </c>
      <c r="J506" s="405">
        <v>0</v>
      </c>
      <c r="K506" s="409">
        <v>0</v>
      </c>
      <c r="L506" s="426"/>
    </row>
    <row r="507" spans="1:14" ht="18.25" customHeight="1" outlineLevel="1">
      <c r="B507" s="12" t="s">
        <v>216</v>
      </c>
      <c r="C507" s="13" t="s">
        <v>485</v>
      </c>
      <c r="D507" s="14">
        <v>1</v>
      </c>
      <c r="E507" s="15">
        <v>0</v>
      </c>
      <c r="F507" s="16">
        <v>0</v>
      </c>
      <c r="G507" s="15">
        <v>0</v>
      </c>
      <c r="H507" s="17">
        <v>0</v>
      </c>
      <c r="I507" s="311">
        <v>0</v>
      </c>
      <c r="J507" s="312">
        <v>0</v>
      </c>
      <c r="K507" s="410">
        <v>0</v>
      </c>
      <c r="L507" s="427">
        <v>0</v>
      </c>
      <c r="M507" s="1" t="s">
        <v>663</v>
      </c>
    </row>
    <row r="508" spans="1:14" s="149" customFormat="1" ht="18.25" customHeight="1">
      <c r="A508" s="569" t="s">
        <v>829</v>
      </c>
      <c r="B508" s="947" t="s">
        <v>215</v>
      </c>
      <c r="C508" s="948"/>
      <c r="D508" s="145">
        <v>40</v>
      </c>
      <c r="E508" s="146">
        <v>6</v>
      </c>
      <c r="F508" s="147">
        <v>102086</v>
      </c>
      <c r="G508" s="146">
        <v>16</v>
      </c>
      <c r="H508" s="148">
        <v>316005</v>
      </c>
      <c r="I508" s="314">
        <v>12</v>
      </c>
      <c r="J508" s="315">
        <v>8</v>
      </c>
      <c r="K508" s="411">
        <v>5</v>
      </c>
      <c r="L508" s="428">
        <v>0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749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ht="18.25" customHeight="1" outlineLevel="2">
      <c r="B511" s="41" t="s">
        <v>4</v>
      </c>
      <c r="C511" s="39" t="s">
        <v>742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706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1</v>
      </c>
      <c r="H514" s="44">
        <v>25897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347</v>
      </c>
      <c r="D515" s="23" t="s">
        <v>26</v>
      </c>
      <c r="E515" s="42">
        <v>0</v>
      </c>
      <c r="F515" s="43">
        <v>0</v>
      </c>
      <c r="G515" s="42">
        <v>1</v>
      </c>
      <c r="H515" s="44">
        <v>2063</v>
      </c>
      <c r="I515" s="313">
        <v>1</v>
      </c>
      <c r="J515" s="408">
        <v>0</v>
      </c>
      <c r="K515" s="409">
        <v>0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0</v>
      </c>
      <c r="F517" s="9">
        <v>0</v>
      </c>
      <c r="G517" s="8">
        <v>1</v>
      </c>
      <c r="H517" s="10">
        <v>124917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323</v>
      </c>
      <c r="D518" s="7" t="s">
        <v>16</v>
      </c>
      <c r="E518" s="8">
        <v>0</v>
      </c>
      <c r="F518" s="9">
        <v>0</v>
      </c>
      <c r="G518" s="8">
        <v>0</v>
      </c>
      <c r="H518" s="10">
        <v>28800</v>
      </c>
      <c r="I518" s="310">
        <v>0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345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757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0</v>
      </c>
      <c r="F532" s="16">
        <v>0</v>
      </c>
      <c r="G532" s="15">
        <v>3</v>
      </c>
      <c r="H532" s="17">
        <v>181677</v>
      </c>
      <c r="I532" s="311">
        <v>3</v>
      </c>
      <c r="J532" s="312">
        <v>3</v>
      </c>
      <c r="K532" s="410">
        <v>3</v>
      </c>
      <c r="L532" s="427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887</v>
      </c>
      <c r="D533" s="7" t="s">
        <v>188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908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887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311">
        <v>0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910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873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1">
        <v>0</v>
      </c>
      <c r="J540" s="312">
        <v>0</v>
      </c>
      <c r="K540" s="410">
        <v>0</v>
      </c>
      <c r="L540" s="427">
        <v>0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1">
        <v>0</v>
      </c>
      <c r="J543" s="312">
        <v>0</v>
      </c>
      <c r="K543" s="410">
        <v>0</v>
      </c>
      <c r="L543" s="427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619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10">
        <v>0</v>
      </c>
      <c r="J545" s="405">
        <v>0</v>
      </c>
      <c r="K545" s="409">
        <v>0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1">
        <v>0</v>
      </c>
      <c r="J546" s="312">
        <v>0</v>
      </c>
      <c r="K546" s="410">
        <v>0</v>
      </c>
      <c r="L546" s="427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1</v>
      </c>
      <c r="F547" s="9">
        <v>11180</v>
      </c>
      <c r="G547" s="8">
        <v>2</v>
      </c>
      <c r="H547" s="10">
        <v>47180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0</v>
      </c>
      <c r="H548" s="10">
        <v>0</v>
      </c>
      <c r="I548" s="310">
        <v>0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1</v>
      </c>
      <c r="F549" s="16">
        <v>11180</v>
      </c>
      <c r="G549" s="15">
        <v>2</v>
      </c>
      <c r="H549" s="17">
        <v>47180</v>
      </c>
      <c r="I549" s="311">
        <v>1</v>
      </c>
      <c r="J549" s="312">
        <v>1</v>
      </c>
      <c r="K549" s="410">
        <v>1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632</v>
      </c>
      <c r="D550" s="7" t="s">
        <v>24</v>
      </c>
      <c r="E550" s="8">
        <v>0</v>
      </c>
      <c r="F550" s="9">
        <v>0</v>
      </c>
      <c r="G550" s="8">
        <v>1</v>
      </c>
      <c r="H550" s="10">
        <v>21723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794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770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632</v>
      </c>
      <c r="D553" s="14">
        <v>3</v>
      </c>
      <c r="E553" s="15">
        <v>0</v>
      </c>
      <c r="F553" s="16">
        <v>0</v>
      </c>
      <c r="G553" s="15">
        <v>1</v>
      </c>
      <c r="H553" s="17">
        <v>21723</v>
      </c>
      <c r="I553" s="311">
        <v>1</v>
      </c>
      <c r="J553" s="312">
        <v>1</v>
      </c>
      <c r="K553" s="410">
        <v>0</v>
      </c>
      <c r="L553" s="427">
        <v>0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2</v>
      </c>
      <c r="F554" s="9">
        <v>106000</v>
      </c>
      <c r="G554" s="8">
        <v>2</v>
      </c>
      <c r="H554" s="10">
        <v>106000</v>
      </c>
      <c r="I554" s="310">
        <v>1</v>
      </c>
      <c r="J554" s="405">
        <v>1</v>
      </c>
      <c r="K554" s="409">
        <v>1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0">
        <v>0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0">
        <v>0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2</v>
      </c>
      <c r="F557" s="16">
        <v>106000</v>
      </c>
      <c r="G557" s="15">
        <v>2</v>
      </c>
      <c r="H557" s="17">
        <v>106000</v>
      </c>
      <c r="I557" s="311">
        <v>1</v>
      </c>
      <c r="J557" s="312">
        <v>1</v>
      </c>
      <c r="K557" s="410">
        <v>1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783</v>
      </c>
      <c r="D558" s="40" t="s">
        <v>238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526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1">
        <v>0</v>
      </c>
      <c r="J560" s="312">
        <v>0</v>
      </c>
      <c r="K560" s="410">
        <v>0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0</v>
      </c>
      <c r="F561" s="9">
        <v>0</v>
      </c>
      <c r="G561" s="8">
        <v>1</v>
      </c>
      <c r="H561" s="10">
        <v>1635286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895" t="s">
        <v>913</v>
      </c>
      <c r="D562" s="45"/>
      <c r="E562" s="8">
        <v>0</v>
      </c>
      <c r="F562" s="9">
        <v>0</v>
      </c>
      <c r="G562" s="8">
        <v>0</v>
      </c>
      <c r="H562" s="10">
        <v>0</v>
      </c>
      <c r="I562" s="318"/>
      <c r="J562" s="407"/>
      <c r="K562" s="414"/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1</v>
      </c>
      <c r="E563" s="15">
        <v>0</v>
      </c>
      <c r="F563" s="16">
        <v>0</v>
      </c>
      <c r="G563" s="15">
        <v>1</v>
      </c>
      <c r="H563" s="17">
        <v>1635286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693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1">
        <v>0</v>
      </c>
      <c r="J567" s="312">
        <v>0</v>
      </c>
      <c r="K567" s="410">
        <v>0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311">
        <v>0</v>
      </c>
      <c r="J573" s="312">
        <v>0</v>
      </c>
      <c r="K573" s="410">
        <v>0</v>
      </c>
      <c r="L573" s="427">
        <v>0</v>
      </c>
      <c r="M573" s="1" t="s">
        <v>662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654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336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1</v>
      </c>
      <c r="F577" s="9">
        <v>18924</v>
      </c>
      <c r="G577" s="8">
        <v>1</v>
      </c>
      <c r="H577" s="10">
        <v>18924</v>
      </c>
      <c r="I577" s="310">
        <v>1</v>
      </c>
      <c r="J577" s="405">
        <v>1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1</v>
      </c>
      <c r="F578" s="16">
        <v>18924</v>
      </c>
      <c r="G578" s="15">
        <v>1</v>
      </c>
      <c r="H578" s="17">
        <v>18924</v>
      </c>
      <c r="I578" s="311">
        <v>1</v>
      </c>
      <c r="J578" s="312">
        <v>1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670</v>
      </c>
      <c r="D579" s="7" t="s">
        <v>21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798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898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5">
        <v>0</v>
      </c>
      <c r="K622" s="409">
        <v>0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410">
        <v>0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780</v>
      </c>
      <c r="D624" s="525" t="s">
        <v>616</v>
      </c>
      <c r="E624" s="8">
        <v>0</v>
      </c>
      <c r="F624" s="9">
        <v>0</v>
      </c>
      <c r="G624" s="8">
        <v>0</v>
      </c>
      <c r="H624" s="10">
        <v>0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781</v>
      </c>
      <c r="D625" s="526"/>
      <c r="E625" s="31">
        <v>0</v>
      </c>
      <c r="F625" s="32">
        <v>0</v>
      </c>
      <c r="G625" s="31">
        <v>0</v>
      </c>
      <c r="H625" s="35">
        <v>0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5">
        <v>0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410">
        <v>0</v>
      </c>
      <c r="L633" s="427">
        <v>0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0</v>
      </c>
      <c r="F634" s="9">
        <v>0</v>
      </c>
      <c r="G634" s="8">
        <v>0</v>
      </c>
      <c r="H634" s="10">
        <v>0</v>
      </c>
      <c r="I634" s="310">
        <v>0</v>
      </c>
      <c r="J634" s="405">
        <v>0</v>
      </c>
      <c r="K634" s="409">
        <v>0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0</v>
      </c>
      <c r="H635" s="17">
        <v>0</v>
      </c>
      <c r="I635" s="311">
        <v>0</v>
      </c>
      <c r="J635" s="312">
        <v>0</v>
      </c>
      <c r="K635" s="410">
        <v>0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1">
        <v>0</v>
      </c>
      <c r="J644" s="312">
        <v>0</v>
      </c>
      <c r="K644" s="410">
        <v>0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5</v>
      </c>
      <c r="H645" s="10">
        <v>23628</v>
      </c>
      <c r="I645" s="310">
        <v>1</v>
      </c>
      <c r="J645" s="405">
        <v>1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5</v>
      </c>
      <c r="H647" s="17">
        <v>23628</v>
      </c>
      <c r="I647" s="311">
        <v>1</v>
      </c>
      <c r="J647" s="312">
        <v>1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3">
        <v>0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1">
        <v>0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4</v>
      </c>
      <c r="C652" s="18" t="s">
        <v>924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697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370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170</v>
      </c>
    </row>
    <row r="656" spans="1:17" s="149" customFormat="1" ht="18.25" customHeight="1">
      <c r="A656" s="569" t="s">
        <v>830</v>
      </c>
      <c r="B656" s="947" t="s">
        <v>10</v>
      </c>
      <c r="C656" s="948"/>
      <c r="D656" s="145">
        <v>107</v>
      </c>
      <c r="E656" s="146">
        <v>4</v>
      </c>
      <c r="F656" s="147">
        <v>136104</v>
      </c>
      <c r="G656" s="146">
        <v>15</v>
      </c>
      <c r="H656" s="148">
        <v>2034418</v>
      </c>
      <c r="I656" s="314">
        <v>9</v>
      </c>
      <c r="J656" s="315">
        <v>9</v>
      </c>
      <c r="K656" s="411">
        <v>6</v>
      </c>
      <c r="L656" s="428">
        <v>1</v>
      </c>
      <c r="M656" s="248"/>
      <c r="N656" s="248"/>
    </row>
    <row r="657" spans="1:17" ht="18.25" customHeight="1" outlineLevel="2">
      <c r="B657" s="5" t="s">
        <v>879</v>
      </c>
      <c r="C657" s="6" t="s">
        <v>872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869</v>
      </c>
      <c r="C658" s="13" t="s">
        <v>871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870</v>
      </c>
    </row>
    <row r="659" spans="1:17" ht="18.25" customHeight="1" outlineLevel="2">
      <c r="B659" s="5" t="s">
        <v>869</v>
      </c>
      <c r="C659" s="6" t="s">
        <v>242</v>
      </c>
      <c r="D659" s="7" t="s">
        <v>881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869</v>
      </c>
      <c r="C660" s="6" t="s">
        <v>167</v>
      </c>
      <c r="D660" s="7" t="s">
        <v>26</v>
      </c>
      <c r="E660" s="8">
        <v>0</v>
      </c>
      <c r="F660" s="9">
        <v>0</v>
      </c>
      <c r="G660" s="8">
        <v>1</v>
      </c>
      <c r="H660" s="10">
        <v>20000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869</v>
      </c>
      <c r="C661" s="6" t="s">
        <v>793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869</v>
      </c>
      <c r="C662" s="39" t="s">
        <v>532</v>
      </c>
      <c r="D662" s="23" t="s">
        <v>187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869</v>
      </c>
      <c r="C663" s="13" t="s">
        <v>640</v>
      </c>
      <c r="D663" s="14">
        <v>4</v>
      </c>
      <c r="E663" s="31">
        <v>0</v>
      </c>
      <c r="F663" s="32">
        <v>0</v>
      </c>
      <c r="G663" s="31">
        <v>1</v>
      </c>
      <c r="H663" s="33">
        <v>20000</v>
      </c>
      <c r="I663" s="325">
        <v>1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869</v>
      </c>
      <c r="C664" s="18" t="s">
        <v>518</v>
      </c>
      <c r="D664" s="527" t="s">
        <v>571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869</v>
      </c>
      <c r="C665" s="13" t="s">
        <v>518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869</v>
      </c>
      <c r="C666" s="18" t="s">
        <v>534</v>
      </c>
      <c r="D666" s="7" t="s">
        <v>752</v>
      </c>
      <c r="E666" s="8">
        <v>0</v>
      </c>
      <c r="F666" s="9">
        <v>0</v>
      </c>
      <c r="G666" s="8">
        <v>1</v>
      </c>
      <c r="H666" s="10">
        <v>8523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869</v>
      </c>
      <c r="C667" s="13" t="s">
        <v>534</v>
      </c>
      <c r="D667" s="14">
        <v>1</v>
      </c>
      <c r="E667" s="31">
        <v>0</v>
      </c>
      <c r="F667" s="32">
        <v>0</v>
      </c>
      <c r="G667" s="31">
        <v>1</v>
      </c>
      <c r="H667" s="33">
        <v>8523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351</v>
      </c>
      <c r="O667"/>
      <c r="P667"/>
      <c r="Q667"/>
    </row>
    <row r="668" spans="1:17" s="1" customFormat="1" ht="18.25" customHeight="1" outlineLevel="2">
      <c r="A668" s="570"/>
      <c r="B668" s="5" t="s">
        <v>869</v>
      </c>
      <c r="C668" s="18" t="s">
        <v>533</v>
      </c>
      <c r="D668" s="7" t="s">
        <v>365</v>
      </c>
      <c r="E668" s="8">
        <v>0</v>
      </c>
      <c r="F668" s="9">
        <v>0</v>
      </c>
      <c r="G668" s="8">
        <v>4</v>
      </c>
      <c r="H668" s="10">
        <v>22306</v>
      </c>
      <c r="I668" s="310">
        <v>1</v>
      </c>
      <c r="J668" s="405">
        <v>1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869</v>
      </c>
      <c r="C669" s="13" t="s">
        <v>533</v>
      </c>
      <c r="D669" s="14">
        <v>1</v>
      </c>
      <c r="E669" s="31">
        <v>0</v>
      </c>
      <c r="F669" s="32">
        <v>0</v>
      </c>
      <c r="G669" s="31">
        <v>4</v>
      </c>
      <c r="H669" s="33">
        <v>22306</v>
      </c>
      <c r="I669" s="325">
        <v>1</v>
      </c>
      <c r="J669" s="326">
        <v>1</v>
      </c>
      <c r="K669" s="417">
        <v>0</v>
      </c>
      <c r="L669" s="437">
        <v>0</v>
      </c>
      <c r="M669" s="443" t="s">
        <v>663</v>
      </c>
      <c r="O669"/>
      <c r="P669"/>
      <c r="Q669"/>
    </row>
    <row r="670" spans="1:17" s="1" customFormat="1" ht="18.25" customHeight="1" outlineLevel="2">
      <c r="A670" s="570"/>
      <c r="B670" s="5" t="s">
        <v>869</v>
      </c>
      <c r="C670" s="6" t="s">
        <v>193</v>
      </c>
      <c r="D670" s="527" t="s">
        <v>571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869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869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869</v>
      </c>
      <c r="C673" s="6" t="s">
        <v>702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869</v>
      </c>
      <c r="C674" s="6" t="s">
        <v>688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869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869</v>
      </c>
      <c r="C676" s="6" t="s">
        <v>715</v>
      </c>
      <c r="D676" s="7" t="s">
        <v>876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869</v>
      </c>
      <c r="C677" s="13" t="s">
        <v>715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663</v>
      </c>
      <c r="O677"/>
      <c r="P677"/>
      <c r="Q677"/>
    </row>
    <row r="678" spans="1:17" s="1" customFormat="1" ht="18.25" customHeight="1" outlineLevel="2">
      <c r="A678" s="570"/>
      <c r="B678" s="5" t="s">
        <v>869</v>
      </c>
      <c r="C678" s="11" t="s">
        <v>201</v>
      </c>
      <c r="D678" s="7" t="s">
        <v>238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869</v>
      </c>
      <c r="C679" s="6" t="s">
        <v>567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869</v>
      </c>
      <c r="C680" s="13" t="s">
        <v>201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869</v>
      </c>
      <c r="C681" s="6" t="s">
        <v>195</v>
      </c>
      <c r="D681" s="7" t="s">
        <v>50</v>
      </c>
      <c r="E681" s="8">
        <v>0</v>
      </c>
      <c r="F681" s="9">
        <v>0</v>
      </c>
      <c r="G681" s="8">
        <v>2</v>
      </c>
      <c r="H681" s="10">
        <v>36369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869</v>
      </c>
      <c r="C682" s="6" t="s">
        <v>895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869</v>
      </c>
      <c r="C683" s="6" t="s">
        <v>699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869</v>
      </c>
      <c r="C684" s="13" t="s">
        <v>172</v>
      </c>
      <c r="D684" s="14">
        <v>3</v>
      </c>
      <c r="E684" s="31">
        <v>0</v>
      </c>
      <c r="F684" s="32">
        <v>0</v>
      </c>
      <c r="G684" s="31">
        <v>6</v>
      </c>
      <c r="H684" s="35">
        <v>86013</v>
      </c>
      <c r="I684" s="325">
        <v>2</v>
      </c>
      <c r="J684" s="326">
        <v>2</v>
      </c>
      <c r="K684" s="417">
        <v>2</v>
      </c>
      <c r="L684" s="437">
        <v>0</v>
      </c>
      <c r="M684" s="1" t="s">
        <v>50</v>
      </c>
    </row>
    <row r="685" spans="1:17" s="149" customFormat="1" ht="21.5" customHeight="1">
      <c r="A685" s="569" t="s">
        <v>879</v>
      </c>
      <c r="B685" s="947" t="s">
        <v>879</v>
      </c>
      <c r="C685" s="948"/>
      <c r="D685" s="145">
        <v>15</v>
      </c>
      <c r="E685" s="153">
        <v>0</v>
      </c>
      <c r="F685" s="154">
        <v>0</v>
      </c>
      <c r="G685" s="153">
        <v>12</v>
      </c>
      <c r="H685" s="155">
        <v>136842</v>
      </c>
      <c r="I685" s="329">
        <v>5</v>
      </c>
      <c r="J685" s="330">
        <v>4</v>
      </c>
      <c r="K685" s="419">
        <v>2</v>
      </c>
      <c r="L685" s="439">
        <v>0</v>
      </c>
      <c r="M685" s="248"/>
      <c r="N685" s="248"/>
    </row>
    <row r="686" spans="1:17" ht="18.25" customHeight="1" outlineLevel="2">
      <c r="B686" s="5" t="s">
        <v>475</v>
      </c>
      <c r="C686" s="6" t="s">
        <v>452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867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453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454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452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538</v>
      </c>
      <c r="D692" s="528" t="s">
        <v>713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483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752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351</v>
      </c>
    </row>
    <row r="696" spans="1:17" ht="18.25" customHeight="1" outlineLevel="2">
      <c r="B696" s="5" t="s">
        <v>186</v>
      </c>
      <c r="C696" s="6" t="s">
        <v>196</v>
      </c>
      <c r="D696" s="7" t="s">
        <v>477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662</v>
      </c>
    </row>
    <row r="698" spans="1:17" ht="18.25" customHeight="1" outlineLevel="2">
      <c r="B698" s="5" t="s">
        <v>186</v>
      </c>
      <c r="C698" s="39" t="s">
        <v>472</v>
      </c>
      <c r="D698" s="23" t="s">
        <v>219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636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337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376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477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5">
        <v>0</v>
      </c>
      <c r="J704" s="326">
        <v>0</v>
      </c>
      <c r="K704" s="417">
        <v>0</v>
      </c>
      <c r="L704" s="437">
        <v>0</v>
      </c>
      <c r="M704" s="1" t="s">
        <v>662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741</v>
      </c>
      <c r="D706" s="23" t="s">
        <v>38</v>
      </c>
      <c r="E706" s="42">
        <v>0</v>
      </c>
      <c r="F706" s="43">
        <v>0</v>
      </c>
      <c r="G706" s="42">
        <v>1</v>
      </c>
      <c r="H706" s="44">
        <v>9491</v>
      </c>
      <c r="I706" s="313">
        <v>1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496</v>
      </c>
      <c r="D707" s="14">
        <v>2</v>
      </c>
      <c r="E707" s="31">
        <v>0</v>
      </c>
      <c r="F707" s="32">
        <v>0</v>
      </c>
      <c r="G707" s="31">
        <v>1</v>
      </c>
      <c r="H707" s="35">
        <v>9491</v>
      </c>
      <c r="I707" s="325">
        <v>1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1</v>
      </c>
      <c r="F708" s="9">
        <v>61439</v>
      </c>
      <c r="G708" s="8">
        <v>1</v>
      </c>
      <c r="H708" s="10">
        <v>61439</v>
      </c>
      <c r="I708" s="310">
        <v>1</v>
      </c>
      <c r="J708" s="405">
        <v>1</v>
      </c>
      <c r="K708" s="409">
        <v>1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369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1</v>
      </c>
      <c r="F710" s="32">
        <v>61439</v>
      </c>
      <c r="G710" s="31">
        <v>1</v>
      </c>
      <c r="H710" s="35">
        <v>61439</v>
      </c>
      <c r="I710" s="325">
        <v>1</v>
      </c>
      <c r="J710" s="326">
        <v>1</v>
      </c>
      <c r="K710" s="417">
        <v>1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788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712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698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186</v>
      </c>
      <c r="C715" s="13" t="s">
        <v>174</v>
      </c>
      <c r="D715" s="14">
        <v>4</v>
      </c>
      <c r="E715" s="31">
        <v>0</v>
      </c>
      <c r="F715" s="32">
        <v>0</v>
      </c>
      <c r="G715" s="31">
        <v>0</v>
      </c>
      <c r="H715" s="35">
        <v>0</v>
      </c>
      <c r="I715" s="325">
        <v>0</v>
      </c>
      <c r="J715" s="326">
        <v>0</v>
      </c>
      <c r="K715" s="417">
        <v>0</v>
      </c>
      <c r="L715" s="437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70"/>
      <c r="B716" s="41" t="s">
        <v>186</v>
      </c>
      <c r="C716" s="74" t="s">
        <v>900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186</v>
      </c>
      <c r="C717" s="13" t="s">
        <v>639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168</v>
      </c>
    </row>
    <row r="718" spans="1:17" ht="18.25" customHeight="1" outlineLevel="2">
      <c r="B718" s="41" t="s">
        <v>186</v>
      </c>
      <c r="C718" s="39" t="s">
        <v>486</v>
      </c>
      <c r="D718" s="23" t="s">
        <v>365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186</v>
      </c>
      <c r="C719" s="13" t="s">
        <v>486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663</v>
      </c>
    </row>
    <row r="720" spans="1:17" ht="18.25" customHeight="1" outlineLevel="2">
      <c r="B720" s="5" t="s">
        <v>186</v>
      </c>
      <c r="C720" s="39" t="s">
        <v>478</v>
      </c>
      <c r="D720" s="7" t="s">
        <v>477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186</v>
      </c>
      <c r="C721" s="13" t="s">
        <v>499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662</v>
      </c>
    </row>
    <row r="722" spans="1:14" ht="18.25" customHeight="1" outlineLevel="2">
      <c r="B722" s="41" t="s">
        <v>186</v>
      </c>
      <c r="C722" s="39" t="s">
        <v>229</v>
      </c>
      <c r="D722" s="23" t="s">
        <v>188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186</v>
      </c>
      <c r="C723" s="39" t="s">
        <v>361</v>
      </c>
      <c r="D723" s="7" t="s">
        <v>26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186</v>
      </c>
      <c r="C724" s="13" t="s">
        <v>480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168</v>
      </c>
    </row>
    <row r="725" spans="1:14" ht="18.25" customHeight="1" outlineLevel="2">
      <c r="B725" s="53" t="s">
        <v>186</v>
      </c>
      <c r="C725" s="55" t="s">
        <v>455</v>
      </c>
      <c r="D725" s="7" t="s">
        <v>752</v>
      </c>
      <c r="E725" s="58">
        <v>0</v>
      </c>
      <c r="F725" s="59">
        <v>0</v>
      </c>
      <c r="G725" s="58">
        <v>1</v>
      </c>
      <c r="H725" s="76">
        <v>78530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186</v>
      </c>
      <c r="C726" s="61" t="s">
        <v>455</v>
      </c>
      <c r="D726" s="26">
        <v>1</v>
      </c>
      <c r="E726" s="69">
        <v>0</v>
      </c>
      <c r="F726" s="70">
        <v>0</v>
      </c>
      <c r="G726" s="69">
        <v>1</v>
      </c>
      <c r="H726" s="77">
        <v>78530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351</v>
      </c>
      <c r="N726" s="249"/>
    </row>
    <row r="727" spans="1:14" ht="18.25" customHeight="1" outlineLevel="2">
      <c r="B727" s="53" t="s">
        <v>186</v>
      </c>
      <c r="C727" s="55" t="s">
        <v>456</v>
      </c>
      <c r="D727" s="23" t="s">
        <v>477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186</v>
      </c>
      <c r="C728" s="61" t="s">
        <v>456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662</v>
      </c>
      <c r="N728" s="249"/>
    </row>
    <row r="729" spans="1:14" ht="18.25" customHeight="1" outlineLevel="2">
      <c r="B729" s="52" t="s">
        <v>186</v>
      </c>
      <c r="C729" s="54" t="s">
        <v>448</v>
      </c>
      <c r="D729" s="7" t="s">
        <v>219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812</v>
      </c>
      <c r="D730" s="7" t="s">
        <v>26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449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186</v>
      </c>
      <c r="C732" s="61" t="s">
        <v>448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50</v>
      </c>
      <c r="N732" s="249"/>
    </row>
    <row r="733" spans="1:14" ht="18.25" customHeight="1" outlineLevel="2">
      <c r="B733" s="53" t="s">
        <v>186</v>
      </c>
      <c r="C733" s="54" t="s">
        <v>450</v>
      </c>
      <c r="D733" s="23" t="s">
        <v>238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465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451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186</v>
      </c>
      <c r="C736" s="61" t="s">
        <v>450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170</v>
      </c>
      <c r="N736" s="249"/>
    </row>
    <row r="737" spans="1:14" s="149" customFormat="1" ht="18.25" customHeight="1">
      <c r="A737" s="569" t="s">
        <v>834</v>
      </c>
      <c r="B737" s="947" t="s">
        <v>325</v>
      </c>
      <c r="C737" s="948"/>
      <c r="D737" s="145">
        <v>32</v>
      </c>
      <c r="E737" s="156">
        <v>1</v>
      </c>
      <c r="F737" s="154">
        <v>61439</v>
      </c>
      <c r="G737" s="352">
        <v>3</v>
      </c>
      <c r="H737" s="353">
        <v>149460</v>
      </c>
      <c r="I737" s="354">
        <v>3</v>
      </c>
      <c r="J737" s="355">
        <v>2</v>
      </c>
      <c r="K737" s="419">
        <v>2</v>
      </c>
      <c r="L737" s="439">
        <v>0</v>
      </c>
      <c r="M737" s="248"/>
      <c r="N737" s="248"/>
    </row>
    <row r="738" spans="1:14" ht="18.25" customHeight="1" outlineLevel="2">
      <c r="B738" s="52" t="s">
        <v>383</v>
      </c>
      <c r="C738" s="54" t="s">
        <v>384</v>
      </c>
      <c r="D738" s="7" t="s">
        <v>182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400</v>
      </c>
      <c r="D739" s="7" t="s">
        <v>180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620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391</v>
      </c>
      <c r="D741" s="7" t="s">
        <v>187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383</v>
      </c>
      <c r="C742" s="54" t="s">
        <v>392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383</v>
      </c>
      <c r="C743" s="54" t="s">
        <v>393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383</v>
      </c>
      <c r="C744" s="61" t="s">
        <v>384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166</v>
      </c>
      <c r="N744" s="249"/>
    </row>
    <row r="745" spans="1:14" ht="18.25" customHeight="1" outlineLevel="2">
      <c r="B745" s="52" t="s">
        <v>383</v>
      </c>
      <c r="C745" s="54" t="s">
        <v>399</v>
      </c>
      <c r="D745" s="7" t="s">
        <v>365</v>
      </c>
      <c r="E745" s="58">
        <v>3</v>
      </c>
      <c r="F745" s="59">
        <v>40827</v>
      </c>
      <c r="G745" s="58">
        <v>4</v>
      </c>
      <c r="H745" s="76">
        <v>52572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383</v>
      </c>
      <c r="C746" s="61" t="s">
        <v>399</v>
      </c>
      <c r="D746" s="26">
        <v>1</v>
      </c>
      <c r="E746" s="69">
        <v>3</v>
      </c>
      <c r="F746" s="70">
        <v>40827</v>
      </c>
      <c r="G746" s="69">
        <v>4</v>
      </c>
      <c r="H746" s="77">
        <v>52572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663</v>
      </c>
      <c r="N746" s="249"/>
    </row>
    <row r="747" spans="1:14" ht="18.25" customHeight="1" outlineLevel="2">
      <c r="B747" s="53" t="s">
        <v>383</v>
      </c>
      <c r="C747" s="54" t="s">
        <v>385</v>
      </c>
      <c r="D747" s="7" t="s">
        <v>219</v>
      </c>
      <c r="E747" s="56">
        <v>0</v>
      </c>
      <c r="F747" s="57">
        <v>0</v>
      </c>
      <c r="G747" s="56">
        <v>2.5</v>
      </c>
      <c r="H747" s="78">
        <v>52809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383</v>
      </c>
      <c r="C748" s="54" t="s">
        <v>772</v>
      </c>
      <c r="D748" s="7" t="s">
        <v>180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383</v>
      </c>
      <c r="C749" s="54" t="s">
        <v>646</v>
      </c>
      <c r="D749" s="7" t="s">
        <v>180</v>
      </c>
      <c r="E749" s="56">
        <v>0</v>
      </c>
      <c r="F749" s="57">
        <v>0</v>
      </c>
      <c r="G749" s="56">
        <v>1.5</v>
      </c>
      <c r="H749" s="78">
        <v>38718</v>
      </c>
      <c r="I749" s="331">
        <v>1</v>
      </c>
      <c r="J749" s="405">
        <v>1</v>
      </c>
      <c r="K749" s="409">
        <v>1</v>
      </c>
      <c r="L749" s="426"/>
    </row>
    <row r="750" spans="1:14" ht="18.25" customHeight="1" outlineLevel="2">
      <c r="B750" s="53" t="s">
        <v>383</v>
      </c>
      <c r="C750" s="54" t="s">
        <v>566</v>
      </c>
      <c r="D750" s="7" t="s">
        <v>180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383</v>
      </c>
      <c r="C751" s="61" t="s">
        <v>385</v>
      </c>
      <c r="D751" s="26">
        <v>4</v>
      </c>
      <c r="E751" s="69">
        <v>0</v>
      </c>
      <c r="F751" s="70">
        <v>0</v>
      </c>
      <c r="G751" s="69">
        <v>4</v>
      </c>
      <c r="H751" s="77">
        <v>91527</v>
      </c>
      <c r="I751" s="320">
        <v>2</v>
      </c>
      <c r="J751" s="321">
        <v>2</v>
      </c>
      <c r="K751" s="322">
        <v>2</v>
      </c>
      <c r="L751" s="434">
        <v>0</v>
      </c>
      <c r="M751" s="249" t="s">
        <v>50</v>
      </c>
      <c r="N751" s="249"/>
    </row>
    <row r="752" spans="1:14" ht="18.25" customHeight="1" outlineLevel="2">
      <c r="B752" s="53" t="s">
        <v>383</v>
      </c>
      <c r="C752" s="54" t="s">
        <v>386</v>
      </c>
      <c r="D752" s="7" t="s">
        <v>183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795</v>
      </c>
      <c r="D753" s="7" t="s">
        <v>180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383</v>
      </c>
      <c r="C754" s="54" t="s">
        <v>390</v>
      </c>
      <c r="D754" s="73" t="s">
        <v>466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383</v>
      </c>
      <c r="C755" s="54" t="s">
        <v>387</v>
      </c>
      <c r="D755" s="73" t="s">
        <v>466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383</v>
      </c>
      <c r="C756" s="54" t="s">
        <v>388</v>
      </c>
      <c r="D756" s="7" t="s">
        <v>180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383</v>
      </c>
      <c r="C757" s="61" t="s">
        <v>386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50</v>
      </c>
      <c r="N757" s="249"/>
    </row>
    <row r="758" spans="1:14" ht="18.25" customHeight="1" outlineLevel="2">
      <c r="B758" s="53" t="s">
        <v>383</v>
      </c>
      <c r="C758" s="54" t="s">
        <v>389</v>
      </c>
      <c r="D758" s="7" t="s">
        <v>365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383</v>
      </c>
      <c r="C759" s="61" t="s">
        <v>389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663</v>
      </c>
      <c r="N759" s="249"/>
    </row>
    <row r="760" spans="1:14" ht="18.25" customHeight="1" outlineLevel="2">
      <c r="B760" s="53" t="s">
        <v>383</v>
      </c>
      <c r="C760" s="54" t="s">
        <v>394</v>
      </c>
      <c r="D760" s="7" t="s">
        <v>183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383</v>
      </c>
      <c r="C761" s="54" t="s">
        <v>395</v>
      </c>
      <c r="D761" s="23" t="s">
        <v>180</v>
      </c>
      <c r="E761" s="56">
        <v>0</v>
      </c>
      <c r="F761" s="57">
        <v>0</v>
      </c>
      <c r="G761" s="56">
        <v>1</v>
      </c>
      <c r="H761" s="78">
        <v>8026</v>
      </c>
      <c r="I761" s="331">
        <v>1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396</v>
      </c>
      <c r="D762" s="7" t="s">
        <v>180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383</v>
      </c>
      <c r="C763" s="54" t="s">
        <v>397</v>
      </c>
      <c r="D763" s="73" t="s">
        <v>778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383</v>
      </c>
      <c r="C764" s="61" t="s">
        <v>394</v>
      </c>
      <c r="D764" s="26">
        <v>4</v>
      </c>
      <c r="E764" s="69">
        <v>0</v>
      </c>
      <c r="F764" s="69">
        <v>0</v>
      </c>
      <c r="G764" s="69">
        <v>1</v>
      </c>
      <c r="H764" s="79">
        <v>8026</v>
      </c>
      <c r="I764" s="320">
        <v>1</v>
      </c>
      <c r="J764" s="321">
        <v>0</v>
      </c>
      <c r="K764" s="322">
        <v>0</v>
      </c>
      <c r="L764" s="434">
        <v>0</v>
      </c>
      <c r="M764" s="249" t="s">
        <v>50</v>
      </c>
      <c r="N764" s="249"/>
    </row>
    <row r="765" spans="1:14" ht="18.25" customHeight="1" outlineLevel="2">
      <c r="B765" s="52" t="s">
        <v>383</v>
      </c>
      <c r="C765" s="54" t="s">
        <v>398</v>
      </c>
      <c r="D765" s="7" t="s">
        <v>179</v>
      </c>
      <c r="E765" s="58">
        <v>0</v>
      </c>
      <c r="F765" s="59">
        <v>0</v>
      </c>
      <c r="G765" s="58">
        <v>1</v>
      </c>
      <c r="H765" s="76">
        <v>35132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383</v>
      </c>
      <c r="C766" s="54" t="s">
        <v>528</v>
      </c>
      <c r="D766" s="23" t="s">
        <v>180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383</v>
      </c>
      <c r="C767" s="61" t="s">
        <v>398</v>
      </c>
      <c r="D767" s="26">
        <v>2</v>
      </c>
      <c r="E767" s="69">
        <v>0</v>
      </c>
      <c r="F767" s="70">
        <v>0</v>
      </c>
      <c r="G767" s="69">
        <v>1</v>
      </c>
      <c r="H767" s="77">
        <v>35132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170</v>
      </c>
      <c r="N767" s="249"/>
    </row>
    <row r="768" spans="1:14" ht="18.25" customHeight="1" outlineLevel="2">
      <c r="B768" s="53" t="s">
        <v>383</v>
      </c>
      <c r="C768" s="54" t="s">
        <v>401</v>
      </c>
      <c r="D768" s="7" t="s">
        <v>183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383</v>
      </c>
      <c r="C769" s="54" t="s">
        <v>405</v>
      </c>
      <c r="D769" s="7" t="s">
        <v>180</v>
      </c>
      <c r="E769" s="58">
        <v>0</v>
      </c>
      <c r="F769" s="59">
        <v>0</v>
      </c>
      <c r="G769" s="58">
        <v>1</v>
      </c>
      <c r="H769" s="76">
        <v>73049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383</v>
      </c>
      <c r="C770" s="54" t="s">
        <v>464</v>
      </c>
      <c r="D770" s="7" t="s">
        <v>180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383</v>
      </c>
      <c r="C771" s="54" t="s">
        <v>402</v>
      </c>
      <c r="D771" s="73" t="s">
        <v>466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25" customHeight="1" outlineLevel="2">
      <c r="B772" s="53" t="s">
        <v>383</v>
      </c>
      <c r="C772" s="54" t="s">
        <v>403</v>
      </c>
      <c r="D772" s="7" t="s">
        <v>180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383</v>
      </c>
      <c r="C773" s="54" t="s">
        <v>404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19">
        <v>0</v>
      </c>
      <c r="J773" s="405">
        <v>0</v>
      </c>
      <c r="K773" s="409">
        <v>0</v>
      </c>
      <c r="L773" s="426"/>
    </row>
    <row r="774" spans="1:14" ht="18.25" customHeight="1" outlineLevel="2">
      <c r="B774" s="53" t="s">
        <v>383</v>
      </c>
      <c r="C774" s="54" t="s">
        <v>406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383</v>
      </c>
      <c r="C775" s="61" t="s">
        <v>401</v>
      </c>
      <c r="D775" s="26">
        <v>7</v>
      </c>
      <c r="E775" s="69">
        <v>0</v>
      </c>
      <c r="F775" s="70">
        <v>0</v>
      </c>
      <c r="G775" s="69">
        <v>1</v>
      </c>
      <c r="H775" s="77">
        <v>73049</v>
      </c>
      <c r="I775" s="320">
        <v>1</v>
      </c>
      <c r="J775" s="321">
        <v>1</v>
      </c>
      <c r="K775" s="322">
        <v>1</v>
      </c>
      <c r="L775" s="434">
        <v>0</v>
      </c>
      <c r="M775" s="249" t="s">
        <v>50</v>
      </c>
      <c r="N775" s="249"/>
    </row>
    <row r="776" spans="1:14" ht="18.25" customHeight="1" outlineLevel="2">
      <c r="B776" s="52" t="s">
        <v>383</v>
      </c>
      <c r="C776" s="54" t="s">
        <v>407</v>
      </c>
      <c r="D776" s="23" t="s">
        <v>179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383</v>
      </c>
      <c r="C777" s="61" t="s">
        <v>407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170</v>
      </c>
    </row>
    <row r="778" spans="1:14" s="161" customFormat="1" ht="18.25" customHeight="1">
      <c r="A778" s="573" t="s">
        <v>833</v>
      </c>
      <c r="B778" s="946" t="s">
        <v>459</v>
      </c>
      <c r="C778" s="946"/>
      <c r="D778" s="157">
        <v>31</v>
      </c>
      <c r="E778" s="158">
        <v>3</v>
      </c>
      <c r="F778" s="159">
        <v>40827</v>
      </c>
      <c r="G778" s="158">
        <v>11</v>
      </c>
      <c r="H778" s="160">
        <v>260306</v>
      </c>
      <c r="I778" s="158">
        <v>6</v>
      </c>
      <c r="J778" s="351">
        <v>5</v>
      </c>
      <c r="K778" s="420">
        <v>5</v>
      </c>
      <c r="L778" s="440">
        <v>0</v>
      </c>
      <c r="M778" s="252"/>
      <c r="N778" s="252"/>
    </row>
    <row r="779" spans="1:14" ht="18.25" customHeight="1" outlineLevel="2">
      <c r="B779" s="52" t="s">
        <v>458</v>
      </c>
      <c r="C779" s="54" t="s">
        <v>421</v>
      </c>
      <c r="D779" s="7" t="s">
        <v>182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428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3</v>
      </c>
      <c r="F782" s="59">
        <v>16222</v>
      </c>
      <c r="G782" s="58">
        <v>3</v>
      </c>
      <c r="H782" s="76">
        <v>16222</v>
      </c>
      <c r="I782" s="319">
        <v>1</v>
      </c>
      <c r="J782" s="405">
        <v>1</v>
      </c>
      <c r="K782" s="409">
        <v>0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5</v>
      </c>
      <c r="E784" s="69">
        <v>3</v>
      </c>
      <c r="F784" s="70">
        <v>16222</v>
      </c>
      <c r="G784" s="69">
        <v>3</v>
      </c>
      <c r="H784" s="77">
        <v>16222</v>
      </c>
      <c r="I784" s="320">
        <v>1</v>
      </c>
      <c r="J784" s="321">
        <v>1</v>
      </c>
      <c r="K784" s="322">
        <v>0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0</v>
      </c>
      <c r="F786" s="59">
        <v>0</v>
      </c>
      <c r="G786" s="58">
        <v>1</v>
      </c>
      <c r="H786" s="76">
        <v>6154</v>
      </c>
      <c r="I786" s="319">
        <v>1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0</v>
      </c>
      <c r="F787" s="59">
        <v>0</v>
      </c>
      <c r="G787" s="58">
        <v>1</v>
      </c>
      <c r="H787" s="76">
        <v>8775</v>
      </c>
      <c r="I787" s="319">
        <v>1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0</v>
      </c>
      <c r="F788" s="70">
        <v>0</v>
      </c>
      <c r="G788" s="69">
        <v>2</v>
      </c>
      <c r="H788" s="77">
        <v>14929</v>
      </c>
      <c r="I788" s="320">
        <v>2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0</v>
      </c>
      <c r="H789" s="76">
        <v>0</v>
      </c>
      <c r="I789" s="319">
        <v>0</v>
      </c>
      <c r="J789" s="405">
        <v>0</v>
      </c>
      <c r="K789" s="409">
        <v>0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0</v>
      </c>
      <c r="H791" s="77">
        <v>0</v>
      </c>
      <c r="I791" s="320">
        <v>0</v>
      </c>
      <c r="J791" s="321">
        <v>0</v>
      </c>
      <c r="K791" s="322">
        <v>0</v>
      </c>
      <c r="L791" s="434">
        <v>0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0</v>
      </c>
      <c r="F792" s="59">
        <v>0</v>
      </c>
      <c r="G792" s="58">
        <v>1</v>
      </c>
      <c r="H792" s="76">
        <v>15040</v>
      </c>
      <c r="I792" s="319">
        <v>1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0</v>
      </c>
      <c r="F795" s="70">
        <v>0</v>
      </c>
      <c r="G795" s="69">
        <v>1</v>
      </c>
      <c r="H795" s="77">
        <v>15040</v>
      </c>
      <c r="I795" s="320">
        <v>1</v>
      </c>
      <c r="J795" s="321">
        <v>0</v>
      </c>
      <c r="K795" s="322">
        <v>0</v>
      </c>
      <c r="L795" s="434">
        <v>0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0</v>
      </c>
      <c r="F796" s="59">
        <v>0</v>
      </c>
      <c r="G796" s="58">
        <v>0</v>
      </c>
      <c r="H796" s="76">
        <v>0</v>
      </c>
      <c r="I796" s="319">
        <v>0</v>
      </c>
      <c r="J796" s="405">
        <v>0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0</v>
      </c>
      <c r="F797" s="70">
        <v>0</v>
      </c>
      <c r="G797" s="69">
        <v>0</v>
      </c>
      <c r="H797" s="77">
        <v>0</v>
      </c>
      <c r="I797" s="320">
        <v>0</v>
      </c>
      <c r="J797" s="321">
        <v>0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0</v>
      </c>
      <c r="H798" s="76">
        <v>0</v>
      </c>
      <c r="I798" s="319">
        <v>0</v>
      </c>
      <c r="J798" s="405">
        <v>0</v>
      </c>
      <c r="K798" s="409">
        <v>0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0</v>
      </c>
      <c r="H799" s="76">
        <v>0</v>
      </c>
      <c r="I799" s="319">
        <v>0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0</v>
      </c>
      <c r="H800" s="77">
        <v>0</v>
      </c>
      <c r="I800" s="320">
        <v>0</v>
      </c>
      <c r="J800" s="321">
        <v>0</v>
      </c>
      <c r="K800" s="322">
        <v>0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0</v>
      </c>
      <c r="H803" s="77">
        <v>0</v>
      </c>
      <c r="I803" s="320">
        <v>0</v>
      </c>
      <c r="J803" s="321">
        <v>0</v>
      </c>
      <c r="K803" s="322">
        <v>0</v>
      </c>
      <c r="L803" s="434">
        <v>0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0</v>
      </c>
      <c r="F804" s="59">
        <v>0</v>
      </c>
      <c r="G804" s="58">
        <v>1</v>
      </c>
      <c r="H804" s="76">
        <v>8510</v>
      </c>
      <c r="I804" s="319">
        <v>1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0</v>
      </c>
      <c r="F806" s="70">
        <v>0</v>
      </c>
      <c r="G806" s="69">
        <v>1</v>
      </c>
      <c r="H806" s="77">
        <v>8510</v>
      </c>
      <c r="I806" s="320">
        <v>1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1</v>
      </c>
      <c r="F807" s="59">
        <v>95211</v>
      </c>
      <c r="G807" s="58">
        <v>1</v>
      </c>
      <c r="H807" s="76">
        <v>95211</v>
      </c>
      <c r="I807" s="319">
        <v>1</v>
      </c>
      <c r="J807" s="405">
        <v>1</v>
      </c>
      <c r="K807" s="409">
        <v>1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1</v>
      </c>
      <c r="F808" s="70">
        <v>95211</v>
      </c>
      <c r="G808" s="69">
        <v>1</v>
      </c>
      <c r="H808" s="77">
        <v>95211</v>
      </c>
      <c r="I808" s="320">
        <v>1</v>
      </c>
      <c r="J808" s="321">
        <v>1</v>
      </c>
      <c r="K808" s="322">
        <v>1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0</v>
      </c>
      <c r="F809" s="59">
        <v>0</v>
      </c>
      <c r="G809" s="58">
        <v>1.5</v>
      </c>
      <c r="H809" s="76">
        <v>34992</v>
      </c>
      <c r="I809" s="319">
        <v>1</v>
      </c>
      <c r="J809" s="405">
        <v>1</v>
      </c>
      <c r="K809" s="409">
        <v>1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0</v>
      </c>
      <c r="F813" s="59">
        <v>0</v>
      </c>
      <c r="G813" s="58">
        <v>1.5</v>
      </c>
      <c r="H813" s="76">
        <v>20170</v>
      </c>
      <c r="I813" s="319">
        <v>1</v>
      </c>
      <c r="J813" s="405">
        <v>1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0</v>
      </c>
      <c r="F814" s="70">
        <v>0</v>
      </c>
      <c r="G814" s="69">
        <v>3</v>
      </c>
      <c r="H814" s="77">
        <v>55162</v>
      </c>
      <c r="I814" s="320">
        <v>2</v>
      </c>
      <c r="J814" s="321">
        <v>2</v>
      </c>
      <c r="K814" s="322">
        <v>1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0</v>
      </c>
      <c r="F816" s="59">
        <v>0</v>
      </c>
      <c r="G816" s="58">
        <v>1</v>
      </c>
      <c r="H816" s="76">
        <v>53874</v>
      </c>
      <c r="I816" s="319">
        <v>1</v>
      </c>
      <c r="J816" s="405">
        <v>1</v>
      </c>
      <c r="K816" s="409">
        <v>1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0</v>
      </c>
      <c r="F817" s="70">
        <v>0</v>
      </c>
      <c r="G817" s="69">
        <v>1</v>
      </c>
      <c r="H817" s="77">
        <v>53874</v>
      </c>
      <c r="I817" s="320">
        <v>1</v>
      </c>
      <c r="J817" s="321">
        <v>1</v>
      </c>
      <c r="K817" s="322">
        <v>1</v>
      </c>
      <c r="L817" s="434">
        <v>1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0</v>
      </c>
      <c r="F818" s="59">
        <v>0</v>
      </c>
      <c r="G818" s="58">
        <v>3</v>
      </c>
      <c r="H818" s="76">
        <v>73659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2</v>
      </c>
      <c r="H820" s="76">
        <v>15335</v>
      </c>
      <c r="I820" s="319">
        <v>1</v>
      </c>
      <c r="J820" s="405">
        <v>1</v>
      </c>
      <c r="K820" s="409">
        <v>0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0</v>
      </c>
      <c r="F822" s="70">
        <v>0</v>
      </c>
      <c r="G822" s="69">
        <v>5</v>
      </c>
      <c r="H822" s="77">
        <v>88994</v>
      </c>
      <c r="I822" s="320">
        <v>2</v>
      </c>
      <c r="J822" s="321">
        <v>2</v>
      </c>
      <c r="K822" s="322">
        <v>1</v>
      </c>
      <c r="L822" s="434">
        <v>0</v>
      </c>
      <c r="M822" s="249" t="s">
        <v>170</v>
      </c>
      <c r="N822" s="249"/>
    </row>
    <row r="823" spans="1:14" s="161" customFormat="1" ht="18.25" customHeight="1">
      <c r="A823" s="573" t="s">
        <v>832</v>
      </c>
      <c r="B823" s="946" t="s">
        <v>460</v>
      </c>
      <c r="C823" s="946"/>
      <c r="D823" s="157">
        <v>32</v>
      </c>
      <c r="E823" s="158">
        <v>4</v>
      </c>
      <c r="F823" s="159">
        <v>111433</v>
      </c>
      <c r="G823" s="158">
        <v>17</v>
      </c>
      <c r="H823" s="160">
        <v>347942</v>
      </c>
      <c r="I823" s="158">
        <v>11</v>
      </c>
      <c r="J823" s="351">
        <v>7</v>
      </c>
      <c r="K823" s="420">
        <v>4</v>
      </c>
      <c r="L823" s="440">
        <v>1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0</v>
      </c>
      <c r="H824" s="76">
        <v>0</v>
      </c>
      <c r="I824" s="319">
        <v>0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578</v>
      </c>
      <c r="C825" s="54" t="s">
        <v>925</v>
      </c>
      <c r="D825" s="23" t="s">
        <v>26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602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19">
        <v>0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578</v>
      </c>
      <c r="C827" s="54" t="s">
        <v>592</v>
      </c>
      <c r="D827" s="23" t="s">
        <v>26</v>
      </c>
      <c r="E827" s="58">
        <v>0</v>
      </c>
      <c r="F827" s="59">
        <v>0</v>
      </c>
      <c r="G827" s="58">
        <v>1</v>
      </c>
      <c r="H827" s="76">
        <v>56013</v>
      </c>
      <c r="I827" s="319">
        <v>1</v>
      </c>
      <c r="J827" s="405">
        <v>1</v>
      </c>
      <c r="K827" s="409">
        <v>1</v>
      </c>
      <c r="L827" s="426"/>
    </row>
    <row r="828" spans="1:14" ht="18.25" customHeight="1" outlineLevel="2">
      <c r="B828" s="53" t="s">
        <v>578</v>
      </c>
      <c r="C828" s="54" t="s">
        <v>681</v>
      </c>
      <c r="D828" s="23" t="s">
        <v>26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578</v>
      </c>
      <c r="C829" s="54" t="s">
        <v>583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578</v>
      </c>
      <c r="C830" s="54" t="s">
        <v>600</v>
      </c>
      <c r="D830" s="23" t="s">
        <v>601</v>
      </c>
      <c r="E830" s="58">
        <v>0</v>
      </c>
      <c r="F830" s="59">
        <v>0</v>
      </c>
      <c r="G830" s="58">
        <v>0</v>
      </c>
      <c r="H830" s="76">
        <v>0</v>
      </c>
      <c r="I830" s="319">
        <v>0</v>
      </c>
      <c r="J830" s="405">
        <v>0</v>
      </c>
      <c r="K830" s="409">
        <v>0</v>
      </c>
      <c r="L830" s="426"/>
    </row>
    <row r="831" spans="1:14" ht="18.25" customHeight="1" outlineLevel="2">
      <c r="B831" s="53" t="s">
        <v>578</v>
      </c>
      <c r="C831" s="54" t="s">
        <v>606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578</v>
      </c>
      <c r="C832" s="54" t="s">
        <v>686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725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578</v>
      </c>
      <c r="C834" s="54" t="s">
        <v>582</v>
      </c>
      <c r="D834" s="23" t="s">
        <v>26</v>
      </c>
      <c r="E834" s="58">
        <v>0</v>
      </c>
      <c r="F834" s="59">
        <v>0</v>
      </c>
      <c r="G834" s="58">
        <v>1</v>
      </c>
      <c r="H834" s="76">
        <v>6000</v>
      </c>
      <c r="I834" s="319">
        <v>1</v>
      </c>
      <c r="J834" s="405">
        <v>0</v>
      </c>
      <c r="K834" s="409">
        <v>0</v>
      </c>
      <c r="L834" s="426"/>
    </row>
    <row r="835" spans="1:14" s="65" customFormat="1" ht="18.25" customHeight="1" outlineLevel="1">
      <c r="A835" s="571"/>
      <c r="B835" s="67" t="s">
        <v>578</v>
      </c>
      <c r="C835" s="61" t="s">
        <v>581</v>
      </c>
      <c r="D835" s="26">
        <v>11</v>
      </c>
      <c r="E835" s="69">
        <v>0</v>
      </c>
      <c r="F835" s="70">
        <v>0</v>
      </c>
      <c r="G835" s="69">
        <v>2</v>
      </c>
      <c r="H835" s="77">
        <v>62013</v>
      </c>
      <c r="I835" s="320">
        <v>2</v>
      </c>
      <c r="J835" s="321">
        <v>1</v>
      </c>
      <c r="K835" s="322">
        <v>1</v>
      </c>
      <c r="L835" s="434">
        <v>0</v>
      </c>
      <c r="M835" s="249" t="s">
        <v>166</v>
      </c>
      <c r="N835" s="249"/>
    </row>
    <row r="836" spans="1:14" ht="18.25" customHeight="1" outlineLevel="2">
      <c r="B836" s="52" t="s">
        <v>578</v>
      </c>
      <c r="C836" s="54" t="s">
        <v>726</v>
      </c>
      <c r="D836" s="23" t="s">
        <v>365</v>
      </c>
      <c r="E836" s="58">
        <v>1</v>
      </c>
      <c r="F836" s="59">
        <v>23040</v>
      </c>
      <c r="G836" s="58">
        <v>3</v>
      </c>
      <c r="H836" s="76">
        <v>81797</v>
      </c>
      <c r="I836" s="319">
        <v>1</v>
      </c>
      <c r="J836" s="405">
        <v>1</v>
      </c>
      <c r="K836" s="409">
        <v>1</v>
      </c>
      <c r="L836" s="426"/>
    </row>
    <row r="837" spans="1:14" s="65" customFormat="1" ht="18.25" customHeight="1" outlineLevel="1">
      <c r="A837" s="571"/>
      <c r="B837" s="67" t="s">
        <v>578</v>
      </c>
      <c r="C837" s="61" t="s">
        <v>726</v>
      </c>
      <c r="D837" s="26">
        <v>1</v>
      </c>
      <c r="E837" s="69">
        <v>1</v>
      </c>
      <c r="F837" s="70">
        <v>23040</v>
      </c>
      <c r="G837" s="69">
        <v>3</v>
      </c>
      <c r="H837" s="77">
        <v>81797</v>
      </c>
      <c r="I837" s="320">
        <v>1</v>
      </c>
      <c r="J837" s="321">
        <v>1</v>
      </c>
      <c r="K837" s="322">
        <v>1</v>
      </c>
      <c r="L837" s="434">
        <v>0</v>
      </c>
      <c r="M837" s="249" t="s">
        <v>663</v>
      </c>
      <c r="N837" s="249"/>
    </row>
    <row r="838" spans="1:14" ht="18.25" customHeight="1" outlineLevel="2">
      <c r="B838" s="52" t="s">
        <v>578</v>
      </c>
      <c r="C838" s="54" t="s">
        <v>584</v>
      </c>
      <c r="D838" s="23" t="s">
        <v>170</v>
      </c>
      <c r="E838" s="58">
        <v>0</v>
      </c>
      <c r="F838" s="59">
        <v>0</v>
      </c>
      <c r="G838" s="58">
        <v>0</v>
      </c>
      <c r="H838" s="76">
        <v>0</v>
      </c>
      <c r="I838" s="319">
        <v>0</v>
      </c>
      <c r="J838" s="405">
        <v>0</v>
      </c>
      <c r="K838" s="409">
        <v>0</v>
      </c>
      <c r="L838" s="426"/>
    </row>
    <row r="839" spans="1:14" ht="18.25" customHeight="1" outlineLevel="2">
      <c r="B839" s="52" t="s">
        <v>578</v>
      </c>
      <c r="C839" s="54" t="s">
        <v>585</v>
      </c>
      <c r="D839" s="23" t="s">
        <v>26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s="65" customFormat="1" ht="18.25" customHeight="1" outlineLevel="1">
      <c r="A840" s="571"/>
      <c r="B840" s="67" t="s">
        <v>578</v>
      </c>
      <c r="C840" s="61" t="s">
        <v>584</v>
      </c>
      <c r="D840" s="26">
        <v>2</v>
      </c>
      <c r="E840" s="69">
        <v>0</v>
      </c>
      <c r="F840" s="70">
        <v>0</v>
      </c>
      <c r="G840" s="69">
        <v>0</v>
      </c>
      <c r="H840" s="77">
        <v>0</v>
      </c>
      <c r="I840" s="320">
        <v>0</v>
      </c>
      <c r="J840" s="321">
        <v>0</v>
      </c>
      <c r="K840" s="322">
        <v>0</v>
      </c>
      <c r="L840" s="434">
        <v>0</v>
      </c>
      <c r="M840" s="249" t="s">
        <v>170</v>
      </c>
      <c r="N840" s="249"/>
    </row>
    <row r="841" spans="1:14" ht="18.25" customHeight="1" outlineLevel="2">
      <c r="B841" s="52" t="s">
        <v>578</v>
      </c>
      <c r="C841" s="55" t="s">
        <v>586</v>
      </c>
      <c r="D841" s="7" t="s">
        <v>168</v>
      </c>
      <c r="E841" s="58">
        <v>0</v>
      </c>
      <c r="F841" s="59">
        <v>0</v>
      </c>
      <c r="G841" s="58">
        <v>0</v>
      </c>
      <c r="H841" s="76">
        <v>0</v>
      </c>
      <c r="I841" s="319">
        <v>0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773</v>
      </c>
      <c r="D842" s="23" t="s">
        <v>26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578</v>
      </c>
      <c r="C843" s="55" t="s">
        <v>707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s="65" customFormat="1" ht="18.25" customHeight="1" outlineLevel="1">
      <c r="A844" s="571"/>
      <c r="B844" s="67" t="s">
        <v>578</v>
      </c>
      <c r="C844" s="61" t="s">
        <v>586</v>
      </c>
      <c r="D844" s="26">
        <v>3</v>
      </c>
      <c r="E844" s="69">
        <v>0</v>
      </c>
      <c r="F844" s="70">
        <v>0</v>
      </c>
      <c r="G844" s="69">
        <v>0</v>
      </c>
      <c r="H844" s="77">
        <v>0</v>
      </c>
      <c r="I844" s="320">
        <v>0</v>
      </c>
      <c r="J844" s="321">
        <v>0</v>
      </c>
      <c r="K844" s="322">
        <v>0</v>
      </c>
      <c r="L844" s="434">
        <v>0</v>
      </c>
      <c r="M844" s="249" t="s">
        <v>168</v>
      </c>
      <c r="N844" s="249"/>
    </row>
    <row r="845" spans="1:14" ht="18.25" customHeight="1" outlineLevel="2">
      <c r="B845" s="52" t="s">
        <v>578</v>
      </c>
      <c r="C845" s="55" t="s">
        <v>587</v>
      </c>
      <c r="D845" s="7" t="s">
        <v>170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ht="18.25" customHeight="1" outlineLevel="2">
      <c r="B846" s="52" t="s">
        <v>578</v>
      </c>
      <c r="C846" s="55" t="s">
        <v>588</v>
      </c>
      <c r="D846" s="7" t="s">
        <v>26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s="65" customFormat="1" ht="18.25" customHeight="1" outlineLevel="1">
      <c r="A847" s="571"/>
      <c r="B847" s="67" t="s">
        <v>578</v>
      </c>
      <c r="C847" s="61" t="s">
        <v>587</v>
      </c>
      <c r="D847" s="26">
        <v>2</v>
      </c>
      <c r="E847" s="69">
        <v>0</v>
      </c>
      <c r="F847" s="70">
        <v>0</v>
      </c>
      <c r="G847" s="69">
        <v>0</v>
      </c>
      <c r="H847" s="77">
        <v>0</v>
      </c>
      <c r="I847" s="320">
        <v>0</v>
      </c>
      <c r="J847" s="321">
        <v>0</v>
      </c>
      <c r="K847" s="322">
        <v>0</v>
      </c>
      <c r="L847" s="434">
        <v>0</v>
      </c>
      <c r="M847" s="249" t="s">
        <v>170</v>
      </c>
      <c r="N847" s="249"/>
    </row>
    <row r="848" spans="1:14" ht="18.25" customHeight="1" outlineLevel="2">
      <c r="B848" s="52" t="s">
        <v>578</v>
      </c>
      <c r="C848" s="55" t="s">
        <v>589</v>
      </c>
      <c r="D848" s="7" t="s">
        <v>170</v>
      </c>
      <c r="E848" s="58">
        <v>0</v>
      </c>
      <c r="F848" s="59">
        <v>0</v>
      </c>
      <c r="G848" s="58">
        <v>1</v>
      </c>
      <c r="H848" s="76">
        <v>634</v>
      </c>
      <c r="I848" s="319">
        <v>1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591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705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578</v>
      </c>
      <c r="C851" s="55" t="s">
        <v>590</v>
      </c>
      <c r="D851" s="7" t="s">
        <v>26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s="65" customFormat="1" ht="18.25" customHeight="1" outlineLevel="1">
      <c r="A852" s="571"/>
      <c r="B852" s="67" t="s">
        <v>578</v>
      </c>
      <c r="C852" s="61" t="s">
        <v>589</v>
      </c>
      <c r="D852" s="26">
        <v>4</v>
      </c>
      <c r="E852" s="69">
        <v>0</v>
      </c>
      <c r="F852" s="70">
        <v>0</v>
      </c>
      <c r="G852" s="69">
        <v>1</v>
      </c>
      <c r="H852" s="77">
        <v>634</v>
      </c>
      <c r="I852" s="320">
        <v>1</v>
      </c>
      <c r="J852" s="321">
        <v>0</v>
      </c>
      <c r="K852" s="322">
        <v>0</v>
      </c>
      <c r="L852" s="434">
        <v>0</v>
      </c>
      <c r="M852" s="249" t="s">
        <v>170</v>
      </c>
      <c r="N852" s="249"/>
    </row>
    <row r="853" spans="1:14" ht="18.25" customHeight="1" outlineLevel="2">
      <c r="B853" s="53" t="s">
        <v>578</v>
      </c>
      <c r="C853" s="55" t="s">
        <v>593</v>
      </c>
      <c r="D853" s="7" t="s">
        <v>168</v>
      </c>
      <c r="E853" s="58">
        <v>0</v>
      </c>
      <c r="F853" s="59">
        <v>0</v>
      </c>
      <c r="G853" s="58">
        <v>1</v>
      </c>
      <c r="H853" s="76">
        <v>31076</v>
      </c>
      <c r="I853" s="319">
        <v>1</v>
      </c>
      <c r="J853" s="405">
        <v>1</v>
      </c>
      <c r="K853" s="409">
        <v>1</v>
      </c>
      <c r="L853" s="426"/>
    </row>
    <row r="854" spans="1:14" ht="18.25" customHeight="1" outlineLevel="2">
      <c r="B854" s="53" t="s">
        <v>578</v>
      </c>
      <c r="C854" s="55" t="s">
        <v>848</v>
      </c>
      <c r="D854" s="23" t="s">
        <v>26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578</v>
      </c>
      <c r="C855" s="55" t="s">
        <v>594</v>
      </c>
      <c r="D855" s="23" t="s">
        <v>26</v>
      </c>
      <c r="E855" s="58">
        <v>0</v>
      </c>
      <c r="F855" s="59">
        <v>0</v>
      </c>
      <c r="G855" s="58">
        <v>1</v>
      </c>
      <c r="H855" s="76">
        <v>9594</v>
      </c>
      <c r="I855" s="319">
        <v>1</v>
      </c>
      <c r="J855" s="405">
        <v>0</v>
      </c>
      <c r="K855" s="409">
        <v>0</v>
      </c>
      <c r="L855" s="426"/>
    </row>
    <row r="856" spans="1:14" s="65" customFormat="1" ht="18.25" customHeight="1" outlineLevel="1">
      <c r="A856" s="571"/>
      <c r="B856" s="67" t="s">
        <v>578</v>
      </c>
      <c r="C856" s="61" t="s">
        <v>593</v>
      </c>
      <c r="D856" s="26">
        <v>3</v>
      </c>
      <c r="E856" s="69">
        <v>0</v>
      </c>
      <c r="F856" s="70">
        <v>0</v>
      </c>
      <c r="G856" s="69">
        <v>2</v>
      </c>
      <c r="H856" s="77">
        <v>40670</v>
      </c>
      <c r="I856" s="320">
        <v>2</v>
      </c>
      <c r="J856" s="321">
        <v>1</v>
      </c>
      <c r="K856" s="322">
        <v>1</v>
      </c>
      <c r="L856" s="434">
        <v>1</v>
      </c>
      <c r="M856" s="249" t="s">
        <v>168</v>
      </c>
      <c r="N856" s="249"/>
    </row>
    <row r="857" spans="1:14" ht="18.25" customHeight="1" outlineLevel="2">
      <c r="B857" s="53" t="s">
        <v>578</v>
      </c>
      <c r="C857" s="54" t="s">
        <v>595</v>
      </c>
      <c r="D857" s="7" t="s">
        <v>50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599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779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596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578</v>
      </c>
      <c r="C861" s="54" t="s">
        <v>597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s="65" customFormat="1" ht="18.25" customHeight="1" outlineLevel="1">
      <c r="A862" s="571"/>
      <c r="B862" s="67" t="s">
        <v>578</v>
      </c>
      <c r="C862" s="61" t="s">
        <v>595</v>
      </c>
      <c r="D862" s="26">
        <v>5</v>
      </c>
      <c r="E862" s="69">
        <v>0</v>
      </c>
      <c r="F862" s="70">
        <v>0</v>
      </c>
      <c r="G862" s="69">
        <v>0</v>
      </c>
      <c r="H862" s="77">
        <v>0</v>
      </c>
      <c r="I862" s="320">
        <v>0</v>
      </c>
      <c r="J862" s="321">
        <v>0</v>
      </c>
      <c r="K862" s="322">
        <v>0</v>
      </c>
      <c r="L862" s="434">
        <v>0</v>
      </c>
      <c r="M862" s="249" t="s">
        <v>50</v>
      </c>
      <c r="N862" s="249"/>
    </row>
    <row r="863" spans="1:14" ht="18.25" customHeight="1" outlineLevel="2">
      <c r="B863" s="53" t="s">
        <v>578</v>
      </c>
      <c r="C863" s="54" t="s">
        <v>598</v>
      </c>
      <c r="D863" s="7" t="s">
        <v>188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ht="18.25" customHeight="1" outlineLevel="2">
      <c r="B864" s="53" t="s">
        <v>578</v>
      </c>
      <c r="C864" s="54" t="s">
        <v>630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s="65" customFormat="1" ht="18.25" customHeight="1" outlineLevel="1">
      <c r="A865" s="571"/>
      <c r="B865" s="67" t="s">
        <v>578</v>
      </c>
      <c r="C865" s="61" t="s">
        <v>598</v>
      </c>
      <c r="D865" s="26">
        <v>2</v>
      </c>
      <c r="E865" s="69">
        <v>0</v>
      </c>
      <c r="F865" s="70">
        <v>0</v>
      </c>
      <c r="G865" s="69">
        <v>0</v>
      </c>
      <c r="H865" s="77">
        <v>0</v>
      </c>
      <c r="I865" s="320">
        <v>0</v>
      </c>
      <c r="J865" s="321">
        <v>0</v>
      </c>
      <c r="K865" s="322">
        <v>0</v>
      </c>
      <c r="L865" s="434">
        <v>0</v>
      </c>
      <c r="M865" s="249" t="s">
        <v>168</v>
      </c>
      <c r="N865" s="249"/>
    </row>
    <row r="866" spans="1:17" ht="18.25" customHeight="1" outlineLevel="2">
      <c r="B866" s="53" t="s">
        <v>578</v>
      </c>
      <c r="C866" s="54" t="s">
        <v>603</v>
      </c>
      <c r="D866" s="7" t="s">
        <v>170</v>
      </c>
      <c r="E866" s="58">
        <v>0</v>
      </c>
      <c r="F866" s="59">
        <v>0</v>
      </c>
      <c r="G866" s="58">
        <v>1</v>
      </c>
      <c r="H866" s="76">
        <v>25280</v>
      </c>
      <c r="I866" s="319">
        <v>1</v>
      </c>
      <c r="J866" s="405">
        <v>1</v>
      </c>
      <c r="K866" s="409">
        <v>1</v>
      </c>
      <c r="L866" s="426"/>
    </row>
    <row r="867" spans="1:17" ht="18.25" customHeight="1" outlineLevel="2">
      <c r="B867" s="53" t="s">
        <v>578</v>
      </c>
      <c r="C867" s="54" t="s">
        <v>604</v>
      </c>
      <c r="D867" s="23" t="s">
        <v>26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578</v>
      </c>
      <c r="C868" s="54" t="s">
        <v>605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s="65" customFormat="1" ht="18.25" customHeight="1" outlineLevel="1">
      <c r="A869" s="571"/>
      <c r="B869" s="67" t="s">
        <v>578</v>
      </c>
      <c r="C869" s="61" t="s">
        <v>603</v>
      </c>
      <c r="D869" s="26">
        <v>3</v>
      </c>
      <c r="E869" s="69">
        <v>0</v>
      </c>
      <c r="F869" s="70">
        <v>0</v>
      </c>
      <c r="G869" s="69">
        <v>1</v>
      </c>
      <c r="H869" s="77">
        <v>25280</v>
      </c>
      <c r="I869" s="320">
        <v>1</v>
      </c>
      <c r="J869" s="321">
        <v>1</v>
      </c>
      <c r="K869" s="322">
        <v>1</v>
      </c>
      <c r="L869" s="434">
        <v>0</v>
      </c>
      <c r="M869" s="249" t="s">
        <v>170</v>
      </c>
      <c r="N869" s="249"/>
    </row>
    <row r="870" spans="1:17" s="161" customFormat="1" ht="18.25" customHeight="1">
      <c r="A870" s="573" t="s">
        <v>831</v>
      </c>
      <c r="B870" s="946" t="s">
        <v>579</v>
      </c>
      <c r="C870" s="946"/>
      <c r="D870" s="157">
        <v>36</v>
      </c>
      <c r="E870" s="158">
        <v>1</v>
      </c>
      <c r="F870" s="159">
        <v>23040</v>
      </c>
      <c r="G870" s="158">
        <v>9</v>
      </c>
      <c r="H870" s="160">
        <v>210394</v>
      </c>
      <c r="I870" s="158">
        <v>7</v>
      </c>
      <c r="J870" s="160">
        <v>4</v>
      </c>
      <c r="K870" s="421">
        <v>4</v>
      </c>
      <c r="L870" s="440">
        <v>1</v>
      </c>
      <c r="M870" s="252"/>
      <c r="N870" s="252"/>
    </row>
    <row r="871" spans="1:17" s="1" customFormat="1">
      <c r="A871" s="570"/>
      <c r="D871" s="60"/>
      <c r="E871" s="49"/>
      <c r="F871" s="49"/>
      <c r="G871" s="49"/>
      <c r="H871" s="49"/>
      <c r="I871" s="292"/>
      <c r="J871" s="307"/>
      <c r="K871" s="307"/>
      <c r="L871" s="424"/>
      <c r="O871"/>
      <c r="P871"/>
      <c r="Q871"/>
    </row>
    <row r="872" spans="1:17" s="1" customFormat="1">
      <c r="A872" s="570"/>
      <c r="B872" s="1" t="s">
        <v>553</v>
      </c>
      <c r="D872" s="71">
        <v>587</v>
      </c>
      <c r="E872" s="72">
        <v>39</v>
      </c>
      <c r="F872" s="72">
        <v>1024380</v>
      </c>
      <c r="G872" s="72">
        <v>199</v>
      </c>
      <c r="H872" s="72">
        <v>6787240</v>
      </c>
      <c r="I872" s="333">
        <v>118</v>
      </c>
      <c r="J872" s="334">
        <v>81</v>
      </c>
      <c r="K872" s="334">
        <v>57</v>
      </c>
      <c r="L872" s="441" t="e">
        <v>#VALUE!</v>
      </c>
      <c r="O872"/>
      <c r="P872"/>
      <c r="Q872"/>
    </row>
    <row r="873" spans="1:17" s="1" customFormat="1">
      <c r="A873" s="570"/>
      <c r="D873" s="71"/>
      <c r="E873" s="72"/>
      <c r="F873" s="72"/>
      <c r="H873" s="206"/>
      <c r="L873" s="442"/>
      <c r="O873"/>
      <c r="P873"/>
      <c r="Q873"/>
    </row>
    <row r="875" spans="1:17" s="1" customFormat="1">
      <c r="A875" s="570"/>
      <c r="D875" s="71"/>
      <c r="I875" s="292"/>
      <c r="J875" s="307"/>
      <c r="K875" s="307"/>
      <c r="L875" s="424"/>
      <c r="O875"/>
      <c r="P875"/>
      <c r="Q875"/>
    </row>
  </sheetData>
  <mergeCells count="18">
    <mergeCell ref="B1:I1"/>
    <mergeCell ref="B3:C3"/>
    <mergeCell ref="E3:F3"/>
    <mergeCell ref="G3:H3"/>
    <mergeCell ref="B97:C97"/>
    <mergeCell ref="B33:C33"/>
    <mergeCell ref="B447:C447"/>
    <mergeCell ref="B230:C230"/>
    <mergeCell ref="B287:C287"/>
    <mergeCell ref="B357:C357"/>
    <mergeCell ref="B385:C385"/>
    <mergeCell ref="B870:C870"/>
    <mergeCell ref="B508:C508"/>
    <mergeCell ref="B656:C656"/>
    <mergeCell ref="B685:C685"/>
    <mergeCell ref="B737:C737"/>
    <mergeCell ref="B778:C778"/>
    <mergeCell ref="B823:C823"/>
  </mergeCells>
  <phoneticPr fontId="3" type="noConversion"/>
  <conditionalFormatting sqref="E848:I848 E765:I765 E738:I738 E760:I763 E768:I768 E725:I725 J869 E867:I869 E841:I841 E844:I845 E770:I774 E816:I818 E865:I865 E450:I450 E742:I744 E798:I798 E470:I471 L822:L823 E733:I736 E860:I861 E834:I834 E746:I747 E781:I783 E752:I756 E455:I456 E776:I776 E476:I477 E853:I857 E800:I809 E824:I830 E870:J870 E453:L453 J455:L455 J459:L459 J462:L462 F465:L465 J471:L471 J479:L479 J726:L726 J728:L728 E732:L732 J736:L736 J744:L744 E751:L751 E757:L757 E764:L764 E767:L767 E775:L775 E777:L778 E835:L835 J844:L844 E847:L847 E852:L852 J856:L856 E862:L862 K869:L870 J476:L476 E473:L473 K784:L784 K788:L788 K791:L791 K795:L795 K800:L800 K803:L803 K806:L806 K808:L808 K814:L814 K817:L817 K822 K823:L823 K840:L840 K865:L865 K797 K837 K759 K746">
    <cfRule type="cellIs" dxfId="246" priority="545" stopIfTrue="1" operator="equal">
      <formula>0</formula>
    </cfRule>
  </conditionalFormatting>
  <conditionalFormatting sqref="E866:I866">
    <cfRule type="cellIs" dxfId="245" priority="544" stopIfTrue="1" operator="equal">
      <formula>0</formula>
    </cfRule>
  </conditionalFormatting>
  <conditionalFormatting sqref="E766:I766">
    <cfRule type="cellIs" dxfId="244" priority="543" stopIfTrue="1" operator="equal">
      <formula>0</formula>
    </cfRule>
  </conditionalFormatting>
  <conditionalFormatting sqref="E741:H741">
    <cfRule type="cellIs" dxfId="243" priority="542" stopIfTrue="1" operator="equal">
      <formula>0</formula>
    </cfRule>
  </conditionalFormatting>
  <conditionalFormatting sqref="I741">
    <cfRule type="cellIs" dxfId="242" priority="541" stopIfTrue="1" operator="equal">
      <formula>0</formula>
    </cfRule>
  </conditionalFormatting>
  <conditionalFormatting sqref="E726:I729">
    <cfRule type="cellIs" dxfId="241" priority="540" stopIfTrue="1" operator="equal">
      <formula>0</formula>
    </cfRule>
  </conditionalFormatting>
  <conditionalFormatting sqref="E723:I723">
    <cfRule type="cellIs" dxfId="240" priority="539" stopIfTrue="1" operator="equal">
      <formula>0</formula>
    </cfRule>
  </conditionalFormatting>
  <conditionalFormatting sqref="E466:I466 E465 E479:I479 E459:I460 E462:I463">
    <cfRule type="cellIs" dxfId="239" priority="538" stopIfTrue="1" operator="equal">
      <formula>0</formula>
    </cfRule>
  </conditionalFormatting>
  <conditionalFormatting sqref="E454:I454">
    <cfRule type="cellIs" dxfId="238" priority="537" stopIfTrue="1" operator="equal">
      <formula>0</formula>
    </cfRule>
  </conditionalFormatting>
  <conditionalFormatting sqref="J847:J848 J607:J608 J347:J348 J247:J249 J680:J681 J594:J595 J841 J588:J589 J844:J845 J310:J311 J300 J225 J591 J367:J371 J571:J574 J567:J569 J794:J795 J15:J16 J28:J29 J377:J379 J597:J602 J465:J466 J373:J375 J90 J313:J341 J546:J549 J55:J56 J860:J862 J260 J812:J824 J479:J483 J830 J700:J704 J544 J650:J651 J633 J642:J648 J250:L259 J759:J768 J770:J778 J350:J358 J684:J698 J852:J857 J800:J809 J470:J474 J343:J345 L188:L197 J408:J411 J780:J784 J485:J493 J563:J564 J19:J20 J446:J450 J797:J798 J832:L837 J708:J711 J380:L395 J262:J263 J360:J364 J576:J585 J498:J499 J495:J496 J501:J502 J94 K830:L831 J554:J558 J560:J561 J453:J456 K306:L306 J551:J552 J751:J757 J297 J610:J614 J289:L292 J61 K642:L651 J626:J631 J635:J640 J5:J8 K293:L293 J459:J463 J220:J221 J190:K192 J476:J477 K297:L300 J865:J870 K800:L824 J675:J678 J662:J672 K193:K197 J618:J623 J275:J288 J193:J199 J438:L445 J78:J81 K295:L295 J213:J218 J301:L305 J58:J59 J396:J402 J825:L829 K260:L288 K308:L379 K446:L534 K544:L558 K560:L624 K653:L798 K838:L870 J84:J88 J267:J272 J799:L799 J715:J738 J541 K543 J413:J437 J228:J242 J131:J187 J188:K188 K541:L542 J10:J12 J202:J211 J22:J23 J25:J26 K198:L249 J96:J122 J505:J511 J706 J741:J747 J404:J405 K396:L437 J32:J37 J536 K540 K536:L537 J559:L559 K5:L37 J294:L294 J296:L296 J307:L307 J125:J129 J64:J74 J39:J52 K626:L640 J653:J659 J641:L641 K625 J82:K82 K539:L539 J516:J533 K535 K96:L187 K95 K83:L94 K39:L81 K538 J38:L38 J652:L652">
    <cfRule type="cellIs" dxfId="237" priority="535" operator="equal">
      <formula>0</formula>
    </cfRule>
  </conditionalFormatting>
  <conditionalFormatting sqref="J570">
    <cfRule type="cellIs" dxfId="236" priority="534" operator="equal">
      <formula>0</formula>
    </cfRule>
  </conditionalFormatting>
  <conditionalFormatting sqref="J366">
    <cfRule type="cellIs" dxfId="235" priority="533" operator="equal">
      <formula>0</formula>
    </cfRule>
  </conditionalFormatting>
  <conditionalFormatting sqref="J592">
    <cfRule type="cellIs" dxfId="234" priority="532" operator="equal">
      <formula>0</formula>
    </cfRule>
  </conditionalFormatting>
  <conditionalFormatting sqref="E846:I846">
    <cfRule type="cellIs" dxfId="233" priority="531" stopIfTrue="1" operator="equal">
      <formula>0</formula>
    </cfRule>
  </conditionalFormatting>
  <conditionalFormatting sqref="J846">
    <cfRule type="cellIs" dxfId="232" priority="530" operator="equal">
      <formula>0</formula>
    </cfRule>
  </conditionalFormatting>
  <conditionalFormatting sqref="J606">
    <cfRule type="cellIs" dxfId="231" priority="529" operator="equal">
      <formula>0</formula>
    </cfRule>
  </conditionalFormatting>
  <conditionalFormatting sqref="J346">
    <cfRule type="cellIs" dxfId="230" priority="528" operator="equal">
      <formula>0</formula>
    </cfRule>
  </conditionalFormatting>
  <conditionalFormatting sqref="J219">
    <cfRule type="cellIs" dxfId="229" priority="527" operator="equal">
      <formula>0</formula>
    </cfRule>
  </conditionalFormatting>
  <conditionalFormatting sqref="J226">
    <cfRule type="cellIs" dxfId="228" priority="526" operator="equal">
      <formula>0</formula>
    </cfRule>
  </conditionalFormatting>
  <conditionalFormatting sqref="J566">
    <cfRule type="cellIs" dxfId="227" priority="524" operator="equal">
      <formula>0</formula>
    </cfRule>
  </conditionalFormatting>
  <conditionalFormatting sqref="E731:I731">
    <cfRule type="cellIs" dxfId="226" priority="523" stopIfTrue="1" operator="equal">
      <formula>0</formula>
    </cfRule>
  </conditionalFormatting>
  <conditionalFormatting sqref="J750">
    <cfRule type="cellIs" dxfId="225" priority="521" operator="equal">
      <formula>0</formula>
    </cfRule>
  </conditionalFormatting>
  <conditionalFormatting sqref="E750:I750">
    <cfRule type="cellIs" dxfId="224" priority="522" stopIfTrue="1" operator="equal">
      <formula>0</formula>
    </cfRule>
  </conditionalFormatting>
  <conditionalFormatting sqref="J484">
    <cfRule type="cellIs" dxfId="223" priority="520" operator="equal">
      <formula>0</formula>
    </cfRule>
  </conditionalFormatting>
  <conditionalFormatting sqref="J157">
    <cfRule type="cellIs" dxfId="222" priority="519" operator="equal">
      <formula>0</formula>
    </cfRule>
  </conditionalFormatting>
  <conditionalFormatting sqref="J140">
    <cfRule type="cellIs" dxfId="221" priority="518" operator="equal">
      <formula>0</formula>
    </cfRule>
  </conditionalFormatting>
  <conditionalFormatting sqref="J91">
    <cfRule type="cellIs" dxfId="220" priority="517" operator="equal">
      <formula>0</formula>
    </cfRule>
  </conditionalFormatting>
  <conditionalFormatting sqref="E792:I792 E813:I813 E784:J784 J788 E795:J795 J800 J803 J806 J808 J817 J822:J823 E791:J791 E819:I823 E814:J814 E779:I779 E785:I789">
    <cfRule type="cellIs" dxfId="219" priority="516" stopIfTrue="1" operator="equal">
      <formula>0</formula>
    </cfRule>
  </conditionalFormatting>
  <conditionalFormatting sqref="E794:I794">
    <cfRule type="cellIs" dxfId="218" priority="515" stopIfTrue="1" operator="equal">
      <formula>0</formula>
    </cfRule>
  </conditionalFormatting>
  <conditionalFormatting sqref="E812:I812">
    <cfRule type="cellIs" dxfId="217" priority="514" stopIfTrue="1" operator="equal">
      <formula>0</formula>
    </cfRule>
  </conditionalFormatting>
  <conditionalFormatting sqref="E815:I815">
    <cfRule type="cellIs" dxfId="216" priority="513" stopIfTrue="1" operator="equal">
      <formula>0</formula>
    </cfRule>
  </conditionalFormatting>
  <conditionalFormatting sqref="J791:J792 J779 J785:J789">
    <cfRule type="cellIs" dxfId="215" priority="512" operator="equal">
      <formula>0</formula>
    </cfRule>
  </conditionalFormatting>
  <conditionalFormatting sqref="E790:I790">
    <cfRule type="cellIs" dxfId="214" priority="511" stopIfTrue="1" operator="equal">
      <formula>0</formula>
    </cfRule>
  </conditionalFormatting>
  <conditionalFormatting sqref="J790">
    <cfRule type="cellIs" dxfId="213" priority="510" operator="equal">
      <formula>0</formula>
    </cfRule>
  </conditionalFormatting>
  <conditionalFormatting sqref="E851:I851">
    <cfRule type="cellIs" dxfId="212" priority="509" stopIfTrue="1" operator="equal">
      <formula>0</formula>
    </cfRule>
  </conditionalFormatting>
  <conditionalFormatting sqref="J851">
    <cfRule type="cellIs" dxfId="211" priority="508" operator="equal">
      <formula>0</formula>
    </cfRule>
  </conditionalFormatting>
  <conditionalFormatting sqref="J515">
    <cfRule type="cellIs" dxfId="210" priority="507" operator="equal">
      <formula>0</formula>
    </cfRule>
  </conditionalFormatting>
  <conditionalFormatting sqref="L778">
    <cfRule type="cellIs" dxfId="209" priority="506" stopIfTrue="1" operator="equal">
      <formula>0</formula>
    </cfRule>
  </conditionalFormatting>
  <conditionalFormatting sqref="J298:J299">
    <cfRule type="cellIs" dxfId="208" priority="484" operator="equal">
      <formula>0</formula>
    </cfRule>
  </conditionalFormatting>
  <conditionalFormatting sqref="J376">
    <cfRule type="cellIs" dxfId="207" priority="482" operator="equal">
      <formula>0</formula>
    </cfRule>
  </conditionalFormatting>
  <conditionalFormatting sqref="J243">
    <cfRule type="cellIs" dxfId="206" priority="481" operator="equal">
      <formula>0</formula>
    </cfRule>
  </conditionalFormatting>
  <conditionalFormatting sqref="J246">
    <cfRule type="cellIs" dxfId="205" priority="480" operator="equal">
      <formula>0</formula>
    </cfRule>
  </conditionalFormatting>
  <conditionalFormatting sqref="J312">
    <cfRule type="cellIs" dxfId="204" priority="477" operator="equal">
      <formula>0</formula>
    </cfRule>
  </conditionalFormatting>
  <conditionalFormatting sqref="J349">
    <cfRule type="cellIs" dxfId="203" priority="475" operator="equal">
      <formula>0</formula>
    </cfRule>
  </conditionalFormatting>
  <conditionalFormatting sqref="J403">
    <cfRule type="cellIs" dxfId="202" priority="472" operator="equal">
      <formula>0</formula>
    </cfRule>
  </conditionalFormatting>
  <conditionalFormatting sqref="J224">
    <cfRule type="cellIs" dxfId="201" priority="471" operator="equal">
      <formula>0</formula>
    </cfRule>
  </conditionalFormatting>
  <conditionalFormatting sqref="J227">
    <cfRule type="cellIs" dxfId="200" priority="470" operator="equal">
      <formula>0</formula>
    </cfRule>
  </conditionalFormatting>
  <conditionalFormatting sqref="J514">
    <cfRule type="cellIs" dxfId="199" priority="465" operator="equal">
      <formula>0</formula>
    </cfRule>
  </conditionalFormatting>
  <conditionalFormatting sqref="J201">
    <cfRule type="cellIs" dxfId="198" priority="468" operator="equal">
      <formula>0</formula>
    </cfRule>
  </conditionalFormatting>
  <conditionalFormatting sqref="J545">
    <cfRule type="cellIs" dxfId="197" priority="467" operator="equal">
      <formula>0</formula>
    </cfRule>
  </conditionalFormatting>
  <conditionalFormatting sqref="J609">
    <cfRule type="cellIs" dxfId="196" priority="461" operator="equal">
      <formula>0</formula>
    </cfRule>
  </conditionalFormatting>
  <conditionalFormatting sqref="E769:I769">
    <cfRule type="cellIs" dxfId="195" priority="459" stopIfTrue="1" operator="equal">
      <formula>0</formula>
    </cfRule>
  </conditionalFormatting>
  <conditionalFormatting sqref="J769">
    <cfRule type="cellIs" dxfId="194" priority="458" operator="equal">
      <formula>0</formula>
    </cfRule>
  </conditionalFormatting>
  <conditionalFormatting sqref="E740:H740">
    <cfRule type="cellIs" dxfId="193" priority="457" stopIfTrue="1" operator="equal">
      <formula>0</formula>
    </cfRule>
  </conditionalFormatting>
  <conditionalFormatting sqref="I740">
    <cfRule type="cellIs" dxfId="192" priority="456" stopIfTrue="1" operator="equal">
      <formula>0</formula>
    </cfRule>
  </conditionalFormatting>
  <conditionalFormatting sqref="J740">
    <cfRule type="cellIs" dxfId="191" priority="455" operator="equal">
      <formula>0</formula>
    </cfRule>
  </conditionalFormatting>
  <conditionalFormatting sqref="J266">
    <cfRule type="cellIs" dxfId="190" priority="453" operator="equal">
      <formula>0</formula>
    </cfRule>
  </conditionalFormatting>
  <conditionalFormatting sqref="J124">
    <cfRule type="cellIs" dxfId="189" priority="451" operator="equal">
      <formula>0</formula>
    </cfRule>
  </conditionalFormatting>
  <conditionalFormatting sqref="J372">
    <cfRule type="cellIs" dxfId="188" priority="450" operator="equal">
      <formula>0</formula>
    </cfRule>
  </conditionalFormatting>
  <conditionalFormatting sqref="J596">
    <cfRule type="cellIs" dxfId="187" priority="448" operator="equal">
      <formula>0</formula>
    </cfRule>
  </conditionalFormatting>
  <conditionalFormatting sqref="E838:I838 E840:J840">
    <cfRule type="cellIs" dxfId="186" priority="446" stopIfTrue="1" operator="equal">
      <formula>0</formula>
    </cfRule>
  </conditionalFormatting>
  <conditionalFormatting sqref="J838 J840">
    <cfRule type="cellIs" dxfId="185" priority="445" operator="equal">
      <formula>0</formula>
    </cfRule>
  </conditionalFormatting>
  <conditionalFormatting sqref="E839:I839">
    <cfRule type="cellIs" dxfId="184" priority="444" stopIfTrue="1" operator="equal">
      <formula>0</formula>
    </cfRule>
  </conditionalFormatting>
  <conditionalFormatting sqref="J839">
    <cfRule type="cellIs" dxfId="183" priority="443" operator="equal">
      <formula>0</formula>
    </cfRule>
  </conditionalFormatting>
  <conditionalFormatting sqref="J586:J587">
    <cfRule type="cellIs" dxfId="182" priority="439" operator="equal">
      <formula>0</formula>
    </cfRule>
  </conditionalFormatting>
  <conditionalFormatting sqref="J865 E863:I863">
    <cfRule type="cellIs" dxfId="181" priority="437" stopIfTrue="1" operator="equal">
      <formula>0</formula>
    </cfRule>
  </conditionalFormatting>
  <conditionalFormatting sqref="J863">
    <cfRule type="cellIs" dxfId="180" priority="436" operator="equal">
      <formula>0</formula>
    </cfRule>
  </conditionalFormatting>
  <conditionalFormatting sqref="E864:I864">
    <cfRule type="cellIs" dxfId="179" priority="435" stopIfTrue="1" operator="equal">
      <formula>0</formula>
    </cfRule>
  </conditionalFormatting>
  <conditionalFormatting sqref="J864">
    <cfRule type="cellIs" dxfId="178" priority="434" operator="equal">
      <formula>0</formula>
    </cfRule>
  </conditionalFormatting>
  <conditionalFormatting sqref="J9">
    <cfRule type="cellIs" dxfId="177" priority="430" operator="equal">
      <formula>0</formula>
    </cfRule>
  </conditionalFormatting>
  <conditionalFormatting sqref="J550 J553">
    <cfRule type="cellIs" dxfId="176" priority="428" operator="equal">
      <formula>0</formula>
    </cfRule>
  </conditionalFormatting>
  <conditionalFormatting sqref="E810:I811">
    <cfRule type="cellIs" dxfId="175" priority="426" stopIfTrue="1" operator="equal">
      <formula>0</formula>
    </cfRule>
  </conditionalFormatting>
  <conditionalFormatting sqref="J810:J811">
    <cfRule type="cellIs" dxfId="174" priority="425" operator="equal">
      <formula>0</formula>
    </cfRule>
  </conditionalFormatting>
  <conditionalFormatting sqref="E858:I859">
    <cfRule type="cellIs" dxfId="173" priority="423" stopIfTrue="1" operator="equal">
      <formula>0</formula>
    </cfRule>
  </conditionalFormatting>
  <conditionalFormatting sqref="J858:J859">
    <cfRule type="cellIs" dxfId="172" priority="422" operator="equal">
      <formula>0</formula>
    </cfRule>
  </conditionalFormatting>
  <conditionalFormatting sqref="J412">
    <cfRule type="cellIs" dxfId="171" priority="420" operator="equal">
      <formula>0</formula>
    </cfRule>
  </conditionalFormatting>
  <conditionalFormatting sqref="J14">
    <cfRule type="cellIs" dxfId="170" priority="418" operator="equal">
      <formula>0</formula>
    </cfRule>
  </conditionalFormatting>
  <conditionalFormatting sqref="J617">
    <cfRule type="cellIs" dxfId="169" priority="414" operator="equal">
      <formula>0</formula>
    </cfRule>
  </conditionalFormatting>
  <conditionalFormatting sqref="J699">
    <cfRule type="cellIs" dxfId="168" priority="416" operator="equal">
      <formula>0</formula>
    </cfRule>
  </conditionalFormatting>
  <conditionalFormatting sqref="J145:J148">
    <cfRule type="cellIs" dxfId="167" priority="412" operator="equal">
      <formula>0</formula>
    </cfRule>
  </conditionalFormatting>
  <conditionalFormatting sqref="J308">
    <cfRule type="cellIs" dxfId="166" priority="410" operator="equal">
      <formula>0</formula>
    </cfRule>
  </conditionalFormatting>
  <conditionalFormatting sqref="J309">
    <cfRule type="cellIs" dxfId="165" priority="408" operator="equal">
      <formula>0</formula>
    </cfRule>
  </conditionalFormatting>
  <conditionalFormatting sqref="J679">
    <cfRule type="cellIs" dxfId="164" priority="406" operator="equal">
      <formula>0</formula>
    </cfRule>
  </conditionalFormatting>
  <conditionalFormatting sqref="E793:I793">
    <cfRule type="cellIs" dxfId="163" priority="404" stopIfTrue="1" operator="equal">
      <formula>0</formula>
    </cfRule>
  </conditionalFormatting>
  <conditionalFormatting sqref="J793">
    <cfRule type="cellIs" dxfId="162" priority="403" operator="equal">
      <formula>0</formula>
    </cfRule>
  </conditionalFormatting>
  <conditionalFormatting sqref="J261">
    <cfRule type="cellIs" dxfId="161" priority="401" operator="equal">
      <formula>0</formula>
    </cfRule>
  </conditionalFormatting>
  <conditionalFormatting sqref="J365">
    <cfRule type="cellIs" dxfId="160" priority="395" operator="equal">
      <formula>0</formula>
    </cfRule>
  </conditionalFormatting>
  <conditionalFormatting sqref="J615:J616">
    <cfRule type="cellIs" dxfId="159" priority="393" operator="equal">
      <formula>0</formula>
    </cfRule>
  </conditionalFormatting>
  <conditionalFormatting sqref="J513">
    <cfRule type="cellIs" dxfId="158" priority="391" operator="equal">
      <formula>0</formula>
    </cfRule>
  </conditionalFormatting>
  <conditionalFormatting sqref="J30:J31">
    <cfRule type="cellIs" dxfId="157" priority="385" operator="equal">
      <formula>0</formula>
    </cfRule>
  </conditionalFormatting>
  <conditionalFormatting sqref="J748:J749">
    <cfRule type="cellIs" dxfId="156" priority="381" operator="equal">
      <formula>0</formula>
    </cfRule>
  </conditionalFormatting>
  <conditionalFormatting sqref="E749:I749">
    <cfRule type="cellIs" dxfId="155" priority="382" stopIfTrue="1" operator="equal">
      <formula>0</formula>
    </cfRule>
  </conditionalFormatting>
  <conditionalFormatting sqref="E469:I469">
    <cfRule type="cellIs" dxfId="154" priority="377" stopIfTrue="1" operator="equal">
      <formula>0</formula>
    </cfRule>
  </conditionalFormatting>
  <conditionalFormatting sqref="J467:J469">
    <cfRule type="cellIs" dxfId="153" priority="376" operator="equal">
      <formula>0</formula>
    </cfRule>
  </conditionalFormatting>
  <conditionalFormatting sqref="J604">
    <cfRule type="cellIs" dxfId="152" priority="374" operator="equal">
      <formula>0</formula>
    </cfRule>
  </conditionalFormatting>
  <conditionalFormatting sqref="J27">
    <cfRule type="cellIs" dxfId="151" priority="373" operator="equal">
      <formula>0</formula>
    </cfRule>
  </conditionalFormatting>
  <conditionalFormatting sqref="J77">
    <cfRule type="cellIs" dxfId="150" priority="371" operator="equal">
      <formula>0</formula>
    </cfRule>
  </conditionalFormatting>
  <conditionalFormatting sqref="J359">
    <cfRule type="cellIs" dxfId="149" priority="369" operator="equal">
      <formula>0</formula>
    </cfRule>
  </conditionalFormatting>
  <conditionalFormatting sqref="J223">
    <cfRule type="cellIs" dxfId="148" priority="368" operator="equal">
      <formula>0</formula>
    </cfRule>
  </conditionalFormatting>
  <conditionalFormatting sqref="J245">
    <cfRule type="cellIs" dxfId="147" priority="367" operator="equal">
      <formula>0</formula>
    </cfRule>
  </conditionalFormatting>
  <conditionalFormatting sqref="J575">
    <cfRule type="cellIs" dxfId="146" priority="365" operator="equal">
      <formula>0</formula>
    </cfRule>
  </conditionalFormatting>
  <conditionalFormatting sqref="J92:J93">
    <cfRule type="cellIs" dxfId="145" priority="360" operator="equal">
      <formula>0</formula>
    </cfRule>
  </conditionalFormatting>
  <conditionalFormatting sqref="J188">
    <cfRule type="cellIs" dxfId="144" priority="358" operator="equal">
      <formula>0</formula>
    </cfRule>
  </conditionalFormatting>
  <conditionalFormatting sqref="J53:J54">
    <cfRule type="cellIs" dxfId="143" priority="352" operator="equal">
      <formula>0</formula>
    </cfRule>
  </conditionalFormatting>
  <conditionalFormatting sqref="J264:J265">
    <cfRule type="cellIs" dxfId="142" priority="349" operator="equal">
      <formula>0</formula>
    </cfRule>
  </conditionalFormatting>
  <conditionalFormatting sqref="J478">
    <cfRule type="cellIs" dxfId="141" priority="345" operator="equal">
      <formula>0</formula>
    </cfRule>
  </conditionalFormatting>
  <conditionalFormatting sqref="E478:I478">
    <cfRule type="cellIs" dxfId="140" priority="346" stopIfTrue="1" operator="equal">
      <formula>0</formula>
    </cfRule>
  </conditionalFormatting>
  <conditionalFormatting sqref="J62">
    <cfRule type="cellIs" dxfId="139" priority="343" operator="equal">
      <formula>0</formula>
    </cfRule>
  </conditionalFormatting>
  <conditionalFormatting sqref="J63">
    <cfRule type="cellIs" dxfId="138" priority="340" operator="equal">
      <formula>0</formula>
    </cfRule>
  </conditionalFormatting>
  <conditionalFormatting sqref="L95">
    <cfRule type="cellIs" dxfId="137" priority="338" operator="equal">
      <formula>0</formula>
    </cfRule>
  </conditionalFormatting>
  <conditionalFormatting sqref="J674">
    <cfRule type="cellIs" dxfId="136" priority="336" operator="equal">
      <formula>0</formula>
    </cfRule>
  </conditionalFormatting>
  <conditionalFormatting sqref="L82">
    <cfRule type="cellIs" dxfId="135" priority="334" operator="equal">
      <formula>0</formula>
    </cfRule>
  </conditionalFormatting>
  <conditionalFormatting sqref="J565">
    <cfRule type="cellIs" dxfId="134" priority="331" operator="equal">
      <formula>0</formula>
    </cfRule>
  </conditionalFormatting>
  <conditionalFormatting sqref="E799:I799">
    <cfRule type="cellIs" dxfId="133" priority="329" stopIfTrue="1" operator="equal">
      <formula>0</formula>
    </cfRule>
  </conditionalFormatting>
  <conditionalFormatting sqref="J200">
    <cfRule type="cellIs" dxfId="132" priority="325" operator="equal">
      <formula>0</formula>
    </cfRule>
  </conditionalFormatting>
  <conditionalFormatting sqref="J543 L543">
    <cfRule type="cellIs" dxfId="131" priority="323" operator="equal">
      <formula>0</formula>
    </cfRule>
  </conditionalFormatting>
  <conditionalFormatting sqref="J714">
    <cfRule type="cellIs" dxfId="130" priority="318" operator="equal">
      <formula>0</formula>
    </cfRule>
  </conditionalFormatting>
  <conditionalFormatting sqref="J562">
    <cfRule type="cellIs" dxfId="129" priority="315" operator="equal">
      <formula>0</formula>
    </cfRule>
  </conditionalFormatting>
  <conditionalFormatting sqref="J244">
    <cfRule type="cellIs" dxfId="128" priority="311" operator="equal">
      <formula>0</formula>
    </cfRule>
  </conditionalFormatting>
  <conditionalFormatting sqref="J673">
    <cfRule type="cellIs" dxfId="127" priority="308" operator="equal">
      <formula>0</formula>
    </cfRule>
  </conditionalFormatting>
  <conditionalFormatting sqref="E850:I850">
    <cfRule type="cellIs" dxfId="126" priority="304" stopIfTrue="1" operator="equal">
      <formula>0</formula>
    </cfRule>
  </conditionalFormatting>
  <conditionalFormatting sqref="J849:J850">
    <cfRule type="cellIs" dxfId="125" priority="303" operator="equal">
      <formula>0</formula>
    </cfRule>
  </conditionalFormatting>
  <conditionalFormatting sqref="J21">
    <cfRule type="cellIs" dxfId="124" priority="300" operator="equal">
      <formula>0</formula>
    </cfRule>
  </conditionalFormatting>
  <conditionalFormatting sqref="J89">
    <cfRule type="cellIs" dxfId="123" priority="296" operator="equal">
      <formula>0</formula>
    </cfRule>
  </conditionalFormatting>
  <conditionalFormatting sqref="J512">
    <cfRule type="cellIs" dxfId="122" priority="293" operator="equal">
      <formula>0</formula>
    </cfRule>
  </conditionalFormatting>
  <conditionalFormatting sqref="E843:H843">
    <cfRule type="cellIs" dxfId="121" priority="291" stopIfTrue="1" operator="equal">
      <formula>0</formula>
    </cfRule>
  </conditionalFormatting>
  <conditionalFormatting sqref="I842:I843">
    <cfRule type="cellIs" dxfId="120" priority="289" stopIfTrue="1" operator="equal">
      <formula>0</formula>
    </cfRule>
  </conditionalFormatting>
  <conditionalFormatting sqref="J842:J843">
    <cfRule type="cellIs" dxfId="119" priority="288" operator="equal">
      <formula>0</formula>
    </cfRule>
  </conditionalFormatting>
  <conditionalFormatting sqref="J18">
    <cfRule type="cellIs" dxfId="118" priority="285" operator="equal">
      <formula>0</formula>
    </cfRule>
  </conditionalFormatting>
  <conditionalFormatting sqref="J712:J713">
    <cfRule type="cellIs" dxfId="117" priority="282" operator="equal">
      <formula>0</formula>
    </cfRule>
  </conditionalFormatting>
  <conditionalFormatting sqref="E464:I464">
    <cfRule type="cellIs" dxfId="116" priority="279" stopIfTrue="1" operator="equal">
      <formula>0</formula>
    </cfRule>
  </conditionalFormatting>
  <conditionalFormatting sqref="J464">
    <cfRule type="cellIs" dxfId="115" priority="278" operator="equal">
      <formula>0</formula>
    </cfRule>
  </conditionalFormatting>
  <conditionalFormatting sqref="L797">
    <cfRule type="cellIs" dxfId="114" priority="270" stopIfTrue="1" operator="equal">
      <formula>0</formula>
    </cfRule>
  </conditionalFormatting>
  <conditionalFormatting sqref="E796:I796 E797:J797">
    <cfRule type="cellIs" dxfId="113" priority="269" stopIfTrue="1" operator="equal">
      <formula>0</formula>
    </cfRule>
  </conditionalFormatting>
  <conditionalFormatting sqref="J796">
    <cfRule type="cellIs" dxfId="112" priority="268" operator="equal">
      <formula>0</formula>
    </cfRule>
  </conditionalFormatting>
  <conditionalFormatting sqref="J13">
    <cfRule type="cellIs" dxfId="111" priority="264" operator="equal">
      <formula>0</formula>
    </cfRule>
  </conditionalFormatting>
  <conditionalFormatting sqref="J342">
    <cfRule type="cellIs" dxfId="110" priority="260" operator="equal">
      <formula>0</formula>
    </cfRule>
  </conditionalFormatting>
  <conditionalFormatting sqref="J542">
    <cfRule type="cellIs" dxfId="109" priority="257" operator="equal">
      <formula>0</formula>
    </cfRule>
  </conditionalFormatting>
  <conditionalFormatting sqref="E836:I836 E837:J837 L837">
    <cfRule type="cellIs" dxfId="108" priority="255" stopIfTrue="1" operator="equal">
      <formula>0</formula>
    </cfRule>
  </conditionalFormatting>
  <conditionalFormatting sqref="E833:I833">
    <cfRule type="cellIs" dxfId="107" priority="252" stopIfTrue="1" operator="equal">
      <formula>0</formula>
    </cfRule>
  </conditionalFormatting>
  <conditionalFormatting sqref="J504">
    <cfRule type="cellIs" dxfId="106" priority="249" operator="equal">
      <formula>0</formula>
    </cfRule>
  </conditionalFormatting>
  <conditionalFormatting sqref="J494">
    <cfRule type="cellIs" dxfId="105" priority="246" operator="equal">
      <formula>0</formula>
    </cfRule>
  </conditionalFormatting>
  <conditionalFormatting sqref="J705 J707">
    <cfRule type="cellIs" dxfId="104" priority="240" operator="equal">
      <formula>0</formula>
    </cfRule>
  </conditionalFormatting>
  <conditionalFormatting sqref="E759:J759 E758:I758 L759">
    <cfRule type="cellIs" dxfId="103" priority="239" stopIfTrue="1" operator="equal">
      <formula>0</formula>
    </cfRule>
  </conditionalFormatting>
  <conditionalFormatting sqref="J758">
    <cfRule type="cellIs" dxfId="102" priority="238" operator="equal">
      <formula>0</formula>
    </cfRule>
  </conditionalFormatting>
  <conditionalFormatting sqref="J212">
    <cfRule type="cellIs" dxfId="101" priority="231" operator="equal">
      <formula>0</formula>
    </cfRule>
  </conditionalFormatting>
  <conditionalFormatting sqref="J503">
    <cfRule type="cellIs" dxfId="100" priority="223" operator="equal">
      <formula>0</formula>
    </cfRule>
  </conditionalFormatting>
  <conditionalFormatting sqref="J682:J683">
    <cfRule type="cellIs" dxfId="99" priority="221" operator="equal">
      <formula>0</formula>
    </cfRule>
  </conditionalFormatting>
  <conditionalFormatting sqref="E739:I739">
    <cfRule type="cellIs" dxfId="98" priority="216" stopIfTrue="1" operator="equal">
      <formula>0</formula>
    </cfRule>
  </conditionalFormatting>
  <conditionalFormatting sqref="J739">
    <cfRule type="cellIs" dxfId="97" priority="215" operator="equal">
      <formula>0</formula>
    </cfRule>
  </conditionalFormatting>
  <conditionalFormatting sqref="J603">
    <cfRule type="cellIs" dxfId="96" priority="208" operator="equal">
      <formula>0</formula>
    </cfRule>
  </conditionalFormatting>
  <conditionalFormatting sqref="J222">
    <cfRule type="cellIs" dxfId="95" priority="206" operator="equal">
      <formula>0</formula>
    </cfRule>
  </conditionalFormatting>
  <conditionalFormatting sqref="J112">
    <cfRule type="cellIs" dxfId="94" priority="204" operator="equal">
      <formula>0</formula>
    </cfRule>
  </conditionalFormatting>
  <conditionalFormatting sqref="J593">
    <cfRule type="cellIs" dxfId="93" priority="199" operator="equal">
      <formula>0</formula>
    </cfRule>
  </conditionalFormatting>
  <conditionalFormatting sqref="E745:I745 J746 L746">
    <cfRule type="cellIs" dxfId="92" priority="196" stopIfTrue="1" operator="equal">
      <formula>0</formula>
    </cfRule>
  </conditionalFormatting>
  <conditionalFormatting sqref="J407">
    <cfRule type="cellIs" dxfId="91" priority="193" operator="equal">
      <formula>0</formula>
    </cfRule>
  </conditionalFormatting>
  <conditionalFormatting sqref="J406">
    <cfRule type="cellIs" dxfId="90" priority="191" operator="equal">
      <formula>0</formula>
    </cfRule>
  </conditionalFormatting>
  <conditionalFormatting sqref="J76">
    <cfRule type="cellIs" dxfId="89" priority="183" operator="equal">
      <formula>0</formula>
    </cfRule>
  </conditionalFormatting>
  <conditionalFormatting sqref="E458:I458">
    <cfRule type="cellIs" dxfId="88" priority="181" stopIfTrue="1" operator="equal">
      <formula>0</formula>
    </cfRule>
  </conditionalFormatting>
  <conditionalFormatting sqref="J457:J458">
    <cfRule type="cellIs" dxfId="87" priority="180" operator="equal">
      <formula>0</formula>
    </cfRule>
  </conditionalFormatting>
  <conditionalFormatting sqref="J497">
    <cfRule type="cellIs" dxfId="86" priority="175" operator="equal">
      <formula>0</formula>
    </cfRule>
  </conditionalFormatting>
  <conditionalFormatting sqref="E474:I474">
    <cfRule type="cellIs" dxfId="85" priority="173" stopIfTrue="1" operator="equal">
      <formula>0</formula>
    </cfRule>
  </conditionalFormatting>
  <conditionalFormatting sqref="E475:I475">
    <cfRule type="cellIs" dxfId="84" priority="170" stopIfTrue="1" operator="equal">
      <formula>0</formula>
    </cfRule>
  </conditionalFormatting>
  <conditionalFormatting sqref="J475">
    <cfRule type="cellIs" dxfId="83" priority="169" operator="equal">
      <formula>0</formula>
    </cfRule>
  </conditionalFormatting>
  <conditionalFormatting sqref="E831:I831">
    <cfRule type="cellIs" dxfId="82" priority="167" stopIfTrue="1" operator="equal">
      <formula>0</formula>
    </cfRule>
  </conditionalFormatting>
  <conditionalFormatting sqref="J831">
    <cfRule type="cellIs" dxfId="81" priority="166" operator="equal">
      <formula>0</formula>
    </cfRule>
  </conditionalFormatting>
  <conditionalFormatting sqref="E832:I832">
    <cfRule type="cellIs" dxfId="80" priority="165" stopIfTrue="1" operator="equal">
      <formula>0</formula>
    </cfRule>
  </conditionalFormatting>
  <conditionalFormatting sqref="E748:I748">
    <cfRule type="cellIs" dxfId="79" priority="163" stopIfTrue="1" operator="equal">
      <formula>0</formula>
    </cfRule>
  </conditionalFormatting>
  <conditionalFormatting sqref="E842:H842">
    <cfRule type="cellIs" dxfId="78" priority="162" stopIfTrue="1" operator="equal">
      <formula>0</formula>
    </cfRule>
  </conditionalFormatting>
  <conditionalFormatting sqref="J500">
    <cfRule type="cellIs" dxfId="77" priority="160" operator="equal">
      <formula>0</formula>
    </cfRule>
  </conditionalFormatting>
  <conditionalFormatting sqref="J540 L540">
    <cfRule type="cellIs" dxfId="76" priority="158" operator="equal">
      <formula>0</formula>
    </cfRule>
  </conditionalFormatting>
  <conditionalFormatting sqref="J537:J538">
    <cfRule type="cellIs" dxfId="75" priority="153" operator="equal">
      <formula>0</formula>
    </cfRule>
  </conditionalFormatting>
  <conditionalFormatting sqref="E461:I461">
    <cfRule type="cellIs" dxfId="74" priority="150" stopIfTrue="1" operator="equal">
      <formula>0</formula>
    </cfRule>
  </conditionalFormatting>
  <conditionalFormatting sqref="J17">
    <cfRule type="cellIs" dxfId="73" priority="148" operator="equal">
      <formula>0</formula>
    </cfRule>
  </conditionalFormatting>
  <conditionalFormatting sqref="E457:I457">
    <cfRule type="cellIs" dxfId="72" priority="147" stopIfTrue="1" operator="equal">
      <formula>0</formula>
    </cfRule>
  </conditionalFormatting>
  <conditionalFormatting sqref="J24">
    <cfRule type="cellIs" dxfId="71" priority="145" operator="equal">
      <formula>0</formula>
    </cfRule>
  </conditionalFormatting>
  <conditionalFormatting sqref="E452:I452">
    <cfRule type="cellIs" dxfId="70" priority="143" stopIfTrue="1" operator="equal">
      <formula>0</formula>
    </cfRule>
  </conditionalFormatting>
  <conditionalFormatting sqref="J452">
    <cfRule type="cellIs" dxfId="69" priority="142" operator="equal">
      <formula>0</formula>
    </cfRule>
  </conditionalFormatting>
  <conditionalFormatting sqref="J75">
    <cfRule type="cellIs" dxfId="68" priority="139" operator="equal">
      <formula>0</formula>
    </cfRule>
  </conditionalFormatting>
  <conditionalFormatting sqref="J293 J295">
    <cfRule type="cellIs" dxfId="67" priority="135" operator="equal">
      <formula>0</formula>
    </cfRule>
  </conditionalFormatting>
  <conditionalFormatting sqref="J306">
    <cfRule type="cellIs" dxfId="66" priority="133" operator="equal">
      <formula>0</formula>
    </cfRule>
  </conditionalFormatting>
  <conditionalFormatting sqref="E451:I451">
    <cfRule type="cellIs" dxfId="65" priority="129" stopIfTrue="1" operator="equal">
      <formula>0</formula>
    </cfRule>
  </conditionalFormatting>
  <conditionalFormatting sqref="J451">
    <cfRule type="cellIs" dxfId="64" priority="128" operator="equal">
      <formula>0</formula>
    </cfRule>
  </conditionalFormatting>
  <conditionalFormatting sqref="J60">
    <cfRule type="cellIs" dxfId="63" priority="125" operator="equal">
      <formula>0</formula>
    </cfRule>
  </conditionalFormatting>
  <conditionalFormatting sqref="J605">
    <cfRule type="cellIs" dxfId="62" priority="121" operator="equal">
      <formula>0</formula>
    </cfRule>
  </conditionalFormatting>
  <conditionalFormatting sqref="J123">
    <cfRule type="cellIs" dxfId="61" priority="116" operator="equal">
      <formula>0</formula>
    </cfRule>
  </conditionalFormatting>
  <conditionalFormatting sqref="J649">
    <cfRule type="cellIs" dxfId="60" priority="112" operator="equal">
      <formula>0</formula>
    </cfRule>
  </conditionalFormatting>
  <conditionalFormatting sqref="J632">
    <cfRule type="cellIs" dxfId="59" priority="109" operator="equal">
      <formula>0</formula>
    </cfRule>
  </conditionalFormatting>
  <conditionalFormatting sqref="J634">
    <cfRule type="cellIs" dxfId="58" priority="108" operator="equal">
      <formula>0</formula>
    </cfRule>
  </conditionalFormatting>
  <conditionalFormatting sqref="L625 J624:J625">
    <cfRule type="cellIs" dxfId="57" priority="105" operator="equal">
      <formula>0</formula>
    </cfRule>
  </conditionalFormatting>
  <conditionalFormatting sqref="E468:I468">
    <cfRule type="cellIs" dxfId="56" priority="101" stopIfTrue="1" operator="equal">
      <formula>0</formula>
    </cfRule>
  </conditionalFormatting>
  <conditionalFormatting sqref="J273:J274">
    <cfRule type="cellIs" dxfId="55" priority="96" operator="equal">
      <formula>0</formula>
    </cfRule>
  </conditionalFormatting>
  <conditionalFormatting sqref="E730:I730">
    <cfRule type="cellIs" dxfId="54" priority="92" stopIfTrue="1" operator="equal">
      <formula>0</formula>
    </cfRule>
  </conditionalFormatting>
  <conditionalFormatting sqref="E467:I467">
    <cfRule type="cellIs" dxfId="53" priority="91" stopIfTrue="1" operator="equal">
      <formula>0</formula>
    </cfRule>
  </conditionalFormatting>
  <conditionalFormatting sqref="E849:I849">
    <cfRule type="cellIs" dxfId="52" priority="89" stopIfTrue="1" operator="equal">
      <formula>0</formula>
    </cfRule>
  </conditionalFormatting>
  <conditionalFormatting sqref="J83">
    <cfRule type="cellIs" dxfId="51" priority="82" operator="equal">
      <formula>0</formula>
    </cfRule>
  </conditionalFormatting>
  <conditionalFormatting sqref="J660:J661">
    <cfRule type="cellIs" dxfId="50" priority="80" operator="equal">
      <formula>0</formula>
    </cfRule>
  </conditionalFormatting>
  <conditionalFormatting sqref="L538">
    <cfRule type="cellIs" dxfId="49" priority="78" operator="equal">
      <formula>0</formula>
    </cfRule>
  </conditionalFormatting>
  <conditionalFormatting sqref="J539">
    <cfRule type="cellIs" dxfId="48" priority="76" operator="equal">
      <formula>0</formula>
    </cfRule>
  </conditionalFormatting>
  <conditionalFormatting sqref="E472:I472">
    <cfRule type="cellIs" dxfId="47" priority="55" stopIfTrue="1" operator="equal">
      <formula>0</formula>
    </cfRule>
  </conditionalFormatting>
  <conditionalFormatting sqref="J535 L535">
    <cfRule type="cellIs" dxfId="46" priority="47" operator="equal">
      <formula>0</formula>
    </cfRule>
  </conditionalFormatting>
  <conditionalFormatting sqref="J130">
    <cfRule type="cellIs" dxfId="45" priority="35" operator="equal">
      <formula>0</formula>
    </cfRule>
  </conditionalFormatting>
  <conditionalFormatting sqref="J95">
    <cfRule type="cellIs" dxfId="44" priority="33" operator="equal">
      <formula>0</formula>
    </cfRule>
  </conditionalFormatting>
  <conditionalFormatting sqref="E780:I780">
    <cfRule type="cellIs" dxfId="43" priority="25" stopIfTrue="1" operator="equal">
      <formula>0</formula>
    </cfRule>
  </conditionalFormatting>
  <conditionalFormatting sqref="J590">
    <cfRule type="cellIs" dxfId="42" priority="20" operator="equal">
      <formula>0</formula>
    </cfRule>
  </conditionalFormatting>
  <conditionalFormatting sqref="J534">
    <cfRule type="cellIs" dxfId="41" priority="11" operator="equal">
      <formula>0</formula>
    </cfRule>
  </conditionalFormatting>
  <conditionalFormatting sqref="J57">
    <cfRule type="cellIs" dxfId="40" priority="9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9" customWidth="1"/>
    <col min="2" max="2" width="18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7.83203125" style="389" customWidth="1"/>
    <col min="10" max="10" width="18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7.83203125" style="386" customWidth="1"/>
    <col min="18" max="18" width="18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7.83203125" style="386" customWidth="1"/>
    <col min="26" max="26" width="18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5" t="s">
        <v>922</v>
      </c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955"/>
      <c r="T1" s="955"/>
      <c r="U1" s="955"/>
      <c r="V1" s="955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8"/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9" t="s">
        <v>516</v>
      </c>
      <c r="B5" s="960"/>
      <c r="C5" s="960"/>
      <c r="D5" s="960"/>
      <c r="E5" s="960"/>
      <c r="F5" s="961"/>
      <c r="G5" s="962" t="s">
        <v>767</v>
      </c>
      <c r="H5" s="717"/>
      <c r="I5" s="959" t="s">
        <v>573</v>
      </c>
      <c r="J5" s="960"/>
      <c r="K5" s="960"/>
      <c r="L5" s="960"/>
      <c r="M5" s="960"/>
      <c r="N5" s="961"/>
      <c r="O5" s="962" t="s">
        <v>761</v>
      </c>
      <c r="P5" s="717"/>
      <c r="Q5" s="959" t="s">
        <v>576</v>
      </c>
      <c r="R5" s="960"/>
      <c r="S5" s="960"/>
      <c r="T5" s="960"/>
      <c r="U5" s="960"/>
      <c r="V5" s="961"/>
      <c r="W5" s="964" t="s">
        <v>762</v>
      </c>
      <c r="X5" s="397"/>
      <c r="Y5" s="966" t="s">
        <v>760</v>
      </c>
      <c r="Z5" s="967"/>
      <c r="AA5" s="967"/>
      <c r="AB5" s="967"/>
      <c r="AC5" s="967"/>
      <c r="AD5" s="968"/>
      <c r="AE5" s="956" t="s">
        <v>763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3"/>
      <c r="H6" s="705"/>
      <c r="I6" s="701" t="s">
        <v>629</v>
      </c>
      <c r="J6" s="702" t="s">
        <v>296</v>
      </c>
      <c r="K6" s="703" t="s">
        <v>574</v>
      </c>
      <c r="L6" s="703">
        <v>11505</v>
      </c>
      <c r="M6" s="777" t="s">
        <v>861</v>
      </c>
      <c r="N6" s="716" t="s">
        <v>530</v>
      </c>
      <c r="O6" s="963"/>
      <c r="P6" s="717"/>
      <c r="Q6" s="701" t="s">
        <v>629</v>
      </c>
      <c r="R6" s="702" t="s">
        <v>510</v>
      </c>
      <c r="S6" s="703" t="s">
        <v>515</v>
      </c>
      <c r="T6" s="703">
        <v>11505</v>
      </c>
      <c r="U6" s="777" t="s">
        <v>539</v>
      </c>
      <c r="V6" s="716" t="s">
        <v>527</v>
      </c>
      <c r="W6" s="965"/>
      <c r="X6" s="395"/>
      <c r="Y6" s="701" t="s">
        <v>629</v>
      </c>
      <c r="Z6" s="702" t="s">
        <v>510</v>
      </c>
      <c r="AA6" s="703" t="s">
        <v>515</v>
      </c>
      <c r="AB6" s="703">
        <v>11505</v>
      </c>
      <c r="AC6" s="704" t="s">
        <v>759</v>
      </c>
      <c r="AD6" s="776" t="s">
        <v>758</v>
      </c>
      <c r="AE6" s="957"/>
      <c r="AH6" s="394" t="s">
        <v>510</v>
      </c>
      <c r="AI6" s="394" t="s">
        <v>577</v>
      </c>
      <c r="AJ6" s="394" t="s">
        <v>764</v>
      </c>
      <c r="AK6" s="394" t="s">
        <v>765</v>
      </c>
      <c r="AL6" s="394" t="s">
        <v>766</v>
      </c>
      <c r="AN6" s="394" t="s">
        <v>296</v>
      </c>
      <c r="AO6" s="394" t="s">
        <v>768</v>
      </c>
    </row>
    <row r="7" spans="1:41" s="391" customFormat="1" ht="50" customHeight="1">
      <c r="A7" s="719">
        <v>1</v>
      </c>
      <c r="B7" s="720" t="s">
        <v>817</v>
      </c>
      <c r="C7" s="720" t="s">
        <v>819</v>
      </c>
      <c r="D7" s="721">
        <v>26409</v>
      </c>
      <c r="E7" s="722">
        <v>897350</v>
      </c>
      <c r="F7" s="723">
        <v>0.65500000000000003</v>
      </c>
      <c r="G7" s="724" t="e">
        <v>#N/A</v>
      </c>
      <c r="H7" s="717"/>
      <c r="I7" s="719">
        <v>1</v>
      </c>
      <c r="J7" s="720" t="s">
        <v>458</v>
      </c>
      <c r="K7" s="720" t="s">
        <v>421</v>
      </c>
      <c r="L7" s="720">
        <v>32</v>
      </c>
      <c r="M7" s="725">
        <v>11</v>
      </c>
      <c r="N7" s="726">
        <v>0.34375</v>
      </c>
      <c r="O7" s="727">
        <v>25.083333333333332</v>
      </c>
      <c r="P7" s="717"/>
      <c r="Q7" s="719">
        <v>1</v>
      </c>
      <c r="R7" s="720" t="s">
        <v>869</v>
      </c>
      <c r="S7" s="720" t="s">
        <v>871</v>
      </c>
      <c r="T7" s="720">
        <v>15</v>
      </c>
      <c r="U7" s="725">
        <v>4</v>
      </c>
      <c r="V7" s="726">
        <v>0.26666666666666666</v>
      </c>
      <c r="W7" s="713" t="e">
        <v>#N/A</v>
      </c>
      <c r="X7" s="397"/>
      <c r="Y7" s="719">
        <v>1</v>
      </c>
      <c r="Z7" s="767" t="s">
        <v>857</v>
      </c>
      <c r="AA7" s="768" t="s">
        <v>860</v>
      </c>
      <c r="AB7" s="720">
        <v>32</v>
      </c>
      <c r="AC7" s="725">
        <v>6</v>
      </c>
      <c r="AD7" s="769">
        <v>0.1875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4</v>
      </c>
      <c r="C8" s="720" t="s">
        <v>148</v>
      </c>
      <c r="D8" s="721">
        <v>136104</v>
      </c>
      <c r="E8" s="722">
        <v>2034418</v>
      </c>
      <c r="F8" s="723">
        <v>0.61093633633633637</v>
      </c>
      <c r="G8" s="724">
        <v>297</v>
      </c>
      <c r="H8" s="717"/>
      <c r="I8" s="719">
        <v>2</v>
      </c>
      <c r="J8" s="720" t="s">
        <v>815</v>
      </c>
      <c r="K8" s="720" t="s">
        <v>73</v>
      </c>
      <c r="L8" s="720">
        <v>30</v>
      </c>
      <c r="M8" s="725">
        <v>10</v>
      </c>
      <c r="N8" s="726">
        <v>0.33333333333333331</v>
      </c>
      <c r="O8" s="727" t="e">
        <v>#N/A</v>
      </c>
      <c r="P8" s="717"/>
      <c r="Q8" s="719">
        <v>2</v>
      </c>
      <c r="R8" s="720" t="s">
        <v>844</v>
      </c>
      <c r="S8" s="720" t="s">
        <v>847</v>
      </c>
      <c r="T8" s="720">
        <v>32</v>
      </c>
      <c r="U8" s="725">
        <v>7</v>
      </c>
      <c r="V8" s="726">
        <v>0.21875</v>
      </c>
      <c r="W8" s="713" t="e">
        <v>#N/A</v>
      </c>
      <c r="X8" s="397"/>
      <c r="Y8" s="719">
        <v>2</v>
      </c>
      <c r="Z8" s="767" t="s">
        <v>2</v>
      </c>
      <c r="AA8" s="768" t="s">
        <v>122</v>
      </c>
      <c r="AB8" s="720">
        <v>39</v>
      </c>
      <c r="AC8" s="725">
        <v>7</v>
      </c>
      <c r="AD8" s="769">
        <v>0.17948717948717949</v>
      </c>
      <c r="AE8" s="520">
        <v>17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2</v>
      </c>
      <c r="C9" s="720" t="s">
        <v>122</v>
      </c>
      <c r="D9" s="721">
        <v>201126</v>
      </c>
      <c r="E9" s="722">
        <v>650166</v>
      </c>
      <c r="F9" s="723">
        <v>0.39644268292682927</v>
      </c>
      <c r="G9" s="724">
        <v>125</v>
      </c>
      <c r="H9" s="717"/>
      <c r="I9" s="719">
        <v>3</v>
      </c>
      <c r="J9" s="720" t="s">
        <v>869</v>
      </c>
      <c r="K9" s="720" t="s">
        <v>871</v>
      </c>
      <c r="L9" s="720">
        <v>15</v>
      </c>
      <c r="M9" s="725">
        <v>5</v>
      </c>
      <c r="N9" s="726">
        <v>0.33333333333333331</v>
      </c>
      <c r="O9" s="727" t="e">
        <v>#N/A</v>
      </c>
      <c r="P9" s="717"/>
      <c r="Q9" s="719">
        <v>3</v>
      </c>
      <c r="R9" s="720" t="s">
        <v>458</v>
      </c>
      <c r="S9" s="720" t="s">
        <v>421</v>
      </c>
      <c r="T9" s="720">
        <v>32</v>
      </c>
      <c r="U9" s="725">
        <v>7</v>
      </c>
      <c r="V9" s="726">
        <v>0.21875</v>
      </c>
      <c r="W9" s="713">
        <v>20.916666666666668</v>
      </c>
      <c r="X9" s="397"/>
      <c r="Y9" s="719">
        <v>3</v>
      </c>
      <c r="Z9" s="767" t="s">
        <v>383</v>
      </c>
      <c r="AA9" s="768" t="s">
        <v>384</v>
      </c>
      <c r="AB9" s="720">
        <v>31</v>
      </c>
      <c r="AC9" s="725">
        <v>5</v>
      </c>
      <c r="AD9" s="769">
        <v>0.16129032258064516</v>
      </c>
      <c r="AE9" s="520">
        <v>13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820</v>
      </c>
      <c r="C10" s="720" t="s">
        <v>73</v>
      </c>
      <c r="D10" s="721">
        <v>44587</v>
      </c>
      <c r="E10" s="722">
        <v>1685335</v>
      </c>
      <c r="F10" s="723">
        <v>0.3753530066815145</v>
      </c>
      <c r="G10" s="724">
        <v>406</v>
      </c>
      <c r="H10" s="717"/>
      <c r="I10" s="719">
        <v>4</v>
      </c>
      <c r="J10" s="720" t="s">
        <v>204</v>
      </c>
      <c r="K10" s="720" t="s">
        <v>481</v>
      </c>
      <c r="L10" s="720">
        <v>41</v>
      </c>
      <c r="M10" s="725">
        <v>13</v>
      </c>
      <c r="N10" s="726">
        <v>0.31707317073170732</v>
      </c>
      <c r="O10" s="727">
        <v>24.333333333333332</v>
      </c>
      <c r="P10" s="717"/>
      <c r="Q10" s="719">
        <v>4</v>
      </c>
      <c r="R10" s="720" t="s">
        <v>815</v>
      </c>
      <c r="S10" s="720" t="s">
        <v>73</v>
      </c>
      <c r="T10" s="720">
        <v>30</v>
      </c>
      <c r="U10" s="725">
        <v>6</v>
      </c>
      <c r="V10" s="726">
        <v>0.2</v>
      </c>
      <c r="W10" s="713" t="e">
        <v>#N/A</v>
      </c>
      <c r="X10" s="397"/>
      <c r="Y10" s="719">
        <v>4</v>
      </c>
      <c r="Z10" s="767" t="s">
        <v>869</v>
      </c>
      <c r="AA10" s="768" t="s">
        <v>871</v>
      </c>
      <c r="AB10" s="720">
        <v>15</v>
      </c>
      <c r="AC10" s="725">
        <v>2</v>
      </c>
      <c r="AD10" s="769">
        <v>0.13333333333333333</v>
      </c>
      <c r="AE10" s="520" t="e">
        <v>#N/A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815</v>
      </c>
      <c r="C11" s="720" t="s">
        <v>73</v>
      </c>
      <c r="D11" s="721">
        <v>50</v>
      </c>
      <c r="E11" s="722">
        <v>646568</v>
      </c>
      <c r="F11" s="723">
        <v>0.33851727748691102</v>
      </c>
      <c r="G11" s="724" t="e">
        <v>#N/A</v>
      </c>
      <c r="H11" s="717"/>
      <c r="I11" s="719">
        <v>5</v>
      </c>
      <c r="J11" s="720" t="s">
        <v>216</v>
      </c>
      <c r="K11" s="720" t="s">
        <v>68</v>
      </c>
      <c r="L11" s="720">
        <v>40</v>
      </c>
      <c r="M11" s="725">
        <v>12</v>
      </c>
      <c r="N11" s="726">
        <v>0.3</v>
      </c>
      <c r="O11" s="727">
        <v>22.5</v>
      </c>
      <c r="P11" s="717"/>
      <c r="Q11" s="719">
        <v>5</v>
      </c>
      <c r="R11" s="720" t="s">
        <v>216</v>
      </c>
      <c r="S11" s="720" t="s">
        <v>68</v>
      </c>
      <c r="T11" s="720">
        <v>40</v>
      </c>
      <c r="U11" s="725">
        <v>8</v>
      </c>
      <c r="V11" s="726">
        <v>0.2</v>
      </c>
      <c r="W11" s="713">
        <v>21.166666666666668</v>
      </c>
      <c r="X11" s="397"/>
      <c r="Y11" s="719">
        <v>5</v>
      </c>
      <c r="Z11" s="767" t="s">
        <v>216</v>
      </c>
      <c r="AA11" s="768" t="s">
        <v>68</v>
      </c>
      <c r="AB11" s="720">
        <v>40</v>
      </c>
      <c r="AC11" s="725">
        <v>5</v>
      </c>
      <c r="AD11" s="769">
        <v>0.125</v>
      </c>
      <c r="AE11" s="520">
        <v>18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458</v>
      </c>
      <c r="C12" s="720" t="s">
        <v>421</v>
      </c>
      <c r="D12" s="721">
        <v>111433</v>
      </c>
      <c r="E12" s="722">
        <v>347942</v>
      </c>
      <c r="F12" s="723">
        <v>0.31631090909090909</v>
      </c>
      <c r="G12" s="724">
        <v>88</v>
      </c>
      <c r="H12" s="717"/>
      <c r="I12" s="719">
        <v>6</v>
      </c>
      <c r="J12" s="720" t="s">
        <v>575</v>
      </c>
      <c r="K12" s="720"/>
      <c r="L12" s="720">
        <v>17065</v>
      </c>
      <c r="M12" s="725">
        <v>4932</v>
      </c>
      <c r="N12" s="726">
        <v>0.28899999999999998</v>
      </c>
      <c r="O12" s="727" t="e">
        <v>#N/A</v>
      </c>
      <c r="P12" s="717"/>
      <c r="Q12" s="719">
        <v>6</v>
      </c>
      <c r="R12" s="720" t="s">
        <v>184</v>
      </c>
      <c r="S12" s="720" t="s">
        <v>73</v>
      </c>
      <c r="T12" s="720">
        <v>88</v>
      </c>
      <c r="U12" s="725">
        <v>16</v>
      </c>
      <c r="V12" s="726">
        <v>0.18181818181818182</v>
      </c>
      <c r="W12" s="713">
        <v>48.166666666666664</v>
      </c>
      <c r="X12" s="397"/>
      <c r="Y12" s="719">
        <v>6</v>
      </c>
      <c r="Z12" s="767" t="s">
        <v>458</v>
      </c>
      <c r="AA12" s="768" t="s">
        <v>421</v>
      </c>
      <c r="AB12" s="720">
        <v>32</v>
      </c>
      <c r="AC12" s="725">
        <v>4</v>
      </c>
      <c r="AD12" s="769">
        <v>0.125</v>
      </c>
      <c r="AE12" s="520">
        <v>12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512</v>
      </c>
      <c r="C13" s="720" t="s">
        <v>610</v>
      </c>
      <c r="D13" s="721">
        <v>1024380</v>
      </c>
      <c r="E13" s="722">
        <v>6787240</v>
      </c>
      <c r="F13" s="723">
        <v>0.3040878136200717</v>
      </c>
      <c r="G13" s="724">
        <v>1944</v>
      </c>
      <c r="H13" s="717"/>
      <c r="I13" s="728">
        <v>7</v>
      </c>
      <c r="J13" s="720" t="s">
        <v>184</v>
      </c>
      <c r="K13" s="720" t="s">
        <v>73</v>
      </c>
      <c r="L13" s="720">
        <v>88</v>
      </c>
      <c r="M13" s="725">
        <v>25</v>
      </c>
      <c r="N13" s="726">
        <v>0.28409090909090912</v>
      </c>
      <c r="O13" s="727">
        <v>49</v>
      </c>
      <c r="P13" s="717"/>
      <c r="Q13" s="719">
        <v>7</v>
      </c>
      <c r="R13" s="720" t="s">
        <v>2</v>
      </c>
      <c r="S13" s="720" t="s">
        <v>122</v>
      </c>
      <c r="T13" s="720">
        <v>39</v>
      </c>
      <c r="U13" s="725">
        <v>7</v>
      </c>
      <c r="V13" s="726">
        <v>0.17948717948717949</v>
      </c>
      <c r="W13" s="713">
        <v>21.75</v>
      </c>
      <c r="X13" s="397"/>
      <c r="Y13" s="719">
        <v>7</v>
      </c>
      <c r="Z13" s="767" t="s">
        <v>746</v>
      </c>
      <c r="AA13" s="768" t="s">
        <v>73</v>
      </c>
      <c r="AB13" s="720">
        <v>88</v>
      </c>
      <c r="AC13" s="725">
        <v>10</v>
      </c>
      <c r="AD13" s="769">
        <v>0.11363636363636363</v>
      </c>
      <c r="AE13" s="520">
        <v>39</v>
      </c>
      <c r="AF13" s="391" t="s">
        <v>771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575</v>
      </c>
      <c r="C14" s="720"/>
      <c r="D14" s="721">
        <v>18875138</v>
      </c>
      <c r="E14" s="722">
        <v>173010446</v>
      </c>
      <c r="F14" s="723">
        <v>0.2636</v>
      </c>
      <c r="G14" s="724" t="e">
        <v>#N/A</v>
      </c>
      <c r="H14" s="717"/>
      <c r="I14" s="719">
        <v>8</v>
      </c>
      <c r="J14" s="720" t="s">
        <v>844</v>
      </c>
      <c r="K14" s="720" t="s">
        <v>839</v>
      </c>
      <c r="L14" s="720">
        <v>32</v>
      </c>
      <c r="M14" s="725">
        <v>9</v>
      </c>
      <c r="N14" s="726">
        <v>0.28125</v>
      </c>
      <c r="O14" s="727" t="e">
        <v>#N/A</v>
      </c>
      <c r="P14" s="717"/>
      <c r="Q14" s="719">
        <v>8</v>
      </c>
      <c r="R14" s="720" t="s">
        <v>204</v>
      </c>
      <c r="S14" s="720" t="s">
        <v>481</v>
      </c>
      <c r="T14" s="720">
        <v>41</v>
      </c>
      <c r="U14" s="725">
        <v>7</v>
      </c>
      <c r="V14" s="726">
        <v>0.17073170731707318</v>
      </c>
      <c r="W14" s="713">
        <v>21.416666666666668</v>
      </c>
      <c r="X14" s="397"/>
      <c r="Y14" s="719">
        <v>8</v>
      </c>
      <c r="Z14" s="767" t="s">
        <v>607</v>
      </c>
      <c r="AA14" s="768" t="s">
        <v>608</v>
      </c>
      <c r="AB14" s="720">
        <v>36</v>
      </c>
      <c r="AC14" s="725">
        <v>4</v>
      </c>
      <c r="AD14" s="769">
        <v>0.1111111111111111</v>
      </c>
      <c r="AE14" s="520">
        <v>15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625</v>
      </c>
      <c r="C15" s="720" t="s">
        <v>225</v>
      </c>
      <c r="D15" s="721">
        <v>183118</v>
      </c>
      <c r="E15" s="722">
        <v>286591</v>
      </c>
      <c r="F15" s="723">
        <v>0.22566220472440945</v>
      </c>
      <c r="G15" s="724">
        <v>108</v>
      </c>
      <c r="H15" s="717"/>
      <c r="I15" s="719">
        <v>9</v>
      </c>
      <c r="J15" s="720" t="s">
        <v>3</v>
      </c>
      <c r="K15" s="720" t="s">
        <v>129</v>
      </c>
      <c r="L15" s="720">
        <v>46</v>
      </c>
      <c r="M15" s="725">
        <v>12</v>
      </c>
      <c r="N15" s="726">
        <v>0.2608695652173913</v>
      </c>
      <c r="O15" s="727">
        <v>26.333333333333332</v>
      </c>
      <c r="P15" s="717"/>
      <c r="Q15" s="719">
        <v>9</v>
      </c>
      <c r="R15" s="720" t="s">
        <v>383</v>
      </c>
      <c r="S15" s="720" t="s">
        <v>384</v>
      </c>
      <c r="T15" s="720">
        <v>31</v>
      </c>
      <c r="U15" s="725">
        <v>5</v>
      </c>
      <c r="V15" s="726">
        <v>0.16129032258064516</v>
      </c>
      <c r="W15" s="713">
        <v>19.916666666666668</v>
      </c>
      <c r="X15" s="397"/>
      <c r="Y15" s="719">
        <v>9</v>
      </c>
      <c r="Z15" s="767" t="s">
        <v>855</v>
      </c>
      <c r="AA15" s="768" t="s">
        <v>858</v>
      </c>
      <c r="AB15" s="720">
        <v>30</v>
      </c>
      <c r="AC15" s="725">
        <v>3</v>
      </c>
      <c r="AD15" s="769">
        <v>0.1</v>
      </c>
      <c r="AE15" s="520" t="e">
        <v>#N/A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882</v>
      </c>
      <c r="C16" s="720" t="s">
        <v>883</v>
      </c>
      <c r="D16" s="721">
        <v>0</v>
      </c>
      <c r="E16" s="722">
        <v>136842</v>
      </c>
      <c r="F16" s="723">
        <v>0.22071290322580644</v>
      </c>
      <c r="G16" s="724" t="e">
        <v>#N/A</v>
      </c>
      <c r="H16" s="717"/>
      <c r="I16" s="719">
        <v>10</v>
      </c>
      <c r="J16" s="720" t="s">
        <v>843</v>
      </c>
      <c r="K16" s="720" t="s">
        <v>845</v>
      </c>
      <c r="L16" s="720">
        <v>26</v>
      </c>
      <c r="M16" s="725">
        <v>6</v>
      </c>
      <c r="N16" s="726">
        <v>0.23076923076923078</v>
      </c>
      <c r="O16" s="727" t="e">
        <v>#N/A</v>
      </c>
      <c r="P16" s="717"/>
      <c r="Q16" s="719">
        <v>10</v>
      </c>
      <c r="R16" s="720" t="s">
        <v>372</v>
      </c>
      <c r="S16" s="720" t="s">
        <v>610</v>
      </c>
      <c r="T16" s="720">
        <v>587</v>
      </c>
      <c r="U16" s="725">
        <v>81</v>
      </c>
      <c r="V16" s="726">
        <v>0.13798977853492334</v>
      </c>
      <c r="W16" s="713">
        <v>316.66666666666669</v>
      </c>
      <c r="X16" s="397"/>
      <c r="Y16" s="719">
        <v>10</v>
      </c>
      <c r="Z16" s="767" t="s">
        <v>204</v>
      </c>
      <c r="AA16" s="768" t="s">
        <v>481</v>
      </c>
      <c r="AB16" s="720">
        <v>41</v>
      </c>
      <c r="AC16" s="725">
        <v>4</v>
      </c>
      <c r="AD16" s="769">
        <v>9.7560975609756101E-2</v>
      </c>
      <c r="AE16" s="520">
        <v>15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216</v>
      </c>
      <c r="C17" s="720" t="s">
        <v>68</v>
      </c>
      <c r="D17" s="721">
        <v>102086</v>
      </c>
      <c r="E17" s="722">
        <v>316005</v>
      </c>
      <c r="F17" s="723">
        <v>0.21793448275862068</v>
      </c>
      <c r="G17" s="724">
        <v>135</v>
      </c>
      <c r="H17" s="717"/>
      <c r="I17" s="719">
        <v>11</v>
      </c>
      <c r="J17" s="720" t="s">
        <v>512</v>
      </c>
      <c r="K17" s="720" t="s">
        <v>610</v>
      </c>
      <c r="L17" s="720">
        <v>587</v>
      </c>
      <c r="M17" s="725">
        <v>118</v>
      </c>
      <c r="N17" s="726">
        <v>0.20102214650766609</v>
      </c>
      <c r="O17" s="727">
        <v>331.41666666666669</v>
      </c>
      <c r="P17" s="717"/>
      <c r="Q17" s="752">
        <v>11</v>
      </c>
      <c r="R17" s="720" t="s">
        <v>3</v>
      </c>
      <c r="S17" s="720" t="s">
        <v>129</v>
      </c>
      <c r="T17" s="720">
        <v>46</v>
      </c>
      <c r="U17" s="725">
        <v>6</v>
      </c>
      <c r="V17" s="726">
        <v>0.13043478260869565</v>
      </c>
      <c r="W17" s="713">
        <v>26</v>
      </c>
      <c r="X17" s="397"/>
      <c r="Y17" s="752">
        <v>11</v>
      </c>
      <c r="Z17" s="767" t="s">
        <v>372</v>
      </c>
      <c r="AA17" s="768" t="s">
        <v>610</v>
      </c>
      <c r="AB17" s="720">
        <v>587</v>
      </c>
      <c r="AC17" s="725">
        <v>57</v>
      </c>
      <c r="AD17" s="769">
        <v>9.7103918228279393E-2</v>
      </c>
      <c r="AE17" s="520">
        <v>228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383</v>
      </c>
      <c r="C18" s="720" t="s">
        <v>384</v>
      </c>
      <c r="D18" s="721">
        <v>40827</v>
      </c>
      <c r="E18" s="722">
        <v>260306</v>
      </c>
      <c r="F18" s="723">
        <v>0.21512892561983471</v>
      </c>
      <c r="G18" s="724">
        <v>113</v>
      </c>
      <c r="H18" s="717"/>
      <c r="I18" s="752">
        <v>12</v>
      </c>
      <c r="J18" s="720" t="s">
        <v>607</v>
      </c>
      <c r="K18" s="720" t="s">
        <v>608</v>
      </c>
      <c r="L18" s="720">
        <v>36</v>
      </c>
      <c r="M18" s="725">
        <v>7</v>
      </c>
      <c r="N18" s="726">
        <v>0.19444444444444445</v>
      </c>
      <c r="O18" s="727">
        <v>22</v>
      </c>
      <c r="P18" s="717"/>
      <c r="Q18" s="752">
        <v>12</v>
      </c>
      <c r="R18" s="720" t="s">
        <v>843</v>
      </c>
      <c r="S18" s="720" t="s">
        <v>846</v>
      </c>
      <c r="T18" s="720">
        <v>26</v>
      </c>
      <c r="U18" s="725">
        <v>3</v>
      </c>
      <c r="V18" s="726">
        <v>0.11538461538461539</v>
      </c>
      <c r="W18" s="713" t="e">
        <v>#N/A</v>
      </c>
      <c r="X18" s="397"/>
      <c r="Y18" s="752">
        <v>12</v>
      </c>
      <c r="Z18" s="767" t="s">
        <v>3</v>
      </c>
      <c r="AA18" s="768" t="s">
        <v>129</v>
      </c>
      <c r="AB18" s="720">
        <v>46</v>
      </c>
      <c r="AC18" s="725">
        <v>4</v>
      </c>
      <c r="AD18" s="769">
        <v>8.6956521739130432E-2</v>
      </c>
      <c r="AE18" s="520">
        <v>20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204</v>
      </c>
      <c r="C19" s="720" t="s">
        <v>481</v>
      </c>
      <c r="D19" s="721">
        <v>43454</v>
      </c>
      <c r="E19" s="722">
        <v>294930</v>
      </c>
      <c r="F19" s="723">
        <v>0.19793959731543626</v>
      </c>
      <c r="G19" s="724">
        <v>107</v>
      </c>
      <c r="H19" s="717"/>
      <c r="I19" s="752">
        <v>13</v>
      </c>
      <c r="J19" s="720" t="s">
        <v>383</v>
      </c>
      <c r="K19" s="720" t="s">
        <v>384</v>
      </c>
      <c r="L19" s="720">
        <v>31</v>
      </c>
      <c r="M19" s="725">
        <v>6</v>
      </c>
      <c r="N19" s="726">
        <v>0.19354838709677419</v>
      </c>
      <c r="O19" s="727">
        <v>17.666666666666668</v>
      </c>
      <c r="P19" s="717"/>
      <c r="Q19" s="752">
        <v>13</v>
      </c>
      <c r="R19" s="720" t="s">
        <v>607</v>
      </c>
      <c r="S19" s="720" t="s">
        <v>608</v>
      </c>
      <c r="T19" s="720">
        <v>36</v>
      </c>
      <c r="U19" s="725">
        <v>4</v>
      </c>
      <c r="V19" s="726">
        <v>0.1111111111111111</v>
      </c>
      <c r="W19" s="713">
        <v>19.666666666666668</v>
      </c>
      <c r="X19" s="397"/>
      <c r="Y19" s="752">
        <v>13</v>
      </c>
      <c r="Z19" s="767" t="s">
        <v>625</v>
      </c>
      <c r="AA19" s="768" t="s">
        <v>225</v>
      </c>
      <c r="AB19" s="720">
        <v>41</v>
      </c>
      <c r="AC19" s="725">
        <v>3</v>
      </c>
      <c r="AD19" s="769">
        <v>7.3170731707317069E-2</v>
      </c>
      <c r="AE19" s="520">
        <v>16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3</v>
      </c>
      <c r="C20" s="720" t="s">
        <v>129</v>
      </c>
      <c r="D20" s="721">
        <v>72166</v>
      </c>
      <c r="E20" s="722">
        <v>354612</v>
      </c>
      <c r="F20" s="723">
        <v>0.19272391304347827</v>
      </c>
      <c r="G20" s="724">
        <v>156</v>
      </c>
      <c r="H20" s="717"/>
      <c r="I20" s="752">
        <v>14</v>
      </c>
      <c r="J20" s="720" t="s">
        <v>2</v>
      </c>
      <c r="K20" s="720" t="s">
        <v>122</v>
      </c>
      <c r="L20" s="720">
        <v>39</v>
      </c>
      <c r="M20" s="725">
        <v>7</v>
      </c>
      <c r="N20" s="726">
        <v>0.17948717948717949</v>
      </c>
      <c r="O20" s="727">
        <v>22.083333333333332</v>
      </c>
      <c r="P20" s="717"/>
      <c r="Q20" s="729">
        <v>14</v>
      </c>
      <c r="R20" s="720" t="s">
        <v>625</v>
      </c>
      <c r="S20" s="720" t="s">
        <v>225</v>
      </c>
      <c r="T20" s="720">
        <v>41</v>
      </c>
      <c r="U20" s="725">
        <v>4</v>
      </c>
      <c r="V20" s="726">
        <v>9.7560975609756101E-2</v>
      </c>
      <c r="W20" s="713">
        <v>22.083333333333332</v>
      </c>
      <c r="X20" s="397"/>
      <c r="Y20" s="729">
        <v>14</v>
      </c>
      <c r="Z20" s="767" t="s">
        <v>186</v>
      </c>
      <c r="AA20" s="768" t="s">
        <v>452</v>
      </c>
      <c r="AB20" s="720">
        <v>32</v>
      </c>
      <c r="AC20" s="725">
        <v>2</v>
      </c>
      <c r="AD20" s="769">
        <v>6.25E-2</v>
      </c>
      <c r="AE20" s="520">
        <v>14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607</v>
      </c>
      <c r="C21" s="720" t="s">
        <v>608</v>
      </c>
      <c r="D21" s="721">
        <v>23040</v>
      </c>
      <c r="E21" s="722">
        <v>210394</v>
      </c>
      <c r="F21" s="723">
        <v>0.15819097744360902</v>
      </c>
      <c r="G21" s="724">
        <v>116</v>
      </c>
      <c r="H21" s="717"/>
      <c r="I21" s="729">
        <v>15</v>
      </c>
      <c r="J21" s="720" t="s">
        <v>626</v>
      </c>
      <c r="K21" s="720" t="s">
        <v>225</v>
      </c>
      <c r="L21" s="720">
        <v>41</v>
      </c>
      <c r="M21" s="725">
        <v>5</v>
      </c>
      <c r="N21" s="726">
        <v>0.12195121951219512</v>
      </c>
      <c r="O21" s="727">
        <v>23.75</v>
      </c>
      <c r="P21" s="717"/>
      <c r="Q21" s="730">
        <v>15</v>
      </c>
      <c r="R21" s="731" t="s">
        <v>4</v>
      </c>
      <c r="S21" s="731" t="s">
        <v>148</v>
      </c>
      <c r="T21" s="731">
        <v>107</v>
      </c>
      <c r="U21" s="732">
        <v>9</v>
      </c>
      <c r="V21" s="733">
        <v>8.4112149532710276E-2</v>
      </c>
      <c r="W21" s="714">
        <v>47.5</v>
      </c>
      <c r="X21" s="397"/>
      <c r="Y21" s="730">
        <v>15</v>
      </c>
      <c r="Z21" s="770" t="s">
        <v>4</v>
      </c>
      <c r="AA21" s="771" t="s">
        <v>148</v>
      </c>
      <c r="AB21" s="731">
        <v>107</v>
      </c>
      <c r="AC21" s="732">
        <v>6</v>
      </c>
      <c r="AD21" s="772">
        <v>5.6074766355140186E-2</v>
      </c>
      <c r="AE21" s="538">
        <v>32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816</v>
      </c>
      <c r="C22" s="731" t="s">
        <v>818</v>
      </c>
      <c r="D22" s="734">
        <v>18128</v>
      </c>
      <c r="E22" s="735">
        <v>141417</v>
      </c>
      <c r="F22" s="736">
        <v>0.11687355371900826</v>
      </c>
      <c r="G22" s="737" t="e">
        <v>#N/A</v>
      </c>
      <c r="H22" s="738"/>
      <c r="I22" s="730">
        <v>16</v>
      </c>
      <c r="J22" s="731" t="s">
        <v>1</v>
      </c>
      <c r="K22" s="731" t="s">
        <v>52</v>
      </c>
      <c r="L22" s="731">
        <v>20</v>
      </c>
      <c r="M22" s="732">
        <v>2</v>
      </c>
      <c r="N22" s="733">
        <v>0.1</v>
      </c>
      <c r="O22" s="739">
        <v>7.583333333333333</v>
      </c>
      <c r="P22" s="738"/>
      <c r="Q22" s="729">
        <v>16</v>
      </c>
      <c r="R22" s="720" t="s">
        <v>186</v>
      </c>
      <c r="S22" s="720" t="s">
        <v>452</v>
      </c>
      <c r="T22" s="720">
        <v>32</v>
      </c>
      <c r="U22" s="725">
        <v>2</v>
      </c>
      <c r="V22" s="726">
        <v>6.25E-2</v>
      </c>
      <c r="W22" s="713">
        <v>19.916666666666668</v>
      </c>
      <c r="X22" s="397"/>
      <c r="Y22" s="729">
        <v>14</v>
      </c>
      <c r="Z22" s="767" t="s">
        <v>804</v>
      </c>
      <c r="AA22" s="768" t="s">
        <v>80</v>
      </c>
      <c r="AB22" s="720">
        <v>19</v>
      </c>
      <c r="AC22" s="725">
        <v>1</v>
      </c>
      <c r="AD22" s="769">
        <v>5.2631578947368418E-2</v>
      </c>
      <c r="AE22" s="520">
        <v>9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186</v>
      </c>
      <c r="C23" s="731" t="s">
        <v>540</v>
      </c>
      <c r="D23" s="734">
        <v>61439</v>
      </c>
      <c r="E23" s="735">
        <v>149460</v>
      </c>
      <c r="F23" s="736">
        <v>0.11496923076923077</v>
      </c>
      <c r="G23" s="737">
        <v>102</v>
      </c>
      <c r="H23" s="738"/>
      <c r="I23" s="730">
        <v>17</v>
      </c>
      <c r="J23" s="731" t="s">
        <v>186</v>
      </c>
      <c r="K23" s="731" t="s">
        <v>452</v>
      </c>
      <c r="L23" s="731">
        <v>32</v>
      </c>
      <c r="M23" s="732">
        <v>3</v>
      </c>
      <c r="N23" s="733">
        <v>9.375E-2</v>
      </c>
      <c r="O23" s="739">
        <v>20.666666666666668</v>
      </c>
      <c r="P23" s="738"/>
      <c r="Q23" s="729">
        <v>17</v>
      </c>
      <c r="R23" s="720" t="s">
        <v>266</v>
      </c>
      <c r="S23" s="720" t="s">
        <v>80</v>
      </c>
      <c r="T23" s="720">
        <v>19</v>
      </c>
      <c r="U23" s="725">
        <v>1</v>
      </c>
      <c r="V23" s="726">
        <v>5.2631578947368418E-2</v>
      </c>
      <c r="W23" s="713">
        <v>12.166666666666666</v>
      </c>
      <c r="X23" s="397"/>
      <c r="Y23" s="729">
        <v>14</v>
      </c>
      <c r="Z23" s="767" t="s">
        <v>856</v>
      </c>
      <c r="AA23" s="768" t="s">
        <v>859</v>
      </c>
      <c r="AB23" s="720">
        <v>26</v>
      </c>
      <c r="AC23" s="725">
        <v>1</v>
      </c>
      <c r="AD23" s="769">
        <v>3.8461538461538464E-2</v>
      </c>
      <c r="AE23" s="520" t="e">
        <v>#N/A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1</v>
      </c>
      <c r="C24" s="720" t="s">
        <v>52</v>
      </c>
      <c r="D24" s="721">
        <v>5000</v>
      </c>
      <c r="E24" s="722">
        <v>29409</v>
      </c>
      <c r="F24" s="723">
        <v>4.7433870967741938E-2</v>
      </c>
      <c r="G24" s="724">
        <v>57</v>
      </c>
      <c r="H24" s="738"/>
      <c r="I24" s="729">
        <v>18</v>
      </c>
      <c r="J24" s="720" t="s">
        <v>4</v>
      </c>
      <c r="K24" s="720" t="s">
        <v>148</v>
      </c>
      <c r="L24" s="720">
        <v>107</v>
      </c>
      <c r="M24" s="725">
        <v>9</v>
      </c>
      <c r="N24" s="726">
        <v>8.4112149532710276E-2</v>
      </c>
      <c r="O24" s="727">
        <v>47.5</v>
      </c>
      <c r="P24" s="738"/>
      <c r="Q24" s="740">
        <v>18</v>
      </c>
      <c r="R24" s="741" t="s">
        <v>1</v>
      </c>
      <c r="S24" s="741" t="s">
        <v>52</v>
      </c>
      <c r="T24" s="741">
        <v>20</v>
      </c>
      <c r="U24" s="742">
        <v>1</v>
      </c>
      <c r="V24" s="743">
        <v>0.05</v>
      </c>
      <c r="W24" s="715">
        <v>6.666666666666667</v>
      </c>
      <c r="X24" s="397"/>
      <c r="Y24" s="740">
        <v>15</v>
      </c>
      <c r="Z24" s="773" t="s">
        <v>1</v>
      </c>
      <c r="AA24" s="774" t="s">
        <v>52</v>
      </c>
      <c r="AB24" s="741">
        <v>20</v>
      </c>
      <c r="AC24" s="742">
        <v>0</v>
      </c>
      <c r="AD24" s="775">
        <v>0</v>
      </c>
      <c r="AE24" s="565">
        <v>6</v>
      </c>
      <c r="AL24" s="391"/>
      <c r="AO24" s="524"/>
    </row>
    <row r="25" spans="1:41" s="393" customFormat="1" ht="50" customHeight="1" thickBot="1">
      <c r="A25" s="740">
        <v>19</v>
      </c>
      <c r="B25" s="741" t="s">
        <v>266</v>
      </c>
      <c r="C25" s="741" t="s">
        <v>80</v>
      </c>
      <c r="D25" s="744">
        <v>0</v>
      </c>
      <c r="E25" s="745">
        <v>30830</v>
      </c>
      <c r="F25" s="746">
        <v>4.4681159420289857E-2</v>
      </c>
      <c r="G25" s="747">
        <v>64</v>
      </c>
      <c r="H25" s="738"/>
      <c r="I25" s="740">
        <v>19</v>
      </c>
      <c r="J25" s="741" t="s">
        <v>266</v>
      </c>
      <c r="K25" s="741" t="s">
        <v>80</v>
      </c>
      <c r="L25" s="741">
        <v>19</v>
      </c>
      <c r="M25" s="742">
        <v>1</v>
      </c>
      <c r="N25" s="743">
        <v>5.2631578947368418E-2</v>
      </c>
      <c r="O25" s="748">
        <v>13.25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9" t="e">
        <f>#REF!</f>
        <v>#REF!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0" t="s">
        <v>548</v>
      </c>
      <c r="B5" s="257" t="s">
        <v>329</v>
      </c>
      <c r="C5" s="982" t="s">
        <v>5</v>
      </c>
      <c r="D5" s="972" t="s">
        <v>520</v>
      </c>
      <c r="E5" s="984" t="s">
        <v>189</v>
      </c>
      <c r="F5" s="986" t="e">
        <f>#REF!</f>
        <v>#REF!</v>
      </c>
      <c r="G5" s="988" t="s">
        <v>506</v>
      </c>
      <c r="H5" s="989"/>
      <c r="I5" s="989"/>
      <c r="J5" s="990" t="e">
        <f>#REF!</f>
        <v>#REF!</v>
      </c>
      <c r="K5" s="991"/>
      <c r="L5" s="992"/>
      <c r="M5" s="993" t="s">
        <v>551</v>
      </c>
      <c r="N5" s="994"/>
      <c r="O5" s="993" t="s">
        <v>552</v>
      </c>
      <c r="P5" s="994"/>
      <c r="Q5" s="993" t="s">
        <v>611</v>
      </c>
      <c r="R5" s="994"/>
      <c r="S5" s="969" t="s">
        <v>545</v>
      </c>
      <c r="T5" s="971" t="e">
        <f>#REF!</f>
        <v>#REF!</v>
      </c>
      <c r="U5" s="972"/>
      <c r="V5" s="973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1"/>
      <c r="B6" s="258" t="s">
        <v>192</v>
      </c>
      <c r="C6" s="983"/>
      <c r="D6" s="983"/>
      <c r="E6" s="985"/>
      <c r="F6" s="987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70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4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5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5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5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5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5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6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7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5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5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5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5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5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5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6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8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2026-04-30T08:40:17Z</cp:lastPrinted>
  <dcterms:created xsi:type="dcterms:W3CDTF">2014-11-27T06:37:55Z</dcterms:created>
  <dcterms:modified xsi:type="dcterms:W3CDTF">2026-04-30T09:20:13Z</dcterms:modified>
</cp:coreProperties>
</file>