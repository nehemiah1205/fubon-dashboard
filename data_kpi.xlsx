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 codeName="{DD97A8EA-9A9A-E61F-A557-7D5A7D7259CE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neosmacbook/Desktop/Dashboard/戰情室報表更新/"/>
    </mc:Choice>
  </mc:AlternateContent>
  <xr:revisionPtr revIDLastSave="0" documentId="8_{37D039CD-DD4E-6E41-A1BB-1ADD85BC17B2}" xr6:coauthVersionLast="47" xr6:coauthVersionMax="47" xr10:uidLastSave="{00000000-0000-0000-0000-000000000000}"/>
  <bookViews>
    <workbookView xWindow="0" yWindow="760" windowWidth="23260" windowHeight="12460" tabRatio="588" xr2:uid="{00000000-000D-0000-FFFF-FFFF00000000}"/>
  </bookViews>
  <sheets>
    <sheet name="單位 (分隊)" sheetId="23" r:id="rId1"/>
    <sheet name="TEAM (分隊)" sheetId="21" r:id="rId2"/>
    <sheet name="關鍵指標 (分隊)" sheetId="22" r:id="rId3"/>
    <sheet name="精實組織" sheetId="20" state="hidden" r:id="rId4"/>
    <sheet name="單位 (不分組)" sheetId="13" state="hidden" r:id="rId5"/>
  </sheets>
  <definedNames>
    <definedName name="_xlnm._FilterDatabase" localSheetId="1" hidden="1">'TEAM (分隊)'!$B$4:$Q$872</definedName>
    <definedName name="_xlnm.Print_Area" localSheetId="1">'TEAM (分隊)'!$B$1:$K$872</definedName>
    <definedName name="_xlnm.Print_Area" localSheetId="4">'單位 (不分組)'!$B$1:$V$26</definedName>
    <definedName name="_xlnm.Print_Area" localSheetId="0">'單位 (分隊)'!$A$1:$AJ$26</definedName>
    <definedName name="_xlnm.Print_Area" localSheetId="2">'關鍵指標 (分隊)'!$A$1:$AE$25</definedName>
    <definedName name="_xlnm.Print_Titles" localSheetId="1">'TEAM (分隊)'!$1:$4</definedName>
    <definedName name="主表" localSheetId="4">'單位 (不分組)'!$C$7:$V$24</definedName>
    <definedName name="主表" localSheetId="0">'單位 (分隊)'!$C$7:$AH$24</definedName>
    <definedName name="主表">#REF!</definedName>
    <definedName name="去年同期業績">#REF!</definedName>
    <definedName name="成長目標">#REF!</definedName>
    <definedName name="早上總公司">#REF!</definedName>
    <definedName name="個累">#REF!</definedName>
    <definedName name="個當">#REF!</definedName>
    <definedName name="核實">#REF!</definedName>
    <definedName name="核實業績">#REF!</definedName>
    <definedName name="單累">#REF!</definedName>
    <definedName name="單當">#REF!</definedName>
    <definedName name="總公司">#REF!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3" l="1"/>
  <c r="M15" i="13"/>
  <c r="M13" i="13"/>
  <c r="M23" i="13"/>
  <c r="M12" i="13"/>
  <c r="M22" i="13"/>
  <c r="M16" i="13"/>
  <c r="M9" i="13"/>
  <c r="M10" i="13"/>
  <c r="M8" i="13"/>
  <c r="M21" i="13"/>
  <c r="M18" i="13"/>
  <c r="M14" i="13"/>
  <c r="F14" i="13"/>
  <c r="F10" i="13"/>
  <c r="F12" i="13"/>
  <c r="F8" i="13"/>
  <c r="Q5" i="20"/>
  <c r="P5" i="20"/>
  <c r="O5" i="20"/>
  <c r="R5" i="20"/>
  <c r="P19" i="20"/>
  <c r="O19" i="20"/>
  <c r="O20" i="20"/>
  <c r="R20" i="20"/>
  <c r="P20" i="20"/>
  <c r="Q20" i="20"/>
  <c r="O6" i="20"/>
  <c r="R6" i="20"/>
  <c r="P6" i="20"/>
  <c r="Q6" i="20"/>
  <c r="O7" i="20"/>
  <c r="P7" i="20"/>
  <c r="Q7" i="20"/>
  <c r="R7" i="20"/>
  <c r="O8" i="20"/>
  <c r="P8" i="20"/>
  <c r="R8" i="20"/>
  <c r="Q8" i="20"/>
  <c r="O9" i="20"/>
  <c r="P9" i="20"/>
  <c r="Q9" i="20"/>
  <c r="O10" i="20"/>
  <c r="P10" i="20"/>
  <c r="Q10" i="20"/>
  <c r="O11" i="20"/>
  <c r="R11" i="20"/>
  <c r="P11" i="20"/>
  <c r="Q11" i="20"/>
  <c r="O12" i="20"/>
  <c r="P12" i="20"/>
  <c r="Q12" i="20"/>
  <c r="O13" i="20"/>
  <c r="P13" i="20"/>
  <c r="Q13" i="20"/>
  <c r="O14" i="20"/>
  <c r="P14" i="20"/>
  <c r="Q14" i="20"/>
  <c r="O15" i="20"/>
  <c r="P15" i="20"/>
  <c r="Q15" i="20"/>
  <c r="O16" i="20"/>
  <c r="P16" i="20"/>
  <c r="Q16" i="20"/>
  <c r="O17" i="20"/>
  <c r="R17" i="20"/>
  <c r="P17" i="20"/>
  <c r="Q17" i="20"/>
  <c r="O18" i="20"/>
  <c r="P18" i="20"/>
  <c r="Q18" i="20"/>
  <c r="Q19" i="20"/>
  <c r="S24" i="13"/>
  <c r="S26" i="13"/>
  <c r="G26" i="13"/>
  <c r="G18" i="13"/>
  <c r="G24" i="13"/>
  <c r="J18" i="13"/>
  <c r="J13" i="13"/>
  <c r="G13" i="13"/>
  <c r="K6" i="13"/>
  <c r="B4" i="13"/>
  <c r="S4" i="13"/>
  <c r="A1" i="13"/>
  <c r="J4" i="13"/>
  <c r="T5" i="13"/>
  <c r="J5" i="13"/>
  <c r="F5" i="13"/>
  <c r="G20" i="13"/>
  <c r="S20" i="13"/>
  <c r="F20" i="13"/>
  <c r="G11" i="13"/>
  <c r="J11" i="13"/>
  <c r="K20" i="13"/>
  <c r="J20" i="13"/>
  <c r="H20" i="13"/>
  <c r="I20" i="13"/>
  <c r="L20" i="13"/>
  <c r="B20" i="13" s="1"/>
  <c r="U26" i="13"/>
  <c r="F26" i="13"/>
  <c r="J26" i="13"/>
  <c r="T20" i="13"/>
  <c r="G21" i="13"/>
  <c r="J21" i="13"/>
  <c r="J22" i="13"/>
  <c r="J16" i="13"/>
  <c r="G22" i="13"/>
  <c r="G16" i="13"/>
  <c r="G8" i="13"/>
  <c r="J8" i="13"/>
  <c r="J15" i="13"/>
  <c r="J17" i="13"/>
  <c r="J12" i="13"/>
  <c r="J10" i="13"/>
  <c r="J19" i="13"/>
  <c r="J14" i="13"/>
  <c r="G17" i="13"/>
  <c r="G15" i="13"/>
  <c r="G12" i="13"/>
  <c r="G19" i="13"/>
  <c r="G10" i="13"/>
  <c r="G14" i="13"/>
  <c r="Q20" i="13"/>
  <c r="E20" i="13"/>
  <c r="U24" i="13"/>
  <c r="R20" i="13"/>
  <c r="M20" i="13"/>
  <c r="N20" i="13"/>
  <c r="O20" i="13"/>
  <c r="P20" i="13"/>
  <c r="U20" i="13"/>
  <c r="V20" i="13" s="1"/>
  <c r="F23" i="13"/>
  <c r="T26" i="13"/>
  <c r="F24" i="13"/>
  <c r="K24" i="13"/>
  <c r="F7" i="13"/>
  <c r="F15" i="13"/>
  <c r="J24" i="13"/>
  <c r="H24" i="13"/>
  <c r="E24" i="13"/>
  <c r="T24" i="13"/>
  <c r="I24" i="13"/>
  <c r="L24" i="13"/>
  <c r="M24" i="13"/>
  <c r="N24" i="13"/>
  <c r="Q24" i="13"/>
  <c r="O24" i="13"/>
  <c r="R24" i="13"/>
  <c r="P24" i="13"/>
  <c r="R19" i="20"/>
  <c r="R14" i="20"/>
  <c r="R16" i="20"/>
  <c r="R10" i="20"/>
  <c r="R18" i="20"/>
  <c r="R13" i="20"/>
  <c r="R12" i="20"/>
  <c r="R15" i="20"/>
  <c r="R9" i="20"/>
  <c r="F13" i="13"/>
  <c r="F22" i="13"/>
  <c r="F16" i="13"/>
  <c r="F11" i="13"/>
  <c r="E26" i="13" l="1"/>
  <c r="L26" i="13"/>
  <c r="G7" i="13"/>
  <c r="J7" i="13"/>
  <c r="H26" i="13"/>
  <c r="O13" i="13"/>
  <c r="G9" i="13"/>
  <c r="J9" i="13"/>
  <c r="H22" i="13"/>
  <c r="P19" i="13"/>
  <c r="P13" i="13"/>
  <c r="P16" i="13"/>
  <c r="P17" i="13"/>
  <c r="P21" i="13"/>
  <c r="O15" i="13"/>
  <c r="P15" i="13"/>
  <c r="O10" i="13"/>
  <c r="P10" i="13"/>
  <c r="O8" i="13"/>
  <c r="P8" i="13"/>
  <c r="O12" i="13"/>
  <c r="P12" i="13"/>
  <c r="K21" i="13"/>
  <c r="K9" i="13"/>
  <c r="K13" i="13"/>
  <c r="K17" i="13"/>
  <c r="O11" i="13"/>
  <c r="O21" i="13"/>
  <c r="O17" i="13"/>
  <c r="O19" i="13"/>
  <c r="O16" i="13"/>
  <c r="O7" i="13"/>
  <c r="I26" i="13"/>
  <c r="F19" i="13"/>
  <c r="H11" i="13"/>
  <c r="I11" i="13"/>
  <c r="K26" i="13"/>
  <c r="F17" i="13"/>
  <c r="H9" i="13"/>
  <c r="N26" i="13"/>
  <c r="M26" i="13"/>
  <c r="O9" i="13"/>
  <c r="M7" i="13"/>
  <c r="O22" i="13"/>
  <c r="O18" i="13"/>
  <c r="O23" i="13"/>
  <c r="M11" i="13"/>
  <c r="O14" i="13"/>
  <c r="M17" i="13"/>
  <c r="K19" i="13"/>
  <c r="N19" i="13"/>
  <c r="N14" i="13"/>
  <c r="K14" i="13"/>
  <c r="K10" i="13"/>
  <c r="K7" i="13"/>
  <c r="I17" i="13"/>
  <c r="K22" i="13"/>
  <c r="I13" i="13"/>
  <c r="N13" i="13"/>
  <c r="I10" i="13"/>
  <c r="H17" i="13"/>
  <c r="H13" i="13"/>
  <c r="K18" i="13"/>
  <c r="I12" i="13"/>
  <c r="K8" i="13"/>
  <c r="N16" i="13"/>
  <c r="K16" i="13"/>
  <c r="N18" i="13"/>
  <c r="N8" i="13"/>
  <c r="H14" i="13"/>
  <c r="H10" i="13"/>
  <c r="I14" i="13"/>
  <c r="I15" i="13"/>
  <c r="H15" i="13"/>
  <c r="N22" i="13"/>
  <c r="N15" i="13"/>
  <c r="K15" i="13"/>
  <c r="N21" i="13"/>
  <c r="K11" i="13"/>
  <c r="N10" i="13"/>
  <c r="H8" i="13"/>
  <c r="I8" i="13"/>
  <c r="H19" i="13"/>
  <c r="I19" i="13"/>
  <c r="I16" i="13"/>
  <c r="H16" i="13"/>
  <c r="I22" i="13"/>
  <c r="F18" i="13"/>
  <c r="G23" i="13"/>
  <c r="I18" i="13"/>
  <c r="F9" i="13"/>
  <c r="F21" i="13"/>
  <c r="H18" i="13"/>
  <c r="J23" i="13"/>
  <c r="N12" i="13"/>
  <c r="K12" i="13"/>
  <c r="H12" i="13"/>
  <c r="H7" i="13"/>
  <c r="I21" i="13"/>
  <c r="H21" i="13"/>
  <c r="E11" i="13" l="1"/>
  <c r="L12" i="13"/>
  <c r="L8" i="13"/>
  <c r="N9" i="13"/>
  <c r="L16" i="13"/>
  <c r="I7" i="13"/>
  <c r="I9" i="13"/>
  <c r="L14" i="13"/>
  <c r="L22" i="13"/>
  <c r="E7" i="13"/>
  <c r="P11" i="13"/>
  <c r="P23" i="13"/>
  <c r="E13" i="13"/>
  <c r="E12" i="13"/>
  <c r="E14" i="13"/>
  <c r="E10" i="13"/>
  <c r="E8" i="13"/>
  <c r="P22" i="13"/>
  <c r="P18" i="13"/>
  <c r="E19" i="13"/>
  <c r="P9" i="13"/>
  <c r="E15" i="13"/>
  <c r="P14" i="13"/>
  <c r="N17" i="13"/>
  <c r="N11" i="13"/>
  <c r="L19" i="13"/>
  <c r="L7" i="13"/>
  <c r="L18" i="13"/>
  <c r="P7" i="13"/>
  <c r="L11" i="13"/>
  <c r="L10" i="13"/>
  <c r="L15" i="13"/>
  <c r="L21" i="13"/>
  <c r="L17" i="13"/>
  <c r="L9" i="13"/>
  <c r="L13" i="13"/>
  <c r="N23" i="13"/>
  <c r="K23" i="13"/>
  <c r="H23" i="13"/>
  <c r="I23" i="13"/>
  <c r="E18" i="13"/>
  <c r="E22" i="13" l="1"/>
  <c r="E17" i="13"/>
  <c r="E9" i="13"/>
  <c r="E21" i="13"/>
  <c r="N7" i="13"/>
  <c r="R18" i="13"/>
  <c r="Q7" i="13"/>
  <c r="Q22" i="13"/>
  <c r="R14" i="13"/>
  <c r="B16" i="13"/>
  <c r="B14" i="13"/>
  <c r="B7" i="13"/>
  <c r="B17" i="13"/>
  <c r="B13" i="13"/>
  <c r="B22" i="13"/>
  <c r="B15" i="13"/>
  <c r="B8" i="13"/>
  <c r="B18" i="13"/>
  <c r="B19" i="13"/>
  <c r="B10" i="13"/>
  <c r="B12" i="13"/>
  <c r="B21" i="13"/>
  <c r="B9" i="13"/>
  <c r="B11" i="13"/>
  <c r="L23" i="13"/>
  <c r="R16" i="13"/>
  <c r="Q16" i="13"/>
  <c r="Q17" i="13"/>
  <c r="R17" i="13"/>
  <c r="Q9" i="13"/>
  <c r="R10" i="13" l="1"/>
  <c r="Q15" i="13"/>
  <c r="Q14" i="13"/>
  <c r="Q8" i="13"/>
  <c r="R22" i="13"/>
  <c r="R15" i="13"/>
  <c r="R19" i="13"/>
  <c r="Q12" i="13"/>
  <c r="Q11" i="13"/>
  <c r="R11" i="13"/>
  <c r="R12" i="13"/>
  <c r="R8" i="13"/>
  <c r="Q18" i="13"/>
  <c r="Q10" i="13"/>
  <c r="E16" i="13"/>
  <c r="Q19" i="13"/>
  <c r="Q21" i="13"/>
  <c r="R21" i="13"/>
  <c r="X1" i="13"/>
  <c r="U22" i="13"/>
  <c r="S14" i="13"/>
  <c r="S10" i="13"/>
  <c r="T8" i="13"/>
  <c r="S22" i="13"/>
  <c r="R9" i="13"/>
  <c r="R7" i="13"/>
  <c r="T14" i="13"/>
  <c r="E23" i="13"/>
  <c r="T10" i="13"/>
  <c r="S7" i="13"/>
  <c r="T22" i="13"/>
  <c r="U15" i="13"/>
  <c r="S11" i="13"/>
  <c r="T18" i="13"/>
  <c r="U17" i="13"/>
  <c r="U7" i="13"/>
  <c r="U8" i="13"/>
  <c r="U16" i="13"/>
  <c r="S13" i="13"/>
  <c r="U21" i="13"/>
  <c r="U9" i="13"/>
  <c r="Q13" i="13"/>
  <c r="R13" i="13"/>
  <c r="T15" i="13" l="1"/>
  <c r="U13" i="13"/>
  <c r="U18" i="13"/>
  <c r="V18" i="13" s="1"/>
  <c r="U10" i="13"/>
  <c r="V10" i="13" s="1"/>
  <c r="S12" i="13"/>
  <c r="T11" i="13"/>
  <c r="T16" i="13"/>
  <c r="U19" i="13"/>
  <c r="V19" i="13" s="1"/>
  <c r="S9" i="13"/>
  <c r="T9" i="13"/>
  <c r="S18" i="13"/>
  <c r="U14" i="13"/>
  <c r="V14" i="13" s="1"/>
  <c r="S17" i="13"/>
  <c r="T17" i="13"/>
  <c r="S15" i="13"/>
  <c r="T13" i="13"/>
  <c r="S8" i="13"/>
  <c r="T12" i="13"/>
  <c r="U12" i="13"/>
  <c r="V12" i="13" s="1"/>
  <c r="T19" i="13"/>
  <c r="S16" i="13"/>
  <c r="S19" i="13"/>
  <c r="U11" i="13"/>
  <c r="V11" i="13" s="1"/>
  <c r="T21" i="13"/>
  <c r="S21" i="13"/>
  <c r="T7" i="13"/>
  <c r="V13" i="13"/>
  <c r="V7" i="13"/>
  <c r="V8" i="13"/>
  <c r="V21" i="13"/>
  <c r="V9" i="13"/>
  <c r="V22" i="13"/>
  <c r="V16" i="13"/>
  <c r="V15" i="13"/>
  <c r="V17" i="13"/>
  <c r="Q23" i="13"/>
  <c r="R23" i="13"/>
  <c r="U23" i="13" l="1"/>
  <c r="S23" i="13"/>
  <c r="T23" i="13"/>
</calcChain>
</file>

<file path=xl/sharedStrings.xml><?xml version="1.0" encoding="utf-8"?>
<sst xmlns="http://schemas.openxmlformats.org/spreadsheetml/2006/main" count="3197" uniqueCount="932">
  <si>
    <t>件數</t>
  </si>
  <si>
    <t>HC169</t>
  </si>
  <si>
    <t>HC702</t>
  </si>
  <si>
    <t>HC711</t>
  </si>
  <si>
    <t>HC899</t>
  </si>
  <si>
    <t>單位</t>
    <phoneticPr fontId="4" type="noConversion"/>
  </si>
  <si>
    <t>HC161</t>
    <phoneticPr fontId="4" type="noConversion"/>
  </si>
  <si>
    <t>HC701</t>
    <phoneticPr fontId="4" type="noConversion"/>
  </si>
  <si>
    <t>HC169</t>
    <phoneticPr fontId="4" type="noConversion"/>
  </si>
  <si>
    <t>HC702</t>
    <phoneticPr fontId="4" type="noConversion"/>
  </si>
  <si>
    <t>HC711</t>
    <phoneticPr fontId="4" type="noConversion"/>
  </si>
  <si>
    <t>HC899</t>
    <phoneticPr fontId="4" type="noConversion"/>
  </si>
  <si>
    <t>當日</t>
    <phoneticPr fontId="4" type="noConversion"/>
  </si>
  <si>
    <t>姓名</t>
  </si>
  <si>
    <t>職稱</t>
    <phoneticPr fontId="4" type="noConversion"/>
  </si>
  <si>
    <t>件數</t>
    <phoneticPr fontId="4" type="noConversion"/>
  </si>
  <si>
    <r>
      <t>D</t>
    </r>
    <r>
      <rPr>
        <sz val="12"/>
        <color theme="1"/>
        <rFont val="新細明體"/>
        <family val="3"/>
        <charset val="136"/>
        <scheme val="minor"/>
      </rPr>
      <t>M</t>
    </r>
    <phoneticPr fontId="4" type="noConversion"/>
  </si>
  <si>
    <t>CA</t>
    <phoneticPr fontId="4" type="noConversion"/>
  </si>
  <si>
    <t>郭嘉讌</t>
    <phoneticPr fontId="4" type="noConversion"/>
  </si>
  <si>
    <t>楊素貞</t>
  </si>
  <si>
    <r>
      <t>S</t>
    </r>
    <r>
      <rPr>
        <sz val="12"/>
        <color theme="1"/>
        <rFont val="新細明體"/>
        <family val="3"/>
        <charset val="136"/>
        <scheme val="minor"/>
      </rPr>
      <t>P</t>
    </r>
    <phoneticPr fontId="4" type="noConversion"/>
  </si>
  <si>
    <t>楊雅如</t>
    <phoneticPr fontId="4" type="noConversion"/>
  </si>
  <si>
    <t>AM</t>
    <phoneticPr fontId="4" type="noConversion"/>
  </si>
  <si>
    <t>鄭佩如</t>
  </si>
  <si>
    <t>呂淑玲</t>
  </si>
  <si>
    <t>SP</t>
    <phoneticPr fontId="4" type="noConversion"/>
  </si>
  <si>
    <t>林淑君</t>
    <phoneticPr fontId="4" type="noConversion"/>
  </si>
  <si>
    <t>CA</t>
  </si>
  <si>
    <t>蔡明玲</t>
    <phoneticPr fontId="4" type="noConversion"/>
  </si>
  <si>
    <t>曾碧霞</t>
  </si>
  <si>
    <t>俞蓁廷</t>
  </si>
  <si>
    <t>曾碧霞</t>
    <phoneticPr fontId="4" type="noConversion"/>
  </si>
  <si>
    <t>謝淑雲</t>
    <phoneticPr fontId="4" type="noConversion"/>
  </si>
  <si>
    <t>姜懷英</t>
    <phoneticPr fontId="4" type="noConversion"/>
  </si>
  <si>
    <t>何桂香</t>
    <phoneticPr fontId="4" type="noConversion"/>
  </si>
  <si>
    <t>楊錚錚</t>
  </si>
  <si>
    <t>曾佳琪</t>
  </si>
  <si>
    <t>歐建志</t>
  </si>
  <si>
    <t>楊育棚</t>
  </si>
  <si>
    <r>
      <t>C</t>
    </r>
    <r>
      <rPr>
        <sz val="12"/>
        <color theme="1"/>
        <rFont val="新細明體"/>
        <family val="3"/>
        <charset val="136"/>
        <scheme val="minor"/>
      </rPr>
      <t>A</t>
    </r>
    <phoneticPr fontId="4" type="noConversion"/>
  </si>
  <si>
    <t>UM</t>
    <phoneticPr fontId="4" type="noConversion"/>
  </si>
  <si>
    <t>黃美婉</t>
  </si>
  <si>
    <t>鄭美秀</t>
    <phoneticPr fontId="4" type="noConversion"/>
  </si>
  <si>
    <t>陳鳳玉</t>
  </si>
  <si>
    <t>黃美鶯</t>
    <phoneticPr fontId="4" type="noConversion"/>
  </si>
  <si>
    <t>黃美鶯</t>
  </si>
  <si>
    <t>温曉君</t>
    <phoneticPr fontId="4" type="noConversion"/>
  </si>
  <si>
    <r>
      <t>U</t>
    </r>
    <r>
      <rPr>
        <sz val="12"/>
        <color theme="1"/>
        <rFont val="新細明體"/>
        <family val="3"/>
        <charset val="136"/>
        <scheme val="minor"/>
      </rPr>
      <t>M</t>
    </r>
    <phoneticPr fontId="4" type="noConversion"/>
  </si>
  <si>
    <t>温中</t>
  </si>
  <si>
    <t>陳麗珍</t>
  </si>
  <si>
    <t>許秀美</t>
  </si>
  <si>
    <t>UM</t>
  </si>
  <si>
    <t>林美秀</t>
  </si>
  <si>
    <t>李吳宅</t>
  </si>
  <si>
    <t>DM</t>
    <phoneticPr fontId="4" type="noConversion"/>
  </si>
  <si>
    <t>許焉松</t>
  </si>
  <si>
    <t>李吳宅</t>
    <phoneticPr fontId="4" type="noConversion"/>
  </si>
  <si>
    <t>陳寶玉</t>
    <phoneticPr fontId="4" type="noConversion"/>
  </si>
  <si>
    <t>黃淑慧</t>
    <phoneticPr fontId="4" type="noConversion"/>
  </si>
  <si>
    <t>李吳彥</t>
    <phoneticPr fontId="4" type="noConversion"/>
  </si>
  <si>
    <t>張鈺伶</t>
  </si>
  <si>
    <t>林遠珍</t>
  </si>
  <si>
    <t>鄭素珠</t>
    <phoneticPr fontId="4" type="noConversion"/>
  </si>
  <si>
    <t>張靜宜</t>
  </si>
  <si>
    <t>劉宴銘</t>
  </si>
  <si>
    <t>呂雅瑄</t>
  </si>
  <si>
    <t>陳建文</t>
  </si>
  <si>
    <t>陳思穎</t>
  </si>
  <si>
    <t>林彥伶</t>
  </si>
  <si>
    <t>羅永成</t>
  </si>
  <si>
    <t>羅永成</t>
    <phoneticPr fontId="4" type="noConversion"/>
  </si>
  <si>
    <t>徐蕙田</t>
  </si>
  <si>
    <t>盧育達</t>
  </si>
  <si>
    <t>林麗嬌</t>
  </si>
  <si>
    <t>范德亮</t>
  </si>
  <si>
    <t>范德亮</t>
    <phoneticPr fontId="4" type="noConversion"/>
  </si>
  <si>
    <t>解語</t>
    <phoneticPr fontId="4" type="noConversion"/>
  </si>
  <si>
    <t>郭鴻美</t>
  </si>
  <si>
    <t>許佳鴻</t>
  </si>
  <si>
    <t>郭鴻美</t>
    <phoneticPr fontId="4" type="noConversion"/>
  </si>
  <si>
    <t>林雅莉</t>
  </si>
  <si>
    <t>陳仕君</t>
  </si>
  <si>
    <t>項華萍</t>
  </si>
  <si>
    <t>龍寶華</t>
  </si>
  <si>
    <t>許宏洋</t>
  </si>
  <si>
    <t>陳仕君</t>
    <phoneticPr fontId="4" type="noConversion"/>
  </si>
  <si>
    <t>林怡瑄</t>
  </si>
  <si>
    <t>楊博仲</t>
  </si>
  <si>
    <t>曾玉芬</t>
  </si>
  <si>
    <t>周宜薇</t>
    <phoneticPr fontId="4" type="noConversion"/>
  </si>
  <si>
    <t>闕佳玲</t>
  </si>
  <si>
    <t>魏照漢</t>
    <phoneticPr fontId="4" type="noConversion"/>
  </si>
  <si>
    <t>魏羽姍</t>
  </si>
  <si>
    <t>郭昭瑋</t>
  </si>
  <si>
    <t>吳雯雯</t>
  </si>
  <si>
    <t>郭凱姍</t>
  </si>
  <si>
    <t>郭昭瑋</t>
    <phoneticPr fontId="4" type="noConversion"/>
  </si>
  <si>
    <t>闕博川</t>
    <phoneticPr fontId="4" type="noConversion"/>
  </si>
  <si>
    <t>麥書瑋</t>
  </si>
  <si>
    <t>蔡依霈</t>
  </si>
  <si>
    <t xml:space="preserve"> 闕博川</t>
    <phoneticPr fontId="4" type="noConversion"/>
  </si>
  <si>
    <t>陳建村</t>
  </si>
  <si>
    <t>陳鳳鳴</t>
  </si>
  <si>
    <t>鍾武昌</t>
    <phoneticPr fontId="4" type="noConversion"/>
  </si>
  <si>
    <t>鍾武昌</t>
  </si>
  <si>
    <t>潘正德</t>
    <phoneticPr fontId="4" type="noConversion"/>
  </si>
  <si>
    <t>王敏雄</t>
  </si>
  <si>
    <t>潘正德</t>
  </si>
  <si>
    <t>傅秀鳳</t>
  </si>
  <si>
    <t>黃雅惠</t>
    <phoneticPr fontId="4" type="noConversion"/>
  </si>
  <si>
    <t>傅秀鳳</t>
    <phoneticPr fontId="4" type="noConversion"/>
  </si>
  <si>
    <t>林昭仰</t>
    <phoneticPr fontId="4" type="noConversion"/>
  </si>
  <si>
    <t>陳彥樺</t>
    <phoneticPr fontId="4" type="noConversion"/>
  </si>
  <si>
    <t>郭鴻志</t>
  </si>
  <si>
    <t>曾紀瑋</t>
  </si>
  <si>
    <t>蔣仕崇</t>
  </si>
  <si>
    <t>李永瀚</t>
    <phoneticPr fontId="4" type="noConversion"/>
  </si>
  <si>
    <t>鄧美蓉</t>
    <phoneticPr fontId="4" type="noConversion"/>
  </si>
  <si>
    <t>蘇淑鳳</t>
  </si>
  <si>
    <t>黃月春</t>
  </si>
  <si>
    <t>侯賦雄</t>
  </si>
  <si>
    <t>李雅婉</t>
  </si>
  <si>
    <t>馮士豪</t>
    <phoneticPr fontId="4" type="noConversion"/>
  </si>
  <si>
    <t>范國良</t>
  </si>
  <si>
    <t>劉醇孝</t>
    <phoneticPr fontId="4" type="noConversion"/>
  </si>
  <si>
    <t>林佳慧</t>
  </si>
  <si>
    <t>陳振法</t>
  </si>
  <si>
    <t>陳佩卿</t>
    <phoneticPr fontId="4" type="noConversion"/>
  </si>
  <si>
    <t>張寶玉</t>
    <phoneticPr fontId="4" type="noConversion"/>
  </si>
  <si>
    <t>羅麗玲</t>
  </si>
  <si>
    <t>謝志遠</t>
  </si>
  <si>
    <t>林美婷</t>
    <phoneticPr fontId="4" type="noConversion"/>
  </si>
  <si>
    <t>陳冠豪</t>
    <phoneticPr fontId="4" type="noConversion"/>
  </si>
  <si>
    <t>謝翠華</t>
  </si>
  <si>
    <t>陳姍妮</t>
  </si>
  <si>
    <t>劉文凱</t>
    <phoneticPr fontId="4" type="noConversion"/>
  </si>
  <si>
    <t>蔡琇如</t>
    <phoneticPr fontId="4" type="noConversion"/>
  </si>
  <si>
    <t>李怡潔</t>
  </si>
  <si>
    <t>蔡佳芳</t>
  </si>
  <si>
    <t>周紫翎</t>
  </si>
  <si>
    <t>周士銘</t>
  </si>
  <si>
    <t>鍾博勛</t>
    <phoneticPr fontId="4" type="noConversion"/>
  </si>
  <si>
    <t>蔡明宏</t>
  </si>
  <si>
    <t>蔡明宏</t>
    <phoneticPr fontId="4" type="noConversion"/>
  </si>
  <si>
    <t>郭仲璿</t>
  </si>
  <si>
    <t>莊皓雰</t>
    <phoneticPr fontId="4" type="noConversion"/>
  </si>
  <si>
    <t>楊雅雯</t>
  </si>
  <si>
    <t>劉淑郁</t>
    <phoneticPr fontId="4" type="noConversion"/>
  </si>
  <si>
    <t>劉淑郁</t>
  </si>
  <si>
    <t>陳俊郎</t>
  </si>
  <si>
    <t>王儷靜</t>
  </si>
  <si>
    <t>劉陳怡君</t>
    <phoneticPr fontId="4" type="noConversion"/>
  </si>
  <si>
    <t>林雅婷</t>
  </si>
  <si>
    <t>陳俊郎</t>
    <phoneticPr fontId="4" type="noConversion"/>
  </si>
  <si>
    <t>張明琴</t>
  </si>
  <si>
    <t>劉瑞燕</t>
  </si>
  <si>
    <t>鄭鎮宇</t>
  </si>
  <si>
    <t>隆鈞實</t>
  </si>
  <si>
    <t>張森智</t>
  </si>
  <si>
    <t>童俊憲</t>
    <phoneticPr fontId="4" type="noConversion"/>
  </si>
  <si>
    <t>童俊憲</t>
  </si>
  <si>
    <t>吳彬</t>
  </si>
  <si>
    <t>賴靜琪</t>
  </si>
  <si>
    <t>羅美齡</t>
    <phoneticPr fontId="4" type="noConversion"/>
  </si>
  <si>
    <t>樹金雪</t>
    <phoneticPr fontId="4" type="noConversion"/>
  </si>
  <si>
    <t>彭清材</t>
    <phoneticPr fontId="4" type="noConversion"/>
  </si>
  <si>
    <t>陳藍萍</t>
  </si>
  <si>
    <t>DM</t>
  </si>
  <si>
    <t>蔡雅雯</t>
  </si>
  <si>
    <t>SP</t>
  </si>
  <si>
    <t>羅淑實</t>
    <phoneticPr fontId="4" type="noConversion"/>
  </si>
  <si>
    <t>AM</t>
  </si>
  <si>
    <t>胡樹鴻</t>
    <phoneticPr fontId="4" type="noConversion"/>
  </si>
  <si>
    <t>魏淑惠</t>
    <phoneticPr fontId="4" type="noConversion"/>
  </si>
  <si>
    <t>連坤誌</t>
    <phoneticPr fontId="4" type="noConversion"/>
  </si>
  <si>
    <t>連坤誌</t>
  </si>
  <si>
    <t>蕭廣雲</t>
    <phoneticPr fontId="4" type="noConversion"/>
  </si>
  <si>
    <t>湯志華</t>
    <phoneticPr fontId="4" type="noConversion"/>
  </si>
  <si>
    <t>林真緣</t>
  </si>
  <si>
    <t>羅仕松</t>
  </si>
  <si>
    <t xml:space="preserve">AM </t>
  </si>
  <si>
    <t xml:space="preserve">CA </t>
  </si>
  <si>
    <t>HC161</t>
  </si>
  <si>
    <t xml:space="preserve">DM </t>
  </si>
  <si>
    <t xml:space="preserve">UM </t>
  </si>
  <si>
    <t>HC701</t>
  </si>
  <si>
    <t>J1260</t>
  </si>
  <si>
    <t>K1160</t>
  </si>
  <si>
    <t>CA</t>
    <phoneticPr fontId="3" type="noConversion"/>
  </si>
  <si>
    <t>SP</t>
    <phoneticPr fontId="3" type="noConversion"/>
  </si>
  <si>
    <t>專職
人力</t>
    <phoneticPr fontId="4" type="noConversion"/>
  </si>
  <si>
    <t>達成率</t>
    <phoneticPr fontId="4" type="noConversion"/>
  </si>
  <si>
    <t>※以當月達成率排序</t>
    <phoneticPr fontId="4" type="noConversion"/>
  </si>
  <si>
    <t>排名</t>
    <phoneticPr fontId="3" type="noConversion"/>
  </si>
  <si>
    <t xml:space="preserve">        羅淑實　　</t>
    <phoneticPr fontId="3" type="noConversion"/>
  </si>
  <si>
    <t xml:space="preserve">        胡樹鴻　　</t>
    <phoneticPr fontId="3" type="noConversion"/>
  </si>
  <si>
    <t>魏淑惠</t>
    <phoneticPr fontId="3" type="noConversion"/>
  </si>
  <si>
    <t>蕭廣雲</t>
    <phoneticPr fontId="3" type="noConversion"/>
  </si>
  <si>
    <t>黃羅健華</t>
    <phoneticPr fontId="4" type="noConversion"/>
  </si>
  <si>
    <t>林佩樺</t>
  </si>
  <si>
    <t>徐沛祺</t>
  </si>
  <si>
    <t>林雅慧</t>
  </si>
  <si>
    <t>陳嘉揚</t>
  </si>
  <si>
    <t>蔡芸萱</t>
  </si>
  <si>
    <t>呂學偉</t>
    <phoneticPr fontId="4" type="noConversion"/>
  </si>
  <si>
    <t>孔威權</t>
  </si>
  <si>
    <t>HC798</t>
  </si>
  <si>
    <t>HC798</t>
    <phoneticPr fontId="4" type="noConversion"/>
  </si>
  <si>
    <t>林欣儀</t>
    <phoneticPr fontId="4" type="noConversion"/>
  </si>
  <si>
    <t>戴春琴</t>
    <phoneticPr fontId="3" type="noConversion"/>
  </si>
  <si>
    <t>蔡糧安</t>
  </si>
  <si>
    <t>范逸軍</t>
  </si>
  <si>
    <t>范逸青</t>
  </si>
  <si>
    <t>陳藍萍</t>
    <phoneticPr fontId="4" type="noConversion"/>
  </si>
  <si>
    <t>劉醇孝</t>
    <phoneticPr fontId="3" type="noConversion"/>
  </si>
  <si>
    <t>葉家瑋</t>
    <phoneticPr fontId="3" type="noConversion"/>
  </si>
  <si>
    <t>HC888</t>
    <phoneticPr fontId="3" type="noConversion"/>
  </si>
  <si>
    <t>HC888</t>
    <phoneticPr fontId="4" type="noConversion"/>
  </si>
  <si>
    <t>HC888</t>
  </si>
  <si>
    <t>詹旂</t>
    <phoneticPr fontId="4" type="noConversion"/>
  </si>
  <si>
    <t>陳榆蓁</t>
    <phoneticPr fontId="3" type="noConversion"/>
  </si>
  <si>
    <t>UM</t>
    <phoneticPr fontId="3" type="noConversion"/>
  </si>
  <si>
    <t>林詩茹</t>
    <phoneticPr fontId="3" type="noConversion"/>
  </si>
  <si>
    <t>田英信</t>
    <phoneticPr fontId="3" type="noConversion"/>
  </si>
  <si>
    <t>黃雅棉</t>
    <phoneticPr fontId="4" type="noConversion"/>
  </si>
  <si>
    <t>程樂群</t>
    <phoneticPr fontId="4" type="noConversion"/>
  </si>
  <si>
    <t>魏嘉儀</t>
  </si>
  <si>
    <t>鄭素珠</t>
  </si>
  <si>
    <t>陳永霖</t>
    <phoneticPr fontId="3" type="noConversion"/>
  </si>
  <si>
    <t>陳美沅</t>
    <phoneticPr fontId="4" type="noConversion"/>
  </si>
  <si>
    <t>李玉華</t>
    <phoneticPr fontId="3" type="noConversion"/>
  </si>
  <si>
    <t>黃立峯</t>
    <phoneticPr fontId="3" type="noConversion"/>
  </si>
  <si>
    <t>何沛澐</t>
    <phoneticPr fontId="3" type="noConversion"/>
  </si>
  <si>
    <t>黃羅健華</t>
  </si>
  <si>
    <t>邱品儒</t>
    <phoneticPr fontId="4" type="noConversion"/>
  </si>
  <si>
    <t>林詩茹</t>
  </si>
  <si>
    <t>練崇智</t>
    <phoneticPr fontId="4" type="noConversion"/>
  </si>
  <si>
    <t>MM</t>
    <phoneticPr fontId="4" type="noConversion"/>
  </si>
  <si>
    <t>張怡卿</t>
  </si>
  <si>
    <t>VRM</t>
    <phoneticPr fontId="4" type="noConversion"/>
  </si>
  <si>
    <t>AM</t>
    <phoneticPr fontId="3" type="noConversion"/>
  </si>
  <si>
    <t>葉家瑋</t>
  </si>
  <si>
    <t>VRM</t>
  </si>
  <si>
    <t>鄭瑞華</t>
  </si>
  <si>
    <t xml:space="preserve">       吳浚源　　</t>
    <phoneticPr fontId="3" type="noConversion"/>
  </si>
  <si>
    <t>傅孟真</t>
  </si>
  <si>
    <t>黃琮峻</t>
    <phoneticPr fontId="3" type="noConversion"/>
  </si>
  <si>
    <t>張堂哲</t>
    <phoneticPr fontId="3" type="noConversion"/>
  </si>
  <si>
    <t>陳永霖</t>
  </si>
  <si>
    <t>張嘉晏</t>
    <phoneticPr fontId="3" type="noConversion"/>
  </si>
  <si>
    <t>邱淑貞</t>
  </si>
  <si>
    <t>HC702</t>
    <phoneticPr fontId="3" type="noConversion"/>
  </si>
  <si>
    <t>張堂哲</t>
  </si>
  <si>
    <t>傅采玄</t>
  </si>
  <si>
    <t>陳宥縈</t>
  </si>
  <si>
    <t>陳奕均</t>
  </si>
  <si>
    <t>劉宴銘</t>
    <phoneticPr fontId="3" type="noConversion"/>
  </si>
  <si>
    <t>林曉怡</t>
  </si>
  <si>
    <t>田英信</t>
  </si>
  <si>
    <t>傅啓遙</t>
  </si>
  <si>
    <t>葉又寧</t>
  </si>
  <si>
    <t>陳銘儀</t>
  </si>
  <si>
    <t>徐美婷</t>
    <phoneticPr fontId="3" type="noConversion"/>
  </si>
  <si>
    <t>李易儒</t>
  </si>
  <si>
    <t>林哲維</t>
  </si>
  <si>
    <t>張家維</t>
  </si>
  <si>
    <t>顏世偉</t>
  </si>
  <si>
    <t>范貞蘭</t>
  </si>
  <si>
    <t>HC789</t>
    <phoneticPr fontId="4" type="noConversion"/>
  </si>
  <si>
    <t>HC789</t>
  </si>
  <si>
    <t>陳寶玉</t>
    <phoneticPr fontId="3" type="noConversion"/>
  </si>
  <si>
    <t>林麗嬌</t>
    <phoneticPr fontId="3" type="noConversion"/>
  </si>
  <si>
    <t>李吳諄</t>
    <phoneticPr fontId="4" type="noConversion"/>
  </si>
  <si>
    <t>徐忠田</t>
    <phoneticPr fontId="3" type="noConversion"/>
  </si>
  <si>
    <t>詹並宜</t>
  </si>
  <si>
    <t>謝見慈</t>
    <phoneticPr fontId="3" type="noConversion"/>
  </si>
  <si>
    <t>曾芳如</t>
    <phoneticPr fontId="4" type="noConversion"/>
  </si>
  <si>
    <t>陳琬薰</t>
    <phoneticPr fontId="4" type="noConversion"/>
  </si>
  <si>
    <t>林怡君</t>
  </si>
  <si>
    <t>蔡鳳勻</t>
  </si>
  <si>
    <t>林俊尹</t>
    <phoneticPr fontId="3" type="noConversion"/>
  </si>
  <si>
    <t>郭庭瑄</t>
  </si>
  <si>
    <t>劉麗梅</t>
  </si>
  <si>
    <t>黃洛雲</t>
  </si>
  <si>
    <t>吳昀姿</t>
  </si>
  <si>
    <t>李家鋒</t>
  </si>
  <si>
    <t>曾煒玲</t>
  </si>
  <si>
    <t>歐佳音</t>
  </si>
  <si>
    <t>壽險FYC</t>
    <phoneticPr fontId="3" type="noConversion"/>
  </si>
  <si>
    <t>累計</t>
    <phoneticPr fontId="4" type="noConversion"/>
  </si>
  <si>
    <t>李祁珉</t>
  </si>
  <si>
    <t>張怡君</t>
  </si>
  <si>
    <t>邱俊穎</t>
  </si>
  <si>
    <t>魏敏娟</t>
  </si>
  <si>
    <t>林美燕</t>
  </si>
  <si>
    <t>羅駿惟</t>
  </si>
  <si>
    <t>陳榆蓁</t>
  </si>
  <si>
    <t>林亭妤</t>
  </si>
  <si>
    <t>薛傳倩</t>
  </si>
  <si>
    <t>單位</t>
  </si>
  <si>
    <t>陳思妤</t>
  </si>
  <si>
    <t>趙依柔</t>
  </si>
  <si>
    <t>呂靖絃</t>
  </si>
  <si>
    <t>HC198</t>
  </si>
  <si>
    <t>HC198</t>
    <phoneticPr fontId="3" type="noConversion"/>
  </si>
  <si>
    <t>HC198</t>
    <phoneticPr fontId="4" type="noConversion"/>
  </si>
  <si>
    <t>高璟婉</t>
  </si>
  <si>
    <t>MS</t>
    <phoneticPr fontId="4" type="noConversion"/>
  </si>
  <si>
    <t>徐淑雯</t>
  </si>
  <si>
    <t>彭健瑜</t>
  </si>
  <si>
    <t>吳美慧</t>
  </si>
  <si>
    <t>呂明芳</t>
  </si>
  <si>
    <t>陳彥育</t>
  </si>
  <si>
    <t>陳藍</t>
  </si>
  <si>
    <t>朱妤珺</t>
  </si>
  <si>
    <t>陳秋蓉</t>
  </si>
  <si>
    <t>張馨勻</t>
  </si>
  <si>
    <t>袁忻辰</t>
  </si>
  <si>
    <t>袁忻辰</t>
    <phoneticPr fontId="3" type="noConversion"/>
  </si>
  <si>
    <t>黃玉萩</t>
  </si>
  <si>
    <t>洪萱</t>
  </si>
  <si>
    <t>許書潘</t>
  </si>
  <si>
    <t>吳家萱</t>
  </si>
  <si>
    <t>陳怡真</t>
  </si>
  <si>
    <t>李青洳</t>
  </si>
  <si>
    <t>劉亦彤</t>
  </si>
  <si>
    <t>彭程俞</t>
  </si>
  <si>
    <t>吳念庭</t>
  </si>
  <si>
    <t>陳柏安</t>
  </si>
  <si>
    <t>K1160</t>
    <phoneticPr fontId="3" type="noConversion"/>
  </si>
  <si>
    <t>壽險FYC</t>
    <phoneticPr fontId="4" type="noConversion"/>
  </si>
  <si>
    <t>FYC業績</t>
    <phoneticPr fontId="3" type="noConversion"/>
  </si>
  <si>
    <t>達成率</t>
    <phoneticPr fontId="3" type="noConversion"/>
  </si>
  <si>
    <t>當月</t>
    <phoneticPr fontId="4" type="noConversion"/>
  </si>
  <si>
    <t>陳佳琳</t>
  </si>
  <si>
    <t>陳雨纖</t>
  </si>
  <si>
    <t>陳怡君</t>
  </si>
  <si>
    <t>吳尚怡</t>
  </si>
  <si>
    <t>賴勉伊</t>
  </si>
  <si>
    <t>張汶茹</t>
  </si>
  <si>
    <t>張雁閔</t>
  </si>
  <si>
    <t>江錦蓮</t>
  </si>
  <si>
    <t>鍾慧君</t>
  </si>
  <si>
    <t>鄭景文</t>
  </si>
  <si>
    <t>范文瑄</t>
  </si>
  <si>
    <t>蔡佳玲</t>
  </si>
  <si>
    <t>楊心綾</t>
    <phoneticPr fontId="3" type="noConversion"/>
  </si>
  <si>
    <t>楊心綾</t>
    <phoneticPr fontId="4" type="noConversion"/>
  </si>
  <si>
    <t>張曉菁</t>
  </si>
  <si>
    <t>藍彥如</t>
  </si>
  <si>
    <t>蔡淑芳</t>
  </si>
  <si>
    <t>陳筱棋</t>
  </si>
  <si>
    <t>詹逸雯</t>
  </si>
  <si>
    <t>陳亦庭</t>
    <phoneticPr fontId="3" type="noConversion"/>
  </si>
  <si>
    <t>林俊尹</t>
  </si>
  <si>
    <t>MAM</t>
  </si>
  <si>
    <t>鄭欣怡</t>
  </si>
  <si>
    <t>曾芳如</t>
  </si>
  <si>
    <t>高映傑</t>
  </si>
  <si>
    <t>鄧美玲</t>
  </si>
  <si>
    <t>許秀鳯</t>
  </si>
  <si>
    <t>高采寧</t>
  </si>
  <si>
    <t>李吳諄</t>
  </si>
  <si>
    <t>謝翔宇</t>
  </si>
  <si>
    <t>姜智凌</t>
  </si>
  <si>
    <t>何若穎</t>
    <phoneticPr fontId="3" type="noConversion"/>
  </si>
  <si>
    <t>吳家儀</t>
  </si>
  <si>
    <t>陳沛瑄</t>
  </si>
  <si>
    <t>林耕弘</t>
  </si>
  <si>
    <t>MS</t>
    <phoneticPr fontId="3" type="noConversion"/>
  </si>
  <si>
    <t>陳憶萩</t>
  </si>
  <si>
    <t>莊曜銘</t>
  </si>
  <si>
    <t>陳琬薰</t>
  </si>
  <si>
    <t>王宜強</t>
  </si>
  <si>
    <t>黃正宗</t>
  </si>
  <si>
    <t>陳嘉佩</t>
  </si>
  <si>
    <t>竹苗區部</t>
  </si>
  <si>
    <t>莊雅玲</t>
  </si>
  <si>
    <t>郭振華</t>
  </si>
  <si>
    <t>戴慧玲</t>
  </si>
  <si>
    <t>賴惠美</t>
  </si>
  <si>
    <t>林玠旻</t>
  </si>
  <si>
    <t>黃炫翔</t>
  </si>
  <si>
    <t>黃廷崴</t>
  </si>
  <si>
    <t>徐晟翔</t>
  </si>
  <si>
    <t>李淑慧</t>
  </si>
  <si>
    <t>謝承勳</t>
  </si>
  <si>
    <t>HCD00</t>
  </si>
  <si>
    <t>陳婉琳</t>
  </si>
  <si>
    <t>林念萱</t>
  </si>
  <si>
    <t>萬柱石</t>
  </si>
  <si>
    <t>劉家琪</t>
  </si>
  <si>
    <t>徐惠美</t>
  </si>
  <si>
    <t>黃慧芳</t>
  </si>
  <si>
    <t>吳婕榕</t>
  </si>
  <si>
    <t>張素婷</t>
  </si>
  <si>
    <t>劉憶芳</t>
  </si>
  <si>
    <t>李依蓉</t>
    <phoneticPr fontId="3" type="noConversion"/>
  </si>
  <si>
    <t>官千櫻</t>
  </si>
  <si>
    <t>吳東曄</t>
  </si>
  <si>
    <t>林淑</t>
  </si>
  <si>
    <t>戴家緣</t>
  </si>
  <si>
    <t>陳秀眉</t>
  </si>
  <si>
    <t>田秀莉</t>
  </si>
  <si>
    <t>翁秀玲</t>
  </si>
  <si>
    <t>蔡慧貞</t>
  </si>
  <si>
    <t>劉詩華</t>
  </si>
  <si>
    <t>鄧鈺淳</t>
  </si>
  <si>
    <t>曹秀英</t>
  </si>
  <si>
    <t>許寶月</t>
  </si>
  <si>
    <t>鄭旭華</t>
  </si>
  <si>
    <t>惠雯</t>
  </si>
  <si>
    <t>黃淑芬</t>
  </si>
  <si>
    <t>邱麗美</t>
  </si>
  <si>
    <t>陳淑敏</t>
  </si>
  <si>
    <t>戴淑惠</t>
  </si>
  <si>
    <t>蔡春蓮</t>
  </si>
  <si>
    <t>方秀華</t>
  </si>
  <si>
    <t>陳秋姿</t>
  </si>
  <si>
    <t>羅美秋</t>
  </si>
  <si>
    <t>黃永成</t>
  </si>
  <si>
    <t>李正渭</t>
  </si>
  <si>
    <t>宋力萍</t>
  </si>
  <si>
    <t>郭麗錦</t>
  </si>
  <si>
    <t>廖秋瑩</t>
  </si>
  <si>
    <t>金明建</t>
  </si>
  <si>
    <t>溫秋蘭</t>
  </si>
  <si>
    <t>林榕葳</t>
  </si>
  <si>
    <t>傅劭萍</t>
  </si>
  <si>
    <t>張黽璿</t>
  </si>
  <si>
    <t>郭妍廷</t>
  </si>
  <si>
    <t>鍾月琴</t>
  </si>
  <si>
    <t>林煜晨</t>
  </si>
  <si>
    <t>林淑英</t>
  </si>
  <si>
    <t>林惠賢</t>
  </si>
  <si>
    <t>黃盈琪</t>
    <phoneticPr fontId="3" type="noConversion"/>
  </si>
  <si>
    <t>林苙庭</t>
  </si>
  <si>
    <t>徐維新</t>
  </si>
  <si>
    <t>許秀錦</t>
  </si>
  <si>
    <t>曾為生</t>
  </si>
  <si>
    <t>楊于漢</t>
  </si>
  <si>
    <t>鍾宜珊</t>
  </si>
  <si>
    <t>彭爰恩</t>
  </si>
  <si>
    <t>顏詩穎</t>
  </si>
  <si>
    <t>劉素安</t>
  </si>
  <si>
    <t>彭奕慈</t>
  </si>
  <si>
    <t>朱進強</t>
  </si>
  <si>
    <t>張巧蝶</t>
  </si>
  <si>
    <t>陳麗萍</t>
  </si>
  <si>
    <t>黃淑芳</t>
  </si>
  <si>
    <t>宋倩雯</t>
  </si>
  <si>
    <t>黃鉦貴</t>
  </si>
  <si>
    <t>蔡純惠</t>
  </si>
  <si>
    <t>李雅萍</t>
  </si>
  <si>
    <t>何淑娟</t>
  </si>
  <si>
    <t>彭琇珍</t>
  </si>
  <si>
    <t>陳正和</t>
  </si>
  <si>
    <t>吳明珠</t>
  </si>
  <si>
    <t>詹慧苓</t>
  </si>
  <si>
    <t>吳忠明</t>
  </si>
  <si>
    <t>馮丞浩</t>
  </si>
  <si>
    <t>楊達堯</t>
  </si>
  <si>
    <t>MLD00</t>
  </si>
  <si>
    <t>HCD00</t>
    <phoneticPr fontId="3" type="noConversion"/>
  </si>
  <si>
    <t>MLD00</t>
    <phoneticPr fontId="3" type="noConversion"/>
  </si>
  <si>
    <t>陳亦庭</t>
  </si>
  <si>
    <t>曾毓芳</t>
  </si>
  <si>
    <t>曾毓芳</t>
    <phoneticPr fontId="3" type="noConversion"/>
  </si>
  <si>
    <t>葉慧絃</t>
  </si>
  <si>
    <t>黃立成</t>
  </si>
  <si>
    <t>CSS</t>
  </si>
  <si>
    <t>翁聖淵</t>
    <phoneticPr fontId="3" type="noConversion"/>
  </si>
  <si>
    <t>劉丞峻</t>
  </si>
  <si>
    <t>DM</t>
    <phoneticPr fontId="3" type="noConversion"/>
  </si>
  <si>
    <t>林安如</t>
  </si>
  <si>
    <t>謝家綺</t>
  </si>
  <si>
    <t>湯志華</t>
    <phoneticPr fontId="3" type="noConversion"/>
  </si>
  <si>
    <t>邵月足</t>
  </si>
  <si>
    <t>陳珮雯</t>
  </si>
  <si>
    <t>K1160</t>
    <phoneticPr fontId="4" type="noConversion"/>
  </si>
  <si>
    <t>黃雅棉</t>
  </si>
  <si>
    <t>MM</t>
    <phoneticPr fontId="3" type="noConversion"/>
  </si>
  <si>
    <t>鍾采樺</t>
    <phoneticPr fontId="3" type="noConversion"/>
  </si>
  <si>
    <t>陳詣凱</t>
  </si>
  <si>
    <t>黃立峯</t>
  </si>
  <si>
    <t>闕博川</t>
  </si>
  <si>
    <t>吳浚源</t>
  </si>
  <si>
    <t>湯榮喜</t>
  </si>
  <si>
    <t>張敬雯</t>
  </si>
  <si>
    <t>HC899</t>
    <phoneticPr fontId="3" type="noConversion"/>
  </si>
  <si>
    <t>徐育靖</t>
  </si>
  <si>
    <t>連坤渝</t>
  </si>
  <si>
    <t>HC957</t>
  </si>
  <si>
    <t>鍾佳羽</t>
  </si>
  <si>
    <t>王煜傑</t>
  </si>
  <si>
    <t>呂學偉</t>
  </si>
  <si>
    <t>曾韻庭</t>
  </si>
  <si>
    <t>MAM</t>
    <phoneticPr fontId="4" type="noConversion"/>
  </si>
  <si>
    <t>彭健瑜</t>
    <phoneticPr fontId="4" type="noConversion"/>
  </si>
  <si>
    <t>吳碩彬</t>
  </si>
  <si>
    <t>單位</t>
    <phoneticPr fontId="3" type="noConversion"/>
  </si>
  <si>
    <t>邱于玲</t>
  </si>
  <si>
    <t>翁林絜</t>
  </si>
  <si>
    <t>邱昇平</t>
  </si>
  <si>
    <t>鍾采樺</t>
  </si>
  <si>
    <t>人數</t>
    <phoneticPr fontId="3" type="noConversion"/>
  </si>
  <si>
    <t>%</t>
    <phoneticPr fontId="3" type="noConversion"/>
  </si>
  <si>
    <t>梁國明</t>
  </si>
  <si>
    <t>HC198+HC957合計</t>
  </si>
  <si>
    <t>高美惠</t>
  </si>
  <si>
    <t>闕佳玲</t>
    <phoneticPr fontId="3" type="noConversion"/>
  </si>
  <si>
    <t>當日業績</t>
    <phoneticPr fontId="4" type="noConversion"/>
  </si>
  <si>
    <t>徐蕙田</t>
    <phoneticPr fontId="4" type="noConversion"/>
  </si>
  <si>
    <t>羅正軒</t>
  </si>
  <si>
    <t>徐語瑄</t>
    <phoneticPr fontId="3" type="noConversion"/>
  </si>
  <si>
    <t>單位</t>
    <phoneticPr fontId="26" type="noConversion"/>
  </si>
  <si>
    <t>達成率</t>
    <phoneticPr fontId="26" type="noConversion"/>
  </si>
  <si>
    <t>竹苗區部</t>
    <phoneticPr fontId="26" type="noConversion"/>
  </si>
  <si>
    <t>當日
FYC</t>
    <phoneticPr fontId="26" type="noConversion"/>
  </si>
  <si>
    <t>累計
FYC</t>
    <phoneticPr fontId="26" type="noConversion"/>
  </si>
  <si>
    <t>單位
主管</t>
    <phoneticPr fontId="26" type="noConversion"/>
  </si>
  <si>
    <t>FYC 達 成 率</t>
    <phoneticPr fontId="26" type="noConversion"/>
  </si>
  <si>
    <t>劉怡君</t>
  </si>
  <si>
    <t xml:space="preserve">        余賽艷　　</t>
  </si>
  <si>
    <t>彭千容</t>
  </si>
  <si>
    <t>單位
主管</t>
    <phoneticPr fontId="4" type="noConversion"/>
  </si>
  <si>
    <t>周凱雯</t>
    <phoneticPr fontId="3" type="noConversion"/>
  </si>
  <si>
    <t>周凱雯</t>
    <phoneticPr fontId="4" type="noConversion"/>
  </si>
  <si>
    <t>張庭瑋</t>
    <phoneticPr fontId="3" type="noConversion"/>
  </si>
  <si>
    <t>嚴昱容</t>
  </si>
  <si>
    <t>林宣何</t>
  </si>
  <si>
    <t>黃惠馨</t>
  </si>
  <si>
    <t>實動率</t>
    <phoneticPr fontId="26" type="noConversion"/>
  </si>
  <si>
    <t>陳薇如</t>
  </si>
  <si>
    <t>戴國展</t>
    <phoneticPr fontId="3" type="noConversion"/>
  </si>
  <si>
    <t>舉績率</t>
  </si>
  <si>
    <t>業務通路</t>
    <phoneticPr fontId="3" type="noConversion"/>
  </si>
  <si>
    <t xml:space="preserve">       王麗芳　　</t>
  </si>
  <si>
    <t>范曉涓</t>
  </si>
  <si>
    <t>陳玉蓁</t>
  </si>
  <si>
    <t>許洧倫</t>
    <phoneticPr fontId="3" type="noConversion"/>
  </si>
  <si>
    <t>王瑞銘</t>
  </si>
  <si>
    <t>白蓁容</t>
  </si>
  <si>
    <t>湯榮喜</t>
    <phoneticPr fontId="3" type="noConversion"/>
  </si>
  <si>
    <t>累計實動
人數</t>
    <phoneticPr fontId="26" type="noConversion"/>
  </si>
  <si>
    <t>陳正和</t>
    <phoneticPr fontId="26" type="noConversion"/>
  </si>
  <si>
    <t>卓育如</t>
  </si>
  <si>
    <t>曾絜筠</t>
  </si>
  <si>
    <t>％</t>
    <phoneticPr fontId="3" type="noConversion"/>
  </si>
  <si>
    <t>CA1萬/主管2萬</t>
    <phoneticPr fontId="3" type="noConversion"/>
  </si>
  <si>
    <t>112年FYC
成長目標(萬)</t>
    <phoneticPr fontId="3" type="noConversion"/>
  </si>
  <si>
    <t>壽險件數≧0</t>
    <phoneticPr fontId="3" type="noConversion"/>
  </si>
  <si>
    <r>
      <t>F</t>
    </r>
    <r>
      <rPr>
        <sz val="12"/>
        <rFont val="新細明體"/>
        <family val="1"/>
        <charset val="136"/>
        <scheme val="minor"/>
      </rPr>
      <t>YC</t>
    </r>
    <phoneticPr fontId="4" type="noConversion"/>
  </si>
  <si>
    <t>組
別</t>
    <phoneticPr fontId="3" type="noConversion"/>
  </si>
  <si>
    <r>
      <t xml:space="preserve">A
</t>
    </r>
    <r>
      <rPr>
        <b/>
        <sz val="24"/>
        <color theme="1"/>
        <rFont val="細明體"/>
        <family val="3"/>
        <charset val="136"/>
      </rPr>
      <t>組</t>
    </r>
    <phoneticPr fontId="3" type="noConversion"/>
  </si>
  <si>
    <r>
      <t xml:space="preserve">B
</t>
    </r>
    <r>
      <rPr>
        <b/>
        <sz val="24"/>
        <color theme="1"/>
        <rFont val="細明體"/>
        <family val="3"/>
        <charset val="136"/>
      </rPr>
      <t>組</t>
    </r>
    <phoneticPr fontId="3" type="noConversion"/>
  </si>
  <si>
    <t>舉績率
(壽險件&gt;0)</t>
    <phoneticPr fontId="3" type="noConversion"/>
  </si>
  <si>
    <r>
      <t xml:space="preserve">實動率
</t>
    </r>
    <r>
      <rPr>
        <b/>
        <sz val="12"/>
        <color theme="1"/>
        <rFont val="新細明體"/>
        <family val="1"/>
        <charset val="136"/>
        <scheme val="minor"/>
      </rPr>
      <t>CA1萬/主管2萬</t>
    </r>
    <phoneticPr fontId="3" type="noConversion"/>
  </si>
  <si>
    <t>竹苗合計</t>
    <phoneticPr fontId="3" type="noConversion"/>
  </si>
  <si>
    <t>陳怡靜</t>
  </si>
  <si>
    <t>吳聲鴻</t>
  </si>
  <si>
    <t>楊玉代</t>
  </si>
  <si>
    <t>劉鍶妍</t>
  </si>
  <si>
    <t>徐庭茵</t>
  </si>
  <si>
    <t>年度目標</t>
    <phoneticPr fontId="3" type="noConversion"/>
  </si>
  <si>
    <t>業績</t>
    <phoneticPr fontId="3" type="noConversion"/>
  </si>
  <si>
    <t>排序</t>
    <phoneticPr fontId="3" type="noConversion"/>
  </si>
  <si>
    <t>導入核實欄位</t>
    <phoneticPr fontId="3" type="noConversion"/>
  </si>
  <si>
    <t>程品婕</t>
  </si>
  <si>
    <t>王淑靜</t>
  </si>
  <si>
    <t>翁詣涵</t>
  </si>
  <si>
    <t>田佩玉</t>
  </si>
  <si>
    <t>陳寶兒</t>
  </si>
  <si>
    <t>林于騏</t>
  </si>
  <si>
    <t>龍惠如</t>
  </si>
  <si>
    <t>劉諮穎</t>
  </si>
  <si>
    <t>RSA(不計人力)</t>
  </si>
  <si>
    <t>張琦瑄</t>
  </si>
  <si>
    <t>舉  績  率</t>
  </si>
  <si>
    <t>單位
主管</t>
  </si>
  <si>
    <t>業務通路</t>
    <phoneticPr fontId="26" type="noConversion"/>
  </si>
  <si>
    <t>實  動  率</t>
    <phoneticPr fontId="26" type="noConversion"/>
  </si>
  <si>
    <t>FYC</t>
    <phoneticPr fontId="26" type="noConversion"/>
  </si>
  <si>
    <t>MLD50</t>
  </si>
  <si>
    <t>MLD50</t>
    <phoneticPr fontId="3" type="noConversion"/>
  </si>
  <si>
    <r>
      <t>MLD</t>
    </r>
    <r>
      <rPr>
        <sz val="12"/>
        <rFont val="新細明體"/>
        <family val="3"/>
        <charset val="136"/>
      </rPr>
      <t>50</t>
    </r>
    <phoneticPr fontId="3" type="noConversion"/>
  </si>
  <si>
    <t>樂芸</t>
  </si>
  <si>
    <t>李素秋</t>
  </si>
  <si>
    <t>何玉芳</t>
  </si>
  <si>
    <t>張麗華</t>
  </si>
  <si>
    <t>沛晴</t>
  </si>
  <si>
    <t>李宥臻</t>
  </si>
  <si>
    <t>黃美月</t>
  </si>
  <si>
    <t>劉佳葳</t>
  </si>
  <si>
    <t>高毓伶</t>
  </si>
  <si>
    <t>呂蕙君</t>
  </si>
  <si>
    <t>柯靜愉</t>
  </si>
  <si>
    <t>陳妍樺</t>
  </si>
  <si>
    <t>黃珍</t>
  </si>
  <si>
    <t>張雅惠</t>
  </si>
  <si>
    <t>賴淑芬</t>
  </si>
  <si>
    <t>黃薰萱</t>
  </si>
  <si>
    <t>賴文彥</t>
  </si>
  <si>
    <t>陳國豪</t>
  </si>
  <si>
    <t>劉志翔</t>
  </si>
  <si>
    <t>黃芷葳</t>
  </si>
  <si>
    <t>CMP</t>
  </si>
  <si>
    <t>蔡思怡</t>
  </si>
  <si>
    <t>房家緯</t>
  </si>
  <si>
    <t>吳嘉玲</t>
  </si>
  <si>
    <t>鄧凱鴻</t>
  </si>
  <si>
    <t>賴美惠</t>
  </si>
  <si>
    <t>MLD50</t>
    <phoneticPr fontId="26" type="noConversion"/>
  </si>
  <si>
    <t>温樂芸</t>
    <phoneticPr fontId="26" type="noConversion"/>
  </si>
  <si>
    <t>洪宏吉</t>
    <phoneticPr fontId="3" type="noConversion"/>
  </si>
  <si>
    <t>洪宏吉</t>
    <phoneticPr fontId="26" type="noConversion"/>
  </si>
  <si>
    <t>2C率
FYC≧2萬</t>
  </si>
  <si>
    <t>人數</t>
  </si>
  <si>
    <t>％</t>
  </si>
  <si>
    <t>劉恩豪</t>
    <phoneticPr fontId="3" type="noConversion"/>
  </si>
  <si>
    <t>黃于璇</t>
  </si>
  <si>
    <r>
      <t>RSA</t>
    </r>
    <r>
      <rPr>
        <sz val="6"/>
        <rFont val="新細明體"/>
        <family val="1"/>
        <charset val="136"/>
      </rPr>
      <t>(不計人力)</t>
    </r>
    <phoneticPr fontId="3" type="noConversion"/>
  </si>
  <si>
    <t>吳尚煜</t>
  </si>
  <si>
    <t>曾純春</t>
  </si>
  <si>
    <t>李采軒</t>
  </si>
  <si>
    <t>蔡佳雯</t>
  </si>
  <si>
    <t>HMU00</t>
    <phoneticPr fontId="3" type="noConversion"/>
  </si>
  <si>
    <t>BMMBX</t>
    <phoneticPr fontId="3" type="noConversion"/>
  </si>
  <si>
    <t>張芷翎</t>
    <phoneticPr fontId="3" type="noConversion"/>
  </si>
  <si>
    <t>許郁婕</t>
  </si>
  <si>
    <r>
      <t>HC198</t>
    </r>
    <r>
      <rPr>
        <sz val="16"/>
        <color rgb="FF92D050"/>
        <rFont val="Arial"/>
        <family val="2"/>
      </rPr>
      <t/>
    </r>
    <phoneticPr fontId="26" type="noConversion"/>
  </si>
  <si>
    <r>
      <t>HC198</t>
    </r>
    <r>
      <rPr>
        <sz val="16"/>
        <color theme="0"/>
        <rFont val="Arial"/>
        <family val="2"/>
      </rPr>
      <t/>
    </r>
    <phoneticPr fontId="26" type="noConversion"/>
  </si>
  <si>
    <t>A
組</t>
    <phoneticPr fontId="3" type="noConversion"/>
  </si>
  <si>
    <t>B
組</t>
    <phoneticPr fontId="3" type="noConversion"/>
  </si>
  <si>
    <t>名
次</t>
    <phoneticPr fontId="26" type="noConversion"/>
  </si>
  <si>
    <t>張皓閔</t>
  </si>
  <si>
    <t>胡錫裕</t>
  </si>
  <si>
    <t>黃淑娟</t>
  </si>
  <si>
    <t>許品淳</t>
  </si>
  <si>
    <t>張育琇</t>
    <phoneticPr fontId="3" type="noConversion"/>
  </si>
  <si>
    <t>張嘉妘</t>
    <phoneticPr fontId="3" type="noConversion"/>
  </si>
  <si>
    <t>鄒宜芳</t>
  </si>
  <si>
    <t>陳莉貞</t>
  </si>
  <si>
    <t>蔡婉瑄</t>
    <phoneticPr fontId="4" type="noConversion"/>
  </si>
  <si>
    <t>黃沛羚</t>
  </si>
  <si>
    <t>吳浚源</t>
    <phoneticPr fontId="3" type="noConversion"/>
  </si>
  <si>
    <t>温証皓</t>
  </si>
  <si>
    <t>舉績率
壽險件&gt;0</t>
    <phoneticPr fontId="3" type="noConversion"/>
  </si>
  <si>
    <t>楊重九</t>
  </si>
  <si>
    <t>陳美慧</t>
  </si>
  <si>
    <t>曾筱芸</t>
  </si>
  <si>
    <t>林素青</t>
  </si>
  <si>
    <t>楊敏釵</t>
  </si>
  <si>
    <t>侯佳志</t>
  </si>
  <si>
    <t>范琪</t>
  </si>
  <si>
    <t>彭梓桓</t>
  </si>
  <si>
    <t>林廷昱</t>
  </si>
  <si>
    <t>高婉齡</t>
  </si>
  <si>
    <t>莊明芳</t>
  </si>
  <si>
    <t>林子瑄</t>
    <phoneticPr fontId="3" type="noConversion"/>
  </si>
  <si>
    <t>郭家寧</t>
  </si>
  <si>
    <t>范國良</t>
    <phoneticPr fontId="3" type="noConversion"/>
  </si>
  <si>
    <t>陳正和</t>
    <phoneticPr fontId="3" type="noConversion"/>
  </si>
  <si>
    <t>廖秋瑩</t>
    <phoneticPr fontId="3" type="noConversion"/>
  </si>
  <si>
    <t>1.5C/2.5C</t>
    <phoneticPr fontId="3" type="noConversion"/>
  </si>
  <si>
    <t>主管職稱</t>
    <phoneticPr fontId="3" type="noConversion"/>
  </si>
  <si>
    <t>列標籤</t>
  </si>
  <si>
    <t>MM</t>
  </si>
  <si>
    <t>MS</t>
  </si>
  <si>
    <t>(空白)</t>
  </si>
  <si>
    <t>總計</t>
  </si>
  <si>
    <t>欄標籤</t>
  </si>
  <si>
    <t>SP</t>
    <phoneticPr fontId="26" type="noConversion"/>
  </si>
  <si>
    <t>AM</t>
    <phoneticPr fontId="26" type="noConversion"/>
  </si>
  <si>
    <t>UM</t>
    <phoneticPr fontId="26" type="noConversion"/>
  </si>
  <si>
    <t>徐崇勛</t>
  </si>
  <si>
    <t>徐崇勛</t>
    <phoneticPr fontId="3" type="noConversion"/>
  </si>
  <si>
    <t>合計</t>
    <phoneticPr fontId="26" type="noConversion"/>
  </si>
  <si>
    <t>陳芸暄</t>
  </si>
  <si>
    <t>同期FYC
進展率</t>
  </si>
  <si>
    <t>累計FYC
進展率</t>
  </si>
  <si>
    <t>曾來春</t>
  </si>
  <si>
    <t>吳沛蓁</t>
  </si>
  <si>
    <t>吳雯舒</t>
  </si>
  <si>
    <t>巫永程</t>
  </si>
  <si>
    <t>侯郁伶</t>
  </si>
  <si>
    <t>黃瑩珠</t>
  </si>
  <si>
    <t>去年同期進展率</t>
    <phoneticPr fontId="3" type="noConversion"/>
  </si>
  <si>
    <t>張廷緯</t>
  </si>
  <si>
    <t>范靖</t>
    <phoneticPr fontId="3" type="noConversion"/>
  </si>
  <si>
    <t>曾淑娟</t>
  </si>
  <si>
    <t>朱春碧</t>
  </si>
  <si>
    <t>徐晨碩</t>
  </si>
  <si>
    <t>韋成龍</t>
  </si>
  <si>
    <t>朱偉均</t>
    <phoneticPr fontId="3" type="noConversion"/>
  </si>
  <si>
    <t>余承軒</t>
  </si>
  <si>
    <t>曾冠瑋</t>
  </si>
  <si>
    <t>劉佳蓉</t>
  </si>
  <si>
    <t>古金玉</t>
  </si>
  <si>
    <t>許嵐澤</t>
  </si>
  <si>
    <t>鄭德福</t>
  </si>
  <si>
    <t>實動率
CA1萬/主管2萬</t>
    <phoneticPr fontId="3" type="noConversion"/>
  </si>
  <si>
    <t>黃意蓉</t>
  </si>
  <si>
    <t>張瑞蓮</t>
  </si>
  <si>
    <t>胡家凱</t>
  </si>
  <si>
    <t>黃莉詠</t>
  </si>
  <si>
    <t>盧達民</t>
  </si>
  <si>
    <t>羅寅榛</t>
  </si>
  <si>
    <t>高惠柔</t>
  </si>
  <si>
    <t>林彥奎</t>
  </si>
  <si>
    <t>同期FYC
進展率</t>
    <phoneticPr fontId="3" type="noConversion"/>
  </si>
  <si>
    <t>郭佩如</t>
  </si>
  <si>
    <t>江森正</t>
  </si>
  <si>
    <t>李苡僑</t>
    <phoneticPr fontId="3" type="noConversion"/>
  </si>
  <si>
    <t>黃筱桓</t>
  </si>
  <si>
    <t>許芯瑜</t>
  </si>
  <si>
    <t>黃鈺如</t>
  </si>
  <si>
    <t>施翎沅</t>
    <phoneticPr fontId="3" type="noConversion"/>
  </si>
  <si>
    <t>張栗榛</t>
  </si>
  <si>
    <t>RSA(不計人力)</t>
    <phoneticPr fontId="3" type="noConversion"/>
  </si>
  <si>
    <t>李羽彤</t>
  </si>
  <si>
    <t>劉睿峰</t>
  </si>
  <si>
    <t>郭庭瑄</t>
    <phoneticPr fontId="3" type="noConversion"/>
  </si>
  <si>
    <t>洪翊愷</t>
  </si>
  <si>
    <t>戴良佑(育停)</t>
    <phoneticPr fontId="3" type="noConversion"/>
  </si>
  <si>
    <t>江偉宏</t>
  </si>
  <si>
    <t>陳慧純</t>
  </si>
  <si>
    <t>組織壯實</t>
    <phoneticPr fontId="3" type="noConversion"/>
  </si>
  <si>
    <t>彭諭升</t>
  </si>
  <si>
    <t>陳品茜</t>
  </si>
  <si>
    <t>吳雅萱</t>
  </si>
  <si>
    <t>曾鈺婷</t>
  </si>
  <si>
    <t>朱健豪</t>
  </si>
  <si>
    <t>劉菀婷</t>
  </si>
  <si>
    <t>加總 - 組織壯實</t>
  </si>
  <si>
    <t>林子琄</t>
    <phoneticPr fontId="3" type="noConversion"/>
  </si>
  <si>
    <t>鍾湧泰</t>
  </si>
  <si>
    <t>陳夢君</t>
  </si>
  <si>
    <t>邱俊嘉</t>
  </si>
  <si>
    <t>曾翔駿</t>
  </si>
  <si>
    <t>胡玲玲</t>
  </si>
  <si>
    <t>張蓉庭</t>
  </si>
  <si>
    <t>陳厚任</t>
  </si>
  <si>
    <t>去年同期FYC
(113/01)</t>
    <phoneticPr fontId="3" type="noConversion"/>
  </si>
  <si>
    <r>
      <t xml:space="preserve">去年累計FYC
</t>
    </r>
    <r>
      <rPr>
        <b/>
        <sz val="14"/>
        <color theme="1"/>
        <rFont val="微軟正黑體"/>
        <family val="2"/>
        <charset val="136"/>
      </rPr>
      <t>(113/01~113/01)</t>
    </r>
    <phoneticPr fontId="3" type="noConversion"/>
  </si>
  <si>
    <t>葉昱吟</t>
  </si>
  <si>
    <t>曾彩娥</t>
  </si>
  <si>
    <t>溫雨晨</t>
    <phoneticPr fontId="3" type="noConversion"/>
  </si>
  <si>
    <t>邱華秀</t>
  </si>
  <si>
    <t>李慈芸</t>
  </si>
  <si>
    <t>蔡佳芸</t>
  </si>
  <si>
    <t>彭羿崴</t>
  </si>
  <si>
    <t>吳思璇</t>
  </si>
  <si>
    <t>HC701</t>
    <phoneticPr fontId="26" type="noConversion"/>
  </si>
  <si>
    <t>吳圓鳳</t>
  </si>
  <si>
    <t>劉芳慈</t>
  </si>
  <si>
    <t>陳乃瑜</t>
  </si>
  <si>
    <t>吳劭涓</t>
  </si>
  <si>
    <t>池昱葶</t>
  </si>
  <si>
    <t>MAM</t>
    <phoneticPr fontId="3" type="noConversion"/>
  </si>
  <si>
    <t>魏均如</t>
  </si>
  <si>
    <t>羅翔</t>
  </si>
  <si>
    <t>郭沅憲</t>
  </si>
  <si>
    <t>邱柏揚</t>
  </si>
  <si>
    <t>鄧舜中</t>
  </si>
  <si>
    <t>郭明洋</t>
  </si>
  <si>
    <t>壯實率</t>
    <phoneticPr fontId="26" type="noConversion"/>
  </si>
  <si>
    <t>壯實
人力
人數</t>
    <phoneticPr fontId="26" type="noConversion"/>
  </si>
  <si>
    <t>壯實人力率</t>
    <phoneticPr fontId="26" type="noConversion"/>
  </si>
  <si>
    <t>113年
月均舉績人數</t>
    <phoneticPr fontId="26" type="noConversion"/>
  </si>
  <si>
    <t>113年
月均實
動人數</t>
    <phoneticPr fontId="26" type="noConversion"/>
  </si>
  <si>
    <t>113年
月均壯
實人數</t>
    <phoneticPr fontId="26" type="noConversion"/>
  </si>
  <si>
    <t>舉績</t>
    <phoneticPr fontId="26" type="noConversion"/>
  </si>
  <si>
    <t>實動</t>
    <phoneticPr fontId="26" type="noConversion"/>
  </si>
  <si>
    <t>壯實</t>
    <phoneticPr fontId="26" type="noConversion"/>
  </si>
  <si>
    <t>113年
月均
FYC</t>
    <phoneticPr fontId="26" type="noConversion"/>
  </si>
  <si>
    <t>月均</t>
  </si>
  <si>
    <t>呂沛甄</t>
    <phoneticPr fontId="3" type="noConversion"/>
  </si>
  <si>
    <t>曾士豪</t>
  </si>
  <si>
    <t>彬</t>
    <phoneticPr fontId="26" type="noConversion"/>
  </si>
  <si>
    <t>林文潓</t>
  </si>
  <si>
    <t>方鐿璇</t>
    <phoneticPr fontId="3" type="noConversion"/>
  </si>
  <si>
    <t>政宇</t>
  </si>
  <si>
    <t>蔡佳安(育停)</t>
    <phoneticPr fontId="3" type="noConversion"/>
  </si>
  <si>
    <t>HC198</t>
    <phoneticPr fontId="26" type="noConversion"/>
  </si>
  <si>
    <t>姜靜汝</t>
  </si>
  <si>
    <t>NCT</t>
  </si>
  <si>
    <t>吳佩真</t>
    <phoneticPr fontId="3" type="noConversion"/>
  </si>
  <si>
    <t>李秀棠</t>
    <phoneticPr fontId="3" type="noConversion"/>
  </si>
  <si>
    <t>李秀棠</t>
  </si>
  <si>
    <t>蔡玉菁</t>
  </si>
  <si>
    <t>黃惠馨</t>
    <phoneticPr fontId="3" type="noConversion"/>
  </si>
  <si>
    <t>張亭杰</t>
  </si>
  <si>
    <t>李忠翰</t>
  </si>
  <si>
    <t>莊雅婷</t>
  </si>
  <si>
    <t>梁劭如</t>
  </si>
  <si>
    <t>張緹筠</t>
  </si>
  <si>
    <t>徐鈺涵</t>
  </si>
  <si>
    <t>賴均諒</t>
  </si>
  <si>
    <t>楊佩綺</t>
  </si>
  <si>
    <t>羅建凱</t>
    <phoneticPr fontId="3" type="noConversion"/>
  </si>
  <si>
    <t>林漢薇</t>
  </si>
  <si>
    <t>陸子晴</t>
  </si>
  <si>
    <t>謝嘉文</t>
  </si>
  <si>
    <t>梁羽伶</t>
  </si>
  <si>
    <t>俞淑娟</t>
  </si>
  <si>
    <t>蘇慰慈</t>
  </si>
  <si>
    <t>楊長軒</t>
  </si>
  <si>
    <t>郭茗玉</t>
  </si>
  <si>
    <t>彭惠姍</t>
    <phoneticPr fontId="4" type="noConversion"/>
  </si>
  <si>
    <t>彭國書</t>
    <phoneticPr fontId="3" type="noConversion"/>
  </si>
  <si>
    <t>114年
第四季
FYC目標</t>
    <phoneticPr fontId="3" type="noConversion"/>
  </si>
  <si>
    <t>HC789</t>
    <phoneticPr fontId="26" type="noConversion"/>
  </si>
  <si>
    <t>江鴻鈞</t>
  </si>
  <si>
    <t>王儀雅</t>
  </si>
  <si>
    <t>白軒瑋</t>
  </si>
  <si>
    <t>廖唯綸</t>
  </si>
  <si>
    <t>賴依萱</t>
  </si>
  <si>
    <t>柯彥宸</t>
  </si>
  <si>
    <t>魏嘉儀</t>
    <phoneticPr fontId="3" type="noConversion"/>
  </si>
  <si>
    <t>謝升傑</t>
  </si>
  <si>
    <t>林幸子</t>
  </si>
  <si>
    <t>11401-11402
FYC</t>
    <phoneticPr fontId="3" type="noConversion"/>
  </si>
  <si>
    <t>第一季(1月受理業績)</t>
    <phoneticPr fontId="3" type="noConversion"/>
  </si>
  <si>
    <t>竹佑本部</t>
    <phoneticPr fontId="26" type="noConversion"/>
  </si>
  <si>
    <t>竹佑一分處</t>
    <phoneticPr fontId="26" type="noConversion"/>
  </si>
  <si>
    <t>竹佑二分處</t>
    <phoneticPr fontId="26" type="noConversion"/>
  </si>
  <si>
    <t>李永瀚</t>
    <phoneticPr fontId="26" type="noConversion"/>
  </si>
  <si>
    <t>林昭仰</t>
    <phoneticPr fontId="26" type="noConversion"/>
  </si>
  <si>
    <t>HC701</t>
    <phoneticPr fontId="26" type="noConversion"/>
  </si>
  <si>
    <t>竹佑本部</t>
    <phoneticPr fontId="26" type="noConversion"/>
  </si>
  <si>
    <t>范德亮</t>
    <phoneticPr fontId="26" type="noConversion"/>
  </si>
  <si>
    <t>李永瀚</t>
    <phoneticPr fontId="26" type="noConversion"/>
  </si>
  <si>
    <t>HC169</t>
    <phoneticPr fontId="4" type="noConversion"/>
  </si>
  <si>
    <t>HC198</t>
    <phoneticPr fontId="4" type="noConversion"/>
  </si>
  <si>
    <t>HC701</t>
    <phoneticPr fontId="4" type="noConversion"/>
  </si>
  <si>
    <t>HC702</t>
    <phoneticPr fontId="4" type="noConversion"/>
  </si>
  <si>
    <t>HC711</t>
    <phoneticPr fontId="4" type="noConversion"/>
  </si>
  <si>
    <t>HC888</t>
    <phoneticPr fontId="4" type="noConversion"/>
  </si>
  <si>
    <t>HC899</t>
    <phoneticPr fontId="4" type="noConversion"/>
  </si>
  <si>
    <t>MLD50</t>
    <phoneticPr fontId="4" type="noConversion"/>
  </si>
  <si>
    <t>MLD00</t>
    <phoneticPr fontId="4" type="noConversion"/>
  </si>
  <si>
    <t>HCD00</t>
    <phoneticPr fontId="4" type="noConversion"/>
  </si>
  <si>
    <t>K1160</t>
    <phoneticPr fontId="4" type="noConversion"/>
  </si>
  <si>
    <t>竹佑二分處</t>
    <phoneticPr fontId="4" type="noConversion"/>
  </si>
  <si>
    <t>竹佑一分處</t>
    <phoneticPr fontId="4" type="noConversion"/>
  </si>
  <si>
    <t>HC701</t>
    <phoneticPr fontId="26" type="noConversion"/>
  </si>
  <si>
    <t>竹佑二分處</t>
  </si>
  <si>
    <t>林昭仰</t>
  </si>
  <si>
    <t>温樂芸</t>
    <phoneticPr fontId="3" type="noConversion"/>
  </si>
  <si>
    <t>鄭素珠</t>
    <phoneticPr fontId="26" type="noConversion"/>
  </si>
  <si>
    <t>本部一分二分當天累計是串TEAM業績,其它是串單當及單累</t>
    <phoneticPr fontId="26" type="noConversion"/>
  </si>
  <si>
    <t>曾志銓(留停)</t>
    <phoneticPr fontId="4" type="noConversion"/>
  </si>
  <si>
    <t>竹佑一分處</t>
    <phoneticPr fontId="26" type="noConversion"/>
  </si>
  <si>
    <t>竹佑二分處</t>
    <phoneticPr fontId="26" type="noConversion"/>
  </si>
  <si>
    <t>李永瀚</t>
  </si>
  <si>
    <t>李永瀚</t>
    <phoneticPr fontId="26" type="noConversion"/>
  </si>
  <si>
    <t>林昭仰</t>
    <phoneticPr fontId="26" type="noConversion"/>
  </si>
  <si>
    <t>龍一鳴</t>
  </si>
  <si>
    <t>陳彥良</t>
  </si>
  <si>
    <t>HC701</t>
    <phoneticPr fontId="180" type="noConversion"/>
  </si>
  <si>
    <t>鄭小泙</t>
  </si>
  <si>
    <t>吳湘羚</t>
  </si>
  <si>
    <t>蕭錡菲</t>
    <phoneticPr fontId="4" type="noConversion"/>
  </si>
  <si>
    <t>欉億</t>
  </si>
  <si>
    <t>新人：11401-11501新聘CA</t>
    <phoneticPr fontId="4" type="noConversion"/>
  </si>
  <si>
    <t>竹佑本部</t>
    <phoneticPr fontId="26" type="noConversion"/>
  </si>
  <si>
    <t>竹佑一分處</t>
    <phoneticPr fontId="26" type="noConversion"/>
  </si>
  <si>
    <t>竹佑二分處</t>
    <phoneticPr fontId="26" type="noConversion"/>
  </si>
  <si>
    <t>范德亮</t>
    <phoneticPr fontId="26" type="noConversion"/>
  </si>
  <si>
    <t>李永瀚</t>
    <phoneticPr fontId="26" type="noConversion"/>
  </si>
  <si>
    <t>林昭仰</t>
    <phoneticPr fontId="26" type="noConversion"/>
  </si>
  <si>
    <t>累計
舉績
人數</t>
    <phoneticPr fontId="26" type="noConversion"/>
  </si>
  <si>
    <t>竹佑本部</t>
    <phoneticPr fontId="4" type="noConversion"/>
  </si>
  <si>
    <t>竹佑一分處</t>
    <phoneticPr fontId="4" type="noConversion"/>
  </si>
  <si>
    <t>竹佑二分處</t>
    <phoneticPr fontId="4" type="noConversion"/>
  </si>
  <si>
    <r>
      <t xml:space="preserve">壯實率
</t>
    </r>
    <r>
      <rPr>
        <b/>
        <sz val="18"/>
        <color theme="1"/>
        <rFont val="微軟正黑體"/>
        <family val="2"/>
        <charset val="136"/>
      </rPr>
      <t>新人1.5萬/一般2.5萬</t>
    </r>
    <phoneticPr fontId="3" type="noConversion"/>
  </si>
  <si>
    <t>陳冠崙</t>
  </si>
  <si>
    <t>杜彥緯</t>
  </si>
  <si>
    <t>AM</t>
    <phoneticPr fontId="4" type="noConversion"/>
  </si>
  <si>
    <t>HC157</t>
  </si>
  <si>
    <t>STM</t>
  </si>
  <si>
    <t>王新智</t>
  </si>
  <si>
    <t>王新智</t>
    <phoneticPr fontId="4" type="noConversion"/>
  </si>
  <si>
    <t>朱晉辰</t>
  </si>
  <si>
    <t>呂秐鋒</t>
  </si>
  <si>
    <t>HC701晉升改任要改公式</t>
    <phoneticPr fontId="4" type="noConversion"/>
  </si>
  <si>
    <t>林奕學</t>
  </si>
  <si>
    <t>MS</t>
    <phoneticPr fontId="4" type="noConversion"/>
  </si>
  <si>
    <t>邱湘芩</t>
  </si>
  <si>
    <t>114/02
FYC</t>
    <phoneticPr fontId="3" type="noConversion"/>
  </si>
  <si>
    <t>HC157</t>
    <phoneticPr fontId="4" type="noConversion"/>
  </si>
  <si>
    <t>王新智</t>
    <phoneticPr fontId="180" type="noConversion"/>
  </si>
  <si>
    <t>UM</t>
    <phoneticPr fontId="4" type="noConversion"/>
  </si>
  <si>
    <t>HC157</t>
    <phoneticPr fontId="26" type="noConversion"/>
  </si>
  <si>
    <t>王新智</t>
    <phoneticPr fontId="26" type="noConversion"/>
  </si>
  <si>
    <t>同期成長率(2月)</t>
    <phoneticPr fontId="3" type="noConversion"/>
  </si>
  <si>
    <t>黃語喬</t>
  </si>
  <si>
    <t>宋力萍</t>
    <phoneticPr fontId="4" type="noConversion"/>
  </si>
  <si>
    <t>湯馥瑄</t>
  </si>
  <si>
    <t>115年FYC
成長目標</t>
    <phoneticPr fontId="3" type="noConversion"/>
  </si>
  <si>
    <t>郭虹吟</t>
    <phoneticPr fontId="4" type="noConversion"/>
  </si>
  <si>
    <t>郭怡婕(育停)</t>
    <phoneticPr fontId="4" type="noConversion"/>
  </si>
  <si>
    <t>黃洛雲</t>
    <phoneticPr fontId="3" type="noConversion"/>
  </si>
  <si>
    <t>當月新聘</t>
    <phoneticPr fontId="180" type="noConversion"/>
  </si>
  <si>
    <t>累計新聘</t>
    <phoneticPr fontId="180" type="noConversion"/>
  </si>
  <si>
    <t>陳秋敏</t>
    <phoneticPr fontId="3" type="noConversion"/>
  </si>
  <si>
    <t>宋娸華</t>
  </si>
  <si>
    <t>郭鎮銘</t>
  </si>
  <si>
    <t>葉亦蓮</t>
  </si>
  <si>
    <t>吳錫安</t>
    <phoneticPr fontId="3" type="noConversion"/>
  </si>
  <si>
    <t xml:space="preserve">115年4月【受理業績】報表 </t>
    <phoneticPr fontId="4" type="noConversion"/>
  </si>
  <si>
    <t>※結案截止日：115.5.7</t>
    <phoneticPr fontId="4" type="noConversion"/>
  </si>
  <si>
    <t>當月業績
(115.3.26-115.04.27)</t>
    <phoneticPr fontId="4" type="noConversion"/>
  </si>
  <si>
    <t>年度(1-2月核實+3-4月受理業績)</t>
    <phoneticPr fontId="3" type="noConversion"/>
  </si>
  <si>
    <t>115年4月 直轄【受理業績】報表</t>
    <phoneticPr fontId="4" type="noConversion"/>
  </si>
  <si>
    <t>趙夢純</t>
  </si>
  <si>
    <t>黃沛羚(育停)</t>
    <phoneticPr fontId="3" type="noConversion"/>
  </si>
  <si>
    <t>蘇晉儀</t>
  </si>
  <si>
    <r>
      <t>當月FYC
成長目標</t>
    </r>
    <r>
      <rPr>
        <b/>
        <sz val="22"/>
        <color rgb="FFFF0000"/>
        <rFont val="微軟正黑體"/>
        <family val="2"/>
        <charset val="136"/>
      </rPr>
      <t>8.5%</t>
    </r>
    <phoneticPr fontId="4" type="noConversion"/>
  </si>
  <si>
    <t xml:space="preserve">張靜宜(育停) </t>
    <phoneticPr fontId="3" type="noConversion"/>
  </si>
  <si>
    <t xml:space="preserve">徐榮祖(育停) </t>
    <phoneticPr fontId="3" type="noConversion"/>
  </si>
  <si>
    <t>彭梓溢</t>
  </si>
  <si>
    <t>竹苗區部  115年第4工作月 關鍵指標報表</t>
    <phoneticPr fontId="26" type="noConversion"/>
  </si>
  <si>
    <t>舉績</t>
    <phoneticPr fontId="3" type="noConversion"/>
  </si>
  <si>
    <t>實動</t>
    <phoneticPr fontId="3" type="noConversion"/>
  </si>
  <si>
    <t>壯實人力</t>
    <phoneticPr fontId="3" type="noConversion"/>
  </si>
  <si>
    <t>受理日：115.3.31</t>
    <phoneticPr fontId="4" type="noConversion"/>
  </si>
  <si>
    <t>彭議緻</t>
  </si>
  <si>
    <t>ok</t>
  </si>
  <si>
    <t>_</t>
  </si>
  <si>
    <t>受理日：115.3.31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</si>
</sst>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43" formatCode="_(* #,##0.00_);_(* \(#,##0.00\);_(* &quot;-&quot;??_);_(@_)"/>
    <numFmt numFmtId="176" formatCode="_-&quot;$&quot;* #,##0.00_-;\-&quot;$&quot;* #,##0.00_-;_-&quot;$&quot;* &quot;-&quot;??_-;_-@_-"/>
    <numFmt numFmtId="177" formatCode="_-* #,##0.00_-;\-* #,##0.00_-;_-* &quot;-&quot;??_-;_-@_-"/>
    <numFmt numFmtId="178" formatCode="General&quot;萬&quot;"/>
    <numFmt numFmtId="179" formatCode="#,##0_ "/>
    <numFmt numFmtId="180" formatCode="_-* #,##0_-;\-* #,##0_-;_-* &quot;-&quot;??_-;_-@_-"/>
    <numFmt numFmtId="181" formatCode="General&quot;人&quot;"/>
    <numFmt numFmtId="182" formatCode="General&quot;&quot;"/>
    <numFmt numFmtId="183" formatCode="0.0%"/>
    <numFmt numFmtId="184" formatCode="0.00_)"/>
    <numFmt numFmtId="185" formatCode="0_ "/>
  </numFmts>
  <fonts count="193">
    <font>
      <sz val="12"/>
      <color theme="1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</font>
    <font>
      <sz val="9"/>
      <name val="新細明體"/>
      <family val="3"/>
      <charset val="136"/>
    </font>
    <font>
      <sz val="12"/>
      <color indexed="12"/>
      <name val="新細明體"/>
      <family val="3"/>
      <charset val="136"/>
    </font>
    <font>
      <sz val="11"/>
      <name val="新細明體"/>
      <family val="3"/>
      <charset val="136"/>
    </font>
    <font>
      <sz val="12"/>
      <name val="新細明體"/>
      <family val="3"/>
      <charset val="136"/>
    </font>
    <font>
      <b/>
      <sz val="18"/>
      <color indexed="12"/>
      <name val="標楷體"/>
      <family val="4"/>
      <charset val="136"/>
    </font>
    <font>
      <b/>
      <sz val="12"/>
      <color indexed="12"/>
      <name val="新細明體"/>
      <family val="3"/>
      <charset val="136"/>
    </font>
    <font>
      <b/>
      <sz val="18"/>
      <name val="新細明體"/>
      <family val="3"/>
      <charset val="136"/>
    </font>
    <font>
      <sz val="14"/>
      <name val="新細明體"/>
      <family val="3"/>
      <charset val="136"/>
    </font>
    <font>
      <b/>
      <sz val="14"/>
      <color indexed="12"/>
      <name val="新細明體"/>
      <family val="3"/>
      <charset val="136"/>
    </font>
    <font>
      <sz val="12"/>
      <name val="Times New Roman"/>
      <family val="1"/>
    </font>
    <font>
      <sz val="12"/>
      <name val="Courier"/>
      <family val="3"/>
    </font>
    <font>
      <sz val="12"/>
      <name val="新細明體"/>
      <family val="3"/>
      <charset val="136"/>
    </font>
    <font>
      <b/>
      <sz val="12"/>
      <name val="微軟正黑體"/>
      <family val="2"/>
      <charset val="136"/>
    </font>
    <font>
      <sz val="10"/>
      <name val="Arial"/>
      <family val="2"/>
    </font>
    <font>
      <sz val="12"/>
      <color theme="1"/>
      <name val="新細明體"/>
      <family val="3"/>
      <charset val="136"/>
      <scheme val="minor"/>
    </font>
    <font>
      <sz val="12"/>
      <color rgb="FFFFFF00"/>
      <name val="新細明體"/>
      <family val="3"/>
      <charset val="136"/>
    </font>
    <font>
      <sz val="10"/>
      <color rgb="FF0000FF"/>
      <name val="新細明體"/>
      <family val="3"/>
      <charset val="136"/>
    </font>
    <font>
      <sz val="14"/>
      <color theme="1"/>
      <name val="新細明體"/>
      <family val="3"/>
      <charset val="136"/>
      <scheme val="minor"/>
    </font>
    <font>
      <sz val="12"/>
      <name val="新細明體"/>
      <family val="3"/>
      <charset val="136"/>
      <scheme val="minor"/>
    </font>
    <font>
      <sz val="10"/>
      <color theme="1"/>
      <name val="新細明體"/>
      <family val="3"/>
      <charset val="136"/>
    </font>
    <font>
      <b/>
      <sz val="14"/>
      <color rgb="FF0000FF"/>
      <name val="新細明體"/>
      <family val="3"/>
      <charset val="136"/>
    </font>
    <font>
      <b/>
      <sz val="14"/>
      <color rgb="FF0000FF"/>
      <name val="新細明體"/>
      <family val="3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2"/>
      <name val="新細明體"/>
      <family val="1"/>
      <charset val="136"/>
    </font>
    <font>
      <u/>
      <sz val="10"/>
      <color indexed="14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b/>
      <sz val="16"/>
      <color theme="1"/>
      <name val="新細明體"/>
      <family val="1"/>
      <charset val="136"/>
      <scheme val="minor"/>
    </font>
    <font>
      <sz val="12"/>
      <color rgb="FF0000FF"/>
      <name val="新細明體"/>
      <family val="3"/>
      <charset val="136"/>
      <scheme val="minor"/>
    </font>
    <font>
      <sz val="14"/>
      <color rgb="FF0000FF"/>
      <name val="新細明體"/>
      <family val="3"/>
      <charset val="136"/>
    </font>
    <font>
      <sz val="14"/>
      <color rgb="FF0000FF"/>
      <name val="新細明體"/>
      <family val="3"/>
      <charset val="136"/>
      <scheme val="minor"/>
    </font>
    <font>
      <sz val="14"/>
      <color rgb="FF0000FF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4"/>
      <color rgb="FFFF0000"/>
      <name val="新細明體"/>
      <family val="3"/>
      <charset val="136"/>
      <scheme val="minor"/>
    </font>
    <font>
      <b/>
      <sz val="12"/>
      <color theme="1"/>
      <name val="標楷體"/>
      <family val="4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rgb="FF333333"/>
      <name val="新細明體"/>
      <family val="2"/>
      <charset val="136"/>
      <scheme val="minor"/>
    </font>
    <font>
      <b/>
      <sz val="16"/>
      <color rgb="FF0000FF"/>
      <name val="新細明體"/>
      <family val="1"/>
      <charset val="136"/>
      <scheme val="minor"/>
    </font>
    <font>
      <b/>
      <sz val="14"/>
      <color rgb="FF0000FF"/>
      <name val="新細明體"/>
      <family val="1"/>
      <charset val="136"/>
      <scheme val="minor"/>
    </font>
    <font>
      <b/>
      <sz val="14"/>
      <color theme="1"/>
      <name val="標楷體"/>
      <family val="4"/>
      <charset val="136"/>
    </font>
    <font>
      <b/>
      <sz val="14"/>
      <color theme="1"/>
      <name val="Arial"/>
      <family val="2"/>
    </font>
    <font>
      <b/>
      <sz val="14"/>
      <color rgb="FF0000FF"/>
      <name val="Arial"/>
      <family val="2"/>
    </font>
    <font>
      <b/>
      <sz val="14"/>
      <color rgb="FFFF0000"/>
      <name val="Arial"/>
      <family val="2"/>
    </font>
    <font>
      <b/>
      <sz val="15"/>
      <color rgb="FFFF0000"/>
      <name val="Arial"/>
      <family val="2"/>
    </font>
    <font>
      <b/>
      <sz val="18"/>
      <name val="標楷體"/>
      <family val="4"/>
      <charset val="136"/>
    </font>
    <font>
      <b/>
      <sz val="12"/>
      <name val="標楷體"/>
      <family val="4"/>
      <charset val="136"/>
    </font>
    <font>
      <b/>
      <sz val="14"/>
      <color indexed="20"/>
      <name val="標楷體"/>
      <family val="4"/>
      <charset val="136"/>
    </font>
    <font>
      <b/>
      <sz val="12"/>
      <color indexed="20"/>
      <name val="標楷體"/>
      <family val="4"/>
      <charset val="136"/>
    </font>
    <font>
      <b/>
      <sz val="12"/>
      <color theme="0"/>
      <name val="標楷體"/>
      <family val="4"/>
      <charset val="136"/>
    </font>
    <font>
      <b/>
      <sz val="16"/>
      <color indexed="12"/>
      <name val="標楷體"/>
      <family val="4"/>
      <charset val="136"/>
    </font>
    <font>
      <b/>
      <sz val="14"/>
      <name val="標楷體"/>
      <family val="4"/>
      <charset val="136"/>
    </font>
    <font>
      <b/>
      <sz val="17"/>
      <name val="標楷體"/>
      <family val="4"/>
      <charset val="136"/>
    </font>
    <font>
      <b/>
      <sz val="17"/>
      <color rgb="FF0000FF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20"/>
      <color rgb="FF0000FF"/>
      <name val="Arial"/>
      <family val="2"/>
    </font>
    <font>
      <b/>
      <sz val="20"/>
      <color theme="1"/>
      <name val="Arial"/>
      <family val="2"/>
    </font>
    <font>
      <b/>
      <sz val="20"/>
      <color rgb="FF3333FF"/>
      <name val="Arial"/>
      <family val="2"/>
    </font>
    <font>
      <b/>
      <sz val="20"/>
      <color theme="0"/>
      <name val="Arial"/>
      <family val="2"/>
    </font>
    <font>
      <b/>
      <sz val="16"/>
      <name val="新細明體"/>
      <family val="1"/>
      <charset val="136"/>
      <scheme val="minor"/>
    </font>
    <font>
      <b/>
      <sz val="14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b/>
      <sz val="15"/>
      <name val="新細明體"/>
      <family val="1"/>
      <charset val="136"/>
      <scheme val="minor"/>
    </font>
    <font>
      <b/>
      <sz val="16"/>
      <color indexed="8"/>
      <name val="新細明體"/>
      <family val="1"/>
      <charset val="136"/>
      <scheme val="minor"/>
    </font>
    <font>
      <b/>
      <sz val="16"/>
      <color indexed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b/>
      <sz val="16"/>
      <color theme="0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b/>
      <sz val="18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4"/>
      <color rgb="FF0000FF"/>
      <name val="新細明體"/>
      <family val="1"/>
      <charset val="136"/>
    </font>
    <font>
      <b/>
      <sz val="14"/>
      <color rgb="FF0000FF"/>
      <name val="新細明體"/>
      <family val="1"/>
      <charset val="136"/>
    </font>
    <font>
      <b/>
      <sz val="24"/>
      <color theme="1"/>
      <name val="Arial"/>
      <family val="2"/>
    </font>
    <font>
      <b/>
      <sz val="24"/>
      <color theme="1"/>
      <name val="細明體"/>
      <family val="3"/>
      <charset val="136"/>
    </font>
    <font>
      <b/>
      <sz val="20"/>
      <name val="標楷體"/>
      <family val="4"/>
      <charset val="136"/>
    </font>
    <font>
      <b/>
      <sz val="20"/>
      <color rgb="FF0000FF"/>
      <name val="標楷體"/>
      <family val="4"/>
      <charset val="136"/>
    </font>
    <font>
      <b/>
      <sz val="28"/>
      <color indexed="12"/>
      <name val="標楷體"/>
      <family val="4"/>
      <charset val="136"/>
    </font>
    <font>
      <b/>
      <sz val="24"/>
      <color rgb="FF0000FF"/>
      <name val="標楷體"/>
      <family val="4"/>
      <charset val="136"/>
    </font>
    <font>
      <b/>
      <sz val="14"/>
      <name val="Arial"/>
      <family val="2"/>
    </font>
    <font>
      <b/>
      <sz val="16"/>
      <name val="標楷體"/>
      <family val="4"/>
      <charset val="136"/>
    </font>
    <font>
      <b/>
      <sz val="18"/>
      <color rgb="FF0000FF"/>
      <name val="微軟正黑體"/>
      <family val="2"/>
      <charset val="136"/>
    </font>
    <font>
      <sz val="10"/>
      <color theme="0"/>
      <name val="新細明體"/>
      <family val="1"/>
      <charset val="136"/>
    </font>
    <font>
      <sz val="10"/>
      <color theme="0"/>
      <name val="新細明體"/>
      <family val="1"/>
      <charset val="136"/>
      <scheme val="minor"/>
    </font>
    <font>
      <sz val="6"/>
      <name val="新細明體"/>
      <family val="3"/>
      <charset val="136"/>
    </font>
    <font>
      <sz val="6"/>
      <name val="新細明體"/>
      <family val="1"/>
      <charset val="136"/>
    </font>
    <font>
      <sz val="16"/>
      <color theme="0"/>
      <name val="Arial"/>
      <family val="2"/>
    </font>
    <font>
      <sz val="16"/>
      <color rgb="FF92D050"/>
      <name val="Arial"/>
      <family val="2"/>
    </font>
    <font>
      <b/>
      <sz val="18"/>
      <name val="微軟正黑體"/>
      <family val="2"/>
      <charset val="136"/>
    </font>
    <font>
      <b/>
      <sz val="24"/>
      <color rgb="FF0000FF"/>
      <name val="微軟正黑體"/>
      <family val="2"/>
      <charset val="136"/>
    </font>
    <font>
      <b/>
      <sz val="14"/>
      <color indexed="20"/>
      <name val="微軟正黑體"/>
      <family val="2"/>
      <charset val="136"/>
    </font>
    <font>
      <b/>
      <sz val="12"/>
      <color indexed="2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6"/>
      <color indexed="12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b/>
      <sz val="22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b/>
      <sz val="20"/>
      <name val="微軟正黑體"/>
      <family val="2"/>
      <charset val="136"/>
    </font>
    <font>
      <b/>
      <sz val="20"/>
      <color rgb="FF0000FF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5"/>
      <color rgb="FFFF0000"/>
      <name val="微軟正黑體"/>
      <family val="2"/>
      <charset val="136"/>
    </font>
    <font>
      <b/>
      <sz val="20"/>
      <color theme="0"/>
      <name val="微軟正黑體"/>
      <family val="2"/>
      <charset val="136"/>
    </font>
    <font>
      <b/>
      <sz val="14"/>
      <color rgb="FF0000FF"/>
      <name val="微軟正黑體"/>
      <family val="2"/>
      <charset val="136"/>
    </font>
    <font>
      <sz val="14"/>
      <color rgb="FF0000FF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0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8"/>
      <color rgb="FF0000FF"/>
      <name val="微軟正黑體"/>
      <family val="2"/>
      <charset val="136"/>
    </font>
    <font>
      <sz val="18"/>
      <color rgb="FFFF0000"/>
      <name val="微軟正黑體"/>
      <family val="2"/>
      <charset val="136"/>
    </font>
    <font>
      <sz val="28"/>
      <color rgb="FF0000FF"/>
      <name val="微軟正黑體"/>
      <family val="2"/>
      <charset val="136"/>
    </font>
    <font>
      <sz val="12"/>
      <color rgb="FFFF0000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4"/>
      <color rgb="FFFF0000"/>
      <name val="新細明體"/>
      <family val="3"/>
      <charset val="136"/>
    </font>
    <font>
      <sz val="10"/>
      <color rgb="FFFF0000"/>
      <name val="新細明體"/>
      <family val="3"/>
      <charset val="136"/>
      <scheme val="minor"/>
    </font>
    <font>
      <sz val="14"/>
      <color rgb="FFFF0000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b/>
      <sz val="14"/>
      <color rgb="FFFF0000"/>
      <name val="新細明體"/>
      <family val="1"/>
      <charset val="136"/>
    </font>
    <font>
      <b/>
      <sz val="12"/>
      <name val="新細明體"/>
      <family val="1"/>
      <charset val="136"/>
    </font>
    <font>
      <sz val="14"/>
      <name val="新細明體"/>
      <family val="1"/>
      <charset val="136"/>
    </font>
    <font>
      <b/>
      <sz val="17"/>
      <color theme="1"/>
      <name val="微軟正黑體"/>
      <family val="2"/>
      <charset val="136"/>
    </font>
    <font>
      <b/>
      <sz val="22"/>
      <color rgb="FF0000FF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b/>
      <sz val="40"/>
      <color indexed="12"/>
      <name val="微軟正黑體"/>
      <family val="2"/>
      <charset val="136"/>
    </font>
    <font>
      <b/>
      <sz val="22"/>
      <color indexed="12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sz val="22"/>
      <color theme="0"/>
      <name val="微軟正黑體"/>
      <family val="2"/>
      <charset val="136"/>
    </font>
    <font>
      <b/>
      <sz val="22"/>
      <color rgb="FFFF00FF"/>
      <name val="微軟正黑體"/>
      <family val="2"/>
      <charset val="136"/>
    </font>
    <font>
      <b/>
      <sz val="13"/>
      <name val="微軟正黑體"/>
      <family val="2"/>
      <charset val="136"/>
    </font>
    <font>
      <sz val="8"/>
      <name val="新細明體"/>
      <family val="3"/>
      <charset val="136"/>
    </font>
    <font>
      <sz val="8"/>
      <name val="新細明體"/>
      <family val="1"/>
      <charset val="136"/>
    </font>
    <font>
      <b/>
      <sz val="24"/>
      <name val="微軟正黑體"/>
      <family val="2"/>
      <charset val="136"/>
    </font>
    <font>
      <b/>
      <sz val="24"/>
      <color theme="0"/>
      <name val="微軟正黑體"/>
      <family val="2"/>
      <charset val="136"/>
    </font>
    <font>
      <b/>
      <sz val="22"/>
      <color indexed="8"/>
      <name val="微軟正黑體"/>
      <family val="2"/>
      <charset val="136"/>
    </font>
    <font>
      <b/>
      <sz val="24"/>
      <color indexed="12"/>
      <name val="微軟正黑體"/>
      <family val="2"/>
      <charset val="136"/>
    </font>
    <font>
      <b/>
      <sz val="48"/>
      <color indexed="12"/>
      <name val="微軟正黑體"/>
      <family val="2"/>
      <charset val="136"/>
    </font>
    <font>
      <b/>
      <sz val="28"/>
      <color rgb="FF0000FF"/>
      <name val="微軟正黑體"/>
      <family val="2"/>
      <charset val="136"/>
    </font>
    <font>
      <b/>
      <sz val="28"/>
      <name val="微軟正黑體"/>
      <family val="2"/>
      <charset val="136"/>
    </font>
    <font>
      <b/>
      <sz val="28"/>
      <color rgb="FF3333FF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20"/>
      <color rgb="FF0000FF"/>
      <name val="微軟正黑體"/>
      <family val="2"/>
      <charset val="136"/>
    </font>
    <font>
      <sz val="24"/>
      <color rgb="FFFF0000"/>
      <name val="微軟正黑體"/>
      <family val="2"/>
      <charset val="136"/>
    </font>
    <font>
      <sz val="34"/>
      <color rgb="FF0000FF"/>
      <name val="微軟正黑體"/>
      <family val="2"/>
      <charset val="136"/>
    </font>
    <font>
      <sz val="20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30"/>
      <color theme="0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36"/>
      <color rgb="FFFF9933"/>
      <name val="微軟正黑體"/>
      <family val="2"/>
      <charset val="136"/>
    </font>
    <font>
      <b/>
      <sz val="30"/>
      <color rgb="FF0000FF"/>
      <name val="微軟正黑體"/>
      <family val="2"/>
      <charset val="136"/>
    </font>
    <font>
      <b/>
      <sz val="8"/>
      <color rgb="FF0000FF"/>
      <name val="新細明體"/>
      <family val="1"/>
      <charset val="136"/>
      <scheme val="minor"/>
    </font>
    <font>
      <sz val="10"/>
      <color rgb="FF0000FF"/>
      <name val="新細明體"/>
      <family val="1"/>
      <charset val="136"/>
      <scheme val="minor"/>
    </font>
    <font>
      <sz val="10"/>
      <color rgb="FF0070C0"/>
      <name val="新細明體"/>
      <family val="1"/>
      <charset val="136"/>
      <scheme val="minor"/>
    </font>
    <font>
      <sz val="10"/>
      <color rgb="FF7030A0"/>
      <name val="新細明體"/>
      <family val="1"/>
      <charset val="136"/>
      <scheme val="minor"/>
    </font>
    <font>
      <b/>
      <sz val="18"/>
      <color theme="1"/>
      <name val="微軟正黑體"/>
      <family val="2"/>
      <charset val="136"/>
    </font>
    <font>
      <b/>
      <sz val="30"/>
      <color rgb="FFFF33CC"/>
      <name val="微軟正黑體"/>
      <family val="2"/>
      <charset val="136"/>
    </font>
    <font>
      <b/>
      <sz val="25"/>
      <color theme="0"/>
      <name val="微軟正黑體"/>
      <family val="2"/>
      <charset val="136"/>
    </font>
    <font>
      <b/>
      <sz val="30"/>
      <color rgb="FFFF00FF"/>
      <name val="微軟正黑體"/>
      <family val="2"/>
      <charset val="136"/>
    </font>
    <font>
      <sz val="6"/>
      <color rgb="FF0000FF"/>
      <name val="新細明體"/>
      <family val="3"/>
      <charset val="136"/>
    </font>
    <font>
      <sz val="10"/>
      <name val="新細明體"/>
      <family val="1"/>
      <charset val="136"/>
    </font>
  </fonts>
  <fills count="5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9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hair">
        <color indexed="64"/>
      </right>
      <top style="thick">
        <color rgb="FFFF0000"/>
      </top>
      <bottom style="thick">
        <color rgb="FFFF0000"/>
      </bottom>
      <diagonal/>
    </border>
    <border>
      <left style="hair">
        <color indexed="64"/>
      </left>
      <right/>
      <top style="thick">
        <color rgb="FFFF0000"/>
      </top>
      <bottom style="thick">
        <color rgb="FFFF0000"/>
      </bottom>
      <diagonal/>
    </border>
    <border>
      <left style="hair">
        <color indexed="64"/>
      </left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ck">
        <color rgb="FFFF0000"/>
      </bottom>
      <diagonal/>
    </border>
    <border>
      <left style="hair">
        <color indexed="64"/>
      </left>
      <right style="hair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hair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ck">
        <color rgb="FFFF0000"/>
      </top>
      <bottom style="medium">
        <color indexed="64"/>
      </bottom>
      <diagonal/>
    </border>
    <border>
      <left/>
      <right style="hair">
        <color indexed="64"/>
      </right>
      <top style="thick">
        <color rgb="FFFF0000"/>
      </top>
      <bottom style="medium">
        <color indexed="64"/>
      </bottom>
      <diagonal/>
    </border>
    <border>
      <left style="hair">
        <color indexed="64"/>
      </left>
      <right/>
      <top style="thick">
        <color rgb="FFFF0000"/>
      </top>
      <bottom style="medium">
        <color indexed="64"/>
      </bottom>
      <diagonal/>
    </border>
    <border>
      <left style="medium">
        <color indexed="64"/>
      </left>
      <right/>
      <top style="thick">
        <color rgb="FFFF000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ck">
        <color rgb="FFFF0000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ck">
        <color rgb="FFFF0000"/>
      </bottom>
      <diagonal/>
    </border>
    <border>
      <left/>
      <right style="hair">
        <color indexed="64"/>
      </right>
      <top style="hair">
        <color indexed="64"/>
      </top>
      <bottom style="thick">
        <color rgb="FFFF0000"/>
      </bottom>
      <diagonal/>
    </border>
    <border>
      <left style="hair">
        <color indexed="64"/>
      </left>
      <right style="hair">
        <color indexed="64"/>
      </right>
      <top/>
      <bottom style="thick">
        <color rgb="FFFF0000"/>
      </bottom>
      <diagonal/>
    </border>
    <border>
      <left style="hair">
        <color indexed="64"/>
      </left>
      <right/>
      <top style="hair">
        <color indexed="64"/>
      </top>
      <bottom style="thick">
        <color rgb="FFFF0000"/>
      </bottom>
      <diagonal/>
    </border>
    <border>
      <left style="hair">
        <color indexed="64"/>
      </left>
      <right/>
      <top/>
      <bottom style="thick">
        <color rgb="FFFF0000"/>
      </bottom>
      <diagonal/>
    </border>
    <border>
      <left style="hair">
        <color indexed="64"/>
      </left>
      <right style="medium">
        <color indexed="64"/>
      </right>
      <top/>
      <bottom style="thick">
        <color rgb="FFFF0000"/>
      </bottom>
      <diagonal/>
    </border>
    <border>
      <left style="medium">
        <color indexed="64"/>
      </left>
      <right style="hair">
        <color indexed="64"/>
      </right>
      <top/>
      <bottom style="thick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rgb="FFFF0000"/>
      </bottom>
      <diagonal/>
    </border>
    <border>
      <left style="medium">
        <color indexed="64"/>
      </left>
      <right/>
      <top style="hair">
        <color indexed="64"/>
      </top>
      <bottom style="thick">
        <color rgb="FFFF000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ck">
        <color rgb="FFFF0000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FF0000"/>
      </bottom>
      <diagonal/>
    </border>
    <border>
      <left/>
      <right style="hair">
        <color indexed="64"/>
      </right>
      <top/>
      <bottom style="thick">
        <color rgb="FFFF0000"/>
      </bottom>
      <diagonal/>
    </border>
    <border>
      <left style="medium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hair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hair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 style="thick">
        <color rgb="FFFF0000"/>
      </bottom>
      <diagonal/>
    </border>
    <border>
      <left style="hair">
        <color indexed="64"/>
      </left>
      <right style="thick">
        <color indexed="64"/>
      </right>
      <top/>
      <bottom style="thick">
        <color rgb="FFFF000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rgb="FFFF0000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rgb="FFFF0000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6">
    <xf numFmtId="0" fontId="0" fillId="0" borderId="0">
      <alignment vertical="center"/>
    </xf>
    <xf numFmtId="0" fontId="13" fillId="0" borderId="0"/>
    <xf numFmtId="0" fontId="18" fillId="0" borderId="0">
      <alignment vertical="center"/>
    </xf>
    <xf numFmtId="0" fontId="7" fillId="0" borderId="0"/>
    <xf numFmtId="0" fontId="13" fillId="0" borderId="0"/>
    <xf numFmtId="0" fontId="18" fillId="0" borderId="0">
      <alignment vertical="center"/>
    </xf>
    <xf numFmtId="0" fontId="17" fillId="0" borderId="0" applyNumberFormat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13" fillId="0" borderId="0"/>
    <xf numFmtId="177" fontId="1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27" fillId="0" borderId="0">
      <alignment vertical="center"/>
    </xf>
    <xf numFmtId="0" fontId="17" fillId="0" borderId="0"/>
    <xf numFmtId="38" fontId="28" fillId="14" borderId="0" applyNumberFormat="0" applyBorder="0" applyAlignment="0" applyProtection="0"/>
    <xf numFmtId="10" fontId="28" fillId="15" borderId="7" applyNumberFormat="0" applyBorder="0" applyAlignment="0" applyProtection="0"/>
    <xf numFmtId="184" fontId="29" fillId="0" borderId="0"/>
    <xf numFmtId="0" fontId="30" fillId="0" borderId="0"/>
    <xf numFmtId="10" fontId="17" fillId="0" borderId="0" applyFont="0" applyFill="0" applyBorder="0" applyAlignment="0" applyProtection="0"/>
    <xf numFmtId="0" fontId="3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13" fillId="0" borderId="0"/>
    <xf numFmtId="0" fontId="27" fillId="0" borderId="0">
      <alignment vertical="center"/>
    </xf>
    <xf numFmtId="0" fontId="33" fillId="0" borderId="0">
      <alignment vertical="center"/>
    </xf>
    <xf numFmtId="177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0" fontId="14" fillId="0" borderId="0"/>
    <xf numFmtId="9" fontId="2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6" fontId="1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45" fillId="0" borderId="62" applyNumberFormat="0" applyFill="0" applyAlignment="0" applyProtection="0">
      <alignment vertical="center"/>
    </xf>
    <xf numFmtId="0" fontId="46" fillId="0" borderId="63" applyNumberFormat="0" applyFill="0" applyAlignment="0" applyProtection="0">
      <alignment vertical="center"/>
    </xf>
    <xf numFmtId="0" fontId="47" fillId="0" borderId="6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65" applyNumberFormat="0" applyAlignment="0" applyProtection="0">
      <alignment vertical="center"/>
    </xf>
    <xf numFmtId="0" fontId="52" fillId="21" borderId="66" applyNumberFormat="0" applyAlignment="0" applyProtection="0">
      <alignment vertical="center"/>
    </xf>
    <xf numFmtId="0" fontId="53" fillId="21" borderId="65" applyNumberFormat="0" applyAlignment="0" applyProtection="0">
      <alignment vertical="center"/>
    </xf>
    <xf numFmtId="0" fontId="54" fillId="0" borderId="67" applyNumberFormat="0" applyFill="0" applyAlignment="0" applyProtection="0">
      <alignment vertical="center"/>
    </xf>
    <xf numFmtId="0" fontId="55" fillId="22" borderId="6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70" applyNumberFormat="0" applyFill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69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51" fillId="0" borderId="0" applyNumberFormat="0" applyFill="0" applyBorder="0" applyAlignment="0" applyProtection="0"/>
    <xf numFmtId="0" fontId="1" fillId="0" borderId="0">
      <alignment vertical="center"/>
    </xf>
    <xf numFmtId="0" fontId="15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3" fillId="0" borderId="0">
      <alignment vertical="center"/>
    </xf>
  </cellStyleXfs>
  <cellXfs count="9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80" fontId="11" fillId="2" borderId="4" xfId="10" applyNumberFormat="1" applyFont="1" applyFill="1" applyBorder="1" applyAlignment="1">
      <alignment horizontal="center"/>
    </xf>
    <xf numFmtId="180" fontId="11" fillId="2" borderId="5" xfId="10" applyNumberFormat="1" applyFont="1" applyFill="1" applyBorder="1" applyAlignment="1">
      <alignment horizontal="center"/>
    </xf>
    <xf numFmtId="180" fontId="11" fillId="2" borderId="6" xfId="10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81" fontId="7" fillId="3" borderId="6" xfId="0" applyNumberFormat="1" applyFont="1" applyFill="1" applyBorder="1" applyAlignment="1">
      <alignment horizontal="center" vertical="center"/>
    </xf>
    <xf numFmtId="180" fontId="11" fillId="3" borderId="4" xfId="10" applyNumberFormat="1" applyFont="1" applyFill="1" applyBorder="1" applyAlignment="1">
      <alignment horizontal="center"/>
    </xf>
    <xf numFmtId="180" fontId="11" fillId="3" borderId="5" xfId="10" applyNumberFormat="1" applyFont="1" applyFill="1" applyBorder="1" applyAlignment="1">
      <alignment horizontal="center"/>
    </xf>
    <xf numFmtId="180" fontId="11" fillId="3" borderId="6" xfId="10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80" fontId="11" fillId="3" borderId="8" xfId="1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81" fontId="7" fillId="5" borderId="6" xfId="0" applyNumberFormat="1" applyFont="1" applyFill="1" applyBorder="1" applyAlignment="1">
      <alignment horizontal="center" vertical="center"/>
    </xf>
    <xf numFmtId="38" fontId="11" fillId="3" borderId="4" xfId="10" applyNumberFormat="1" applyFont="1" applyFill="1" applyBorder="1" applyAlignment="1">
      <alignment horizontal="center" vertical="center"/>
    </xf>
    <xf numFmtId="38" fontId="11" fillId="3" borderId="5" xfId="10" applyNumberFormat="1" applyFont="1" applyFill="1" applyBorder="1" applyAlignment="1">
      <alignment horizontal="center" vertical="center"/>
    </xf>
    <xf numFmtId="38" fontId="11" fillId="3" borderId="6" xfId="1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80" fontId="11" fillId="3" borderId="4" xfId="0" applyNumberFormat="1" applyFont="1" applyFill="1" applyBorder="1" applyAlignment="1">
      <alignment horizontal="center" vertical="center"/>
    </xf>
    <xf numFmtId="180" fontId="11" fillId="3" borderId="5" xfId="0" applyNumberFormat="1" applyFont="1" applyFill="1" applyBorder="1" applyAlignment="1">
      <alignment horizontal="center" vertical="center"/>
    </xf>
    <xf numFmtId="180" fontId="11" fillId="3" borderId="9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80" fontId="11" fillId="3" borderId="6" xfId="0" applyNumberFormat="1" applyFont="1" applyFill="1" applyBorder="1" applyAlignment="1">
      <alignment horizontal="center" vertical="center"/>
    </xf>
    <xf numFmtId="180" fontId="11" fillId="3" borderId="8" xfId="0" applyNumberFormat="1" applyFont="1" applyFill="1" applyBorder="1" applyAlignment="1">
      <alignment horizontal="center" vertical="center"/>
    </xf>
    <xf numFmtId="180" fontId="11" fillId="2" borderId="5" xfId="10" applyNumberFormat="1" applyFont="1" applyFill="1" applyBorder="1" applyAlignment="1"/>
    <xf numFmtId="0" fontId="0" fillId="4" borderId="7" xfId="0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80" fontId="11" fillId="4" borderId="4" xfId="10" applyNumberFormat="1" applyFont="1" applyFill="1" applyBorder="1" applyAlignment="1">
      <alignment horizontal="center"/>
    </xf>
    <xf numFmtId="180" fontId="11" fillId="4" borderId="5" xfId="10" applyNumberFormat="1" applyFont="1" applyFill="1" applyBorder="1" applyAlignment="1">
      <alignment horizontal="center"/>
    </xf>
    <xf numFmtId="180" fontId="11" fillId="4" borderId="6" xfId="10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0" xfId="0" applyFill="1">
      <alignment vertical="center"/>
    </xf>
    <xf numFmtId="38" fontId="21" fillId="0" borderId="0" xfId="0" applyNumberFormat="1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3" fillId="10" borderId="0" xfId="0" applyFont="1" applyFill="1">
      <alignment vertical="center"/>
    </xf>
    <xf numFmtId="0" fontId="15" fillId="4" borderId="7" xfId="0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7" xfId="7" applyBorder="1" applyAlignment="1">
      <alignment horizontal="center" vertical="center"/>
    </xf>
    <xf numFmtId="0" fontId="7" fillId="4" borderId="7" xfId="7" applyFill="1" applyBorder="1" applyAlignment="1">
      <alignment horizontal="center" vertical="center"/>
    </xf>
    <xf numFmtId="38" fontId="11" fillId="2" borderId="4" xfId="10" applyNumberFormat="1" applyFont="1" applyFill="1" applyBorder="1" applyAlignment="1">
      <alignment horizontal="right"/>
    </xf>
    <xf numFmtId="38" fontId="11" fillId="2" borderId="5" xfId="10" applyNumberFormat="1" applyFont="1" applyFill="1" applyBorder="1" applyAlignment="1">
      <alignment horizontal="right"/>
    </xf>
    <xf numFmtId="38" fontId="21" fillId="0" borderId="4" xfId="0" applyNumberFormat="1" applyFont="1" applyBorder="1" applyAlignment="1">
      <alignment horizontal="right" vertical="center"/>
    </xf>
    <xf numFmtId="38" fontId="21" fillId="0" borderId="5" xfId="0" applyNumberFormat="1" applyFont="1" applyBorder="1" applyAlignment="1">
      <alignment horizontal="right" vertical="center"/>
    </xf>
    <xf numFmtId="181" fontId="21" fillId="0" borderId="0" xfId="0" applyNumberFormat="1" applyFont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180" fontId="11" fillId="5" borderId="4" xfId="10" applyNumberFormat="1" applyFont="1" applyFill="1" applyBorder="1" applyAlignment="1">
      <alignment horizontal="center"/>
    </xf>
    <xf numFmtId="180" fontId="11" fillId="5" borderId="5" xfId="10" applyNumberFormat="1" applyFont="1" applyFill="1" applyBorder="1" applyAlignment="1">
      <alignment horizontal="center"/>
    </xf>
    <xf numFmtId="180" fontId="11" fillId="5" borderId="6" xfId="10" applyNumberFormat="1" applyFont="1" applyFill="1" applyBorder="1" applyAlignment="1">
      <alignment horizontal="center"/>
    </xf>
    <xf numFmtId="0" fontId="0" fillId="5" borderId="0" xfId="0" applyFill="1">
      <alignment vertical="center"/>
    </xf>
    <xf numFmtId="180" fontId="11" fillId="5" borderId="8" xfId="1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 vertical="center" shrinkToFit="1"/>
    </xf>
    <xf numFmtId="0" fontId="7" fillId="5" borderId="7" xfId="7" applyFill="1" applyBorder="1" applyAlignment="1">
      <alignment horizontal="center" vertical="center"/>
    </xf>
    <xf numFmtId="38" fontId="21" fillId="5" borderId="4" xfId="0" applyNumberFormat="1" applyFont="1" applyFill="1" applyBorder="1" applyAlignment="1">
      <alignment horizontal="right" vertical="center"/>
    </xf>
    <xf numFmtId="38" fontId="21" fillId="5" borderId="5" xfId="0" applyNumberFormat="1" applyFont="1" applyFill="1" applyBorder="1" applyAlignment="1">
      <alignment horizontal="right" vertical="center"/>
    </xf>
    <xf numFmtId="181" fontId="0" fillId="0" borderId="0" xfId="0" applyNumberFormat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/>
    </xf>
    <xf numFmtId="0" fontId="36" fillId="0" borderId="0" xfId="0" applyFont="1">
      <alignment vertical="center"/>
    </xf>
    <xf numFmtId="38" fontId="21" fillId="0" borderId="6" xfId="0" applyNumberFormat="1" applyFont="1" applyBorder="1" applyAlignment="1">
      <alignment horizontal="right" vertical="center"/>
    </xf>
    <xf numFmtId="38" fontId="21" fillId="5" borderId="6" xfId="0" applyNumberFormat="1" applyFont="1" applyFill="1" applyBorder="1" applyAlignment="1">
      <alignment horizontal="right" vertical="center"/>
    </xf>
    <xf numFmtId="38" fontId="11" fillId="2" borderId="6" xfId="10" applyNumberFormat="1" applyFont="1" applyFill="1" applyBorder="1" applyAlignment="1">
      <alignment horizontal="right"/>
    </xf>
    <xf numFmtId="38" fontId="21" fillId="5" borderId="8" xfId="0" applyNumberFormat="1" applyFont="1" applyFill="1" applyBorder="1" applyAlignment="1">
      <alignment horizontal="right" vertical="center"/>
    </xf>
    <xf numFmtId="0" fontId="43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68" fillId="0" borderId="0" xfId="0" applyFont="1">
      <alignment vertical="center"/>
    </xf>
    <xf numFmtId="38" fontId="69" fillId="0" borderId="0" xfId="0" applyNumberFormat="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9" fillId="0" borderId="0" xfId="0" applyFont="1">
      <alignment vertical="center"/>
    </xf>
    <xf numFmtId="0" fontId="70" fillId="0" borderId="0" xfId="0" applyFont="1" applyAlignment="1">
      <alignment horizontal="left" vertical="center"/>
    </xf>
    <xf numFmtId="0" fontId="71" fillId="0" borderId="0" xfId="0" applyFont="1" applyAlignment="1">
      <alignment horizontal="center" vertical="center"/>
    </xf>
    <xf numFmtId="0" fontId="71" fillId="0" borderId="0" xfId="0" applyFont="1">
      <alignment vertical="center"/>
    </xf>
    <xf numFmtId="0" fontId="72" fillId="0" borderId="0" xfId="0" applyFont="1" applyAlignment="1">
      <alignment horizontal="center" vertical="center"/>
    </xf>
    <xf numFmtId="0" fontId="43" fillId="4" borderId="0" xfId="0" applyFont="1" applyFill="1" applyAlignment="1">
      <alignment horizontal="center" vertical="center"/>
    </xf>
    <xf numFmtId="38" fontId="43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73" fillId="0" borderId="0" xfId="0" applyFont="1">
      <alignment vertical="center"/>
    </xf>
    <xf numFmtId="9" fontId="68" fillId="0" borderId="0" xfId="0" applyNumberFormat="1" applyFont="1">
      <alignment vertical="center"/>
    </xf>
    <xf numFmtId="0" fontId="74" fillId="0" borderId="0" xfId="0" applyFont="1">
      <alignment vertical="center"/>
    </xf>
    <xf numFmtId="38" fontId="63" fillId="0" borderId="0" xfId="0" applyNumberFormat="1" applyFont="1">
      <alignment vertical="center"/>
    </xf>
    <xf numFmtId="0" fontId="43" fillId="6" borderId="0" xfId="0" applyFont="1" applyFill="1" applyAlignment="1">
      <alignment horizontal="center" vertical="center"/>
    </xf>
    <xf numFmtId="10" fontId="66" fillId="0" borderId="0" xfId="0" applyNumberFormat="1" applyFont="1">
      <alignment vertical="center"/>
    </xf>
    <xf numFmtId="0" fontId="77" fillId="0" borderId="0" xfId="0" applyFont="1">
      <alignment vertical="center"/>
    </xf>
    <xf numFmtId="38" fontId="78" fillId="0" borderId="0" xfId="0" applyNumberFormat="1" applyFont="1" applyAlignment="1">
      <alignment horizontal="center" vertical="center"/>
    </xf>
    <xf numFmtId="0" fontId="67" fillId="12" borderId="0" xfId="9" applyFont="1" applyFill="1" applyAlignment="1">
      <alignment horizontal="center" vertical="center"/>
    </xf>
    <xf numFmtId="0" fontId="80" fillId="0" borderId="0" xfId="0" applyFont="1">
      <alignment vertical="center"/>
    </xf>
    <xf numFmtId="38" fontId="64" fillId="0" borderId="0" xfId="0" applyNumberFormat="1" applyFont="1">
      <alignment vertical="center"/>
    </xf>
    <xf numFmtId="0" fontId="65" fillId="0" borderId="0" xfId="0" applyFont="1">
      <alignment vertical="center"/>
    </xf>
    <xf numFmtId="38" fontId="65" fillId="0" borderId="0" xfId="0" applyNumberFormat="1" applyFont="1">
      <alignment vertical="center"/>
    </xf>
    <xf numFmtId="179" fontId="81" fillId="4" borderId="36" xfId="0" applyNumberFormat="1" applyFont="1" applyFill="1" applyBorder="1" applyAlignment="1">
      <alignment horizontal="center" vertical="center"/>
    </xf>
    <xf numFmtId="179" fontId="81" fillId="4" borderId="30" xfId="0" applyNumberFormat="1" applyFont="1" applyFill="1" applyBorder="1" applyAlignment="1">
      <alignment horizontal="right" vertical="center"/>
    </xf>
    <xf numFmtId="183" fontId="81" fillId="4" borderId="30" xfId="14" applyNumberFormat="1" applyFont="1" applyFill="1" applyBorder="1" applyAlignment="1">
      <alignment horizontal="center" vertical="center"/>
    </xf>
    <xf numFmtId="179" fontId="81" fillId="4" borderId="35" xfId="0" applyNumberFormat="1" applyFont="1" applyFill="1" applyBorder="1" applyAlignment="1">
      <alignment horizontal="right" vertical="center"/>
    </xf>
    <xf numFmtId="179" fontId="81" fillId="4" borderId="52" xfId="0" applyNumberFormat="1" applyFont="1" applyFill="1" applyBorder="1" applyAlignment="1">
      <alignment horizontal="center" vertical="center"/>
    </xf>
    <xf numFmtId="9" fontId="82" fillId="4" borderId="53" xfId="0" applyNumberFormat="1" applyFont="1" applyFill="1" applyBorder="1" applyAlignment="1">
      <alignment horizontal="center" vertical="center"/>
    </xf>
    <xf numFmtId="178" fontId="81" fillId="4" borderId="39" xfId="0" applyNumberFormat="1" applyFont="1" applyFill="1" applyBorder="1" applyAlignment="1">
      <alignment horizontal="right" vertical="center"/>
    </xf>
    <xf numFmtId="38" fontId="83" fillId="4" borderId="33" xfId="0" applyNumberFormat="1" applyFont="1" applyFill="1" applyBorder="1" applyAlignment="1">
      <alignment horizontal="right" vertical="center"/>
    </xf>
    <xf numFmtId="0" fontId="81" fillId="4" borderId="19" xfId="9" applyFont="1" applyFill="1" applyBorder="1" applyAlignment="1">
      <alignment horizontal="center" vertical="center"/>
    </xf>
    <xf numFmtId="179" fontId="81" fillId="4" borderId="34" xfId="0" applyNumberFormat="1" applyFont="1" applyFill="1" applyBorder="1" applyAlignment="1">
      <alignment horizontal="center" vertical="center"/>
    </xf>
    <xf numFmtId="179" fontId="81" fillId="4" borderId="29" xfId="0" applyNumberFormat="1" applyFont="1" applyFill="1" applyBorder="1" applyAlignment="1">
      <alignment horizontal="right" vertical="center"/>
    </xf>
    <xf numFmtId="183" fontId="81" fillId="4" borderId="29" xfId="14" applyNumberFormat="1" applyFont="1" applyFill="1" applyBorder="1" applyAlignment="1">
      <alignment horizontal="center" vertical="center"/>
    </xf>
    <xf numFmtId="179" fontId="81" fillId="4" borderId="25" xfId="0" applyNumberFormat="1" applyFont="1" applyFill="1" applyBorder="1" applyAlignment="1">
      <alignment horizontal="right" vertical="center"/>
    </xf>
    <xf numFmtId="179" fontId="81" fillId="4" borderId="13" xfId="0" applyNumberFormat="1" applyFont="1" applyFill="1" applyBorder="1" applyAlignment="1">
      <alignment horizontal="center" vertical="center"/>
    </xf>
    <xf numFmtId="9" fontId="82" fillId="4" borderId="14" xfId="0" applyNumberFormat="1" applyFont="1" applyFill="1" applyBorder="1" applyAlignment="1">
      <alignment horizontal="center" vertical="center"/>
    </xf>
    <xf numFmtId="178" fontId="81" fillId="4" borderId="40" xfId="0" applyNumberFormat="1" applyFont="1" applyFill="1" applyBorder="1" applyAlignment="1">
      <alignment horizontal="right" vertical="center"/>
    </xf>
    <xf numFmtId="38" fontId="83" fillId="4" borderId="29" xfId="0" applyNumberFormat="1" applyFont="1" applyFill="1" applyBorder="1" applyAlignment="1">
      <alignment horizontal="right" vertical="center"/>
    </xf>
    <xf numFmtId="179" fontId="81" fillId="4" borderId="32" xfId="0" applyNumberFormat="1" applyFont="1" applyFill="1" applyBorder="1" applyAlignment="1">
      <alignment horizontal="center" vertical="center"/>
    </xf>
    <xf numFmtId="179" fontId="81" fillId="4" borderId="33" xfId="0" applyNumberFormat="1" applyFont="1" applyFill="1" applyBorder="1" applyAlignment="1">
      <alignment horizontal="right" vertical="center"/>
    </xf>
    <xf numFmtId="183" fontId="81" fillId="4" borderId="33" xfId="14" applyNumberFormat="1" applyFont="1" applyFill="1" applyBorder="1" applyAlignment="1">
      <alignment horizontal="center" vertical="center"/>
    </xf>
    <xf numFmtId="179" fontId="81" fillId="4" borderId="28" xfId="0" applyNumberFormat="1" applyFont="1" applyFill="1" applyBorder="1" applyAlignment="1">
      <alignment horizontal="right" vertical="center"/>
    </xf>
    <xf numFmtId="179" fontId="81" fillId="4" borderId="18" xfId="0" applyNumberFormat="1" applyFont="1" applyFill="1" applyBorder="1" applyAlignment="1">
      <alignment horizontal="center" vertical="center"/>
    </xf>
    <xf numFmtId="9" fontId="82" fillId="4" borderId="19" xfId="0" applyNumberFormat="1" applyFont="1" applyFill="1" applyBorder="1" applyAlignment="1">
      <alignment horizontal="center" vertical="center"/>
    </xf>
    <xf numFmtId="0" fontId="91" fillId="0" borderId="11" xfId="0" applyFont="1" applyBorder="1">
      <alignment vertical="center"/>
    </xf>
    <xf numFmtId="0" fontId="91" fillId="0" borderId="11" xfId="0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40" fillId="2" borderId="0" xfId="0" applyFont="1" applyFill="1">
      <alignment vertical="center"/>
    </xf>
    <xf numFmtId="0" fontId="91" fillId="2" borderId="11" xfId="0" applyFont="1" applyFill="1" applyBorder="1">
      <alignment vertical="center"/>
    </xf>
    <xf numFmtId="0" fontId="91" fillId="2" borderId="11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left" vertical="center"/>
    </xf>
    <xf numFmtId="0" fontId="93" fillId="0" borderId="0" xfId="0" applyFont="1" applyAlignment="1">
      <alignment horizontal="center" vertical="center"/>
    </xf>
    <xf numFmtId="0" fontId="94" fillId="4" borderId="0" xfId="0" applyFont="1" applyFill="1" applyAlignment="1">
      <alignment horizontal="left" vertical="center"/>
    </xf>
    <xf numFmtId="0" fontId="95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96" fillId="0" borderId="0" xfId="0" applyFont="1">
      <alignment vertical="center"/>
    </xf>
    <xf numFmtId="38" fontId="41" fillId="0" borderId="0" xfId="0" applyNumberFormat="1" applyFont="1" applyAlignment="1">
      <alignment horizontal="center" vertical="center"/>
    </xf>
    <xf numFmtId="38" fontId="92" fillId="0" borderId="0" xfId="0" applyNumberFormat="1" applyFont="1" applyAlignment="1">
      <alignment horizontal="center" vertical="center"/>
    </xf>
    <xf numFmtId="0" fontId="41" fillId="0" borderId="0" xfId="0" applyFont="1">
      <alignment vertical="center"/>
    </xf>
    <xf numFmtId="0" fontId="7" fillId="4" borderId="7" xfId="0" applyFont="1" applyFill="1" applyBorder="1" applyAlignment="1">
      <alignment horizontal="center" vertical="center" shrinkToFit="1"/>
    </xf>
    <xf numFmtId="181" fontId="12" fillId="48" borderId="6" xfId="0" applyNumberFormat="1" applyFont="1" applyFill="1" applyBorder="1" applyAlignment="1">
      <alignment horizontal="center" vertical="center"/>
    </xf>
    <xf numFmtId="180" fontId="12" fillId="48" borderId="4" xfId="10" applyNumberFormat="1" applyFont="1" applyFill="1" applyBorder="1" applyAlignment="1">
      <alignment horizontal="center"/>
    </xf>
    <xf numFmtId="180" fontId="12" fillId="48" borderId="5" xfId="10" applyNumberFormat="1" applyFont="1" applyFill="1" applyBorder="1" applyAlignment="1">
      <alignment horizontal="center"/>
    </xf>
    <xf numFmtId="180" fontId="12" fillId="48" borderId="6" xfId="10" applyNumberFormat="1" applyFont="1" applyFill="1" applyBorder="1" applyAlignment="1">
      <alignment horizontal="center"/>
    </xf>
    <xf numFmtId="0" fontId="12" fillId="48" borderId="0" xfId="0" applyFont="1" applyFill="1">
      <alignment vertical="center"/>
    </xf>
    <xf numFmtId="180" fontId="12" fillId="48" borderId="8" xfId="10" applyNumberFormat="1" applyFont="1" applyFill="1" applyBorder="1" applyAlignment="1">
      <alignment horizontal="center"/>
    </xf>
    <xf numFmtId="180" fontId="12" fillId="48" borderId="7" xfId="10" applyNumberFormat="1" applyFont="1" applyFill="1" applyBorder="1" applyAlignment="1">
      <alignment horizontal="center"/>
    </xf>
    <xf numFmtId="180" fontId="12" fillId="48" borderId="9" xfId="10" applyNumberFormat="1" applyFont="1" applyFill="1" applyBorder="1" applyAlignment="1">
      <alignment horizontal="center"/>
    </xf>
    <xf numFmtId="180" fontId="12" fillId="48" borderId="8" xfId="0" applyNumberFormat="1" applyFont="1" applyFill="1" applyBorder="1" applyAlignment="1">
      <alignment horizontal="center" vertical="center"/>
    </xf>
    <xf numFmtId="180" fontId="12" fillId="48" borderId="5" xfId="0" applyNumberFormat="1" applyFont="1" applyFill="1" applyBorder="1" applyAlignment="1">
      <alignment horizontal="center" vertical="center"/>
    </xf>
    <xf numFmtId="180" fontId="12" fillId="48" borderId="6" xfId="0" applyNumberFormat="1" applyFont="1" applyFill="1" applyBorder="1" applyAlignment="1">
      <alignment horizontal="center" vertical="center"/>
    </xf>
    <xf numFmtId="0" fontId="12" fillId="48" borderId="8" xfId="0" applyFont="1" applyFill="1" applyBorder="1" applyAlignment="1">
      <alignment horizontal="right" vertical="center"/>
    </xf>
    <xf numFmtId="181" fontId="24" fillId="48" borderId="6" xfId="0" applyNumberFormat="1" applyFont="1" applyFill="1" applyBorder="1" applyAlignment="1">
      <alignment horizontal="center" vertical="center"/>
    </xf>
    <xf numFmtId="38" fontId="25" fillId="48" borderId="4" xfId="0" applyNumberFormat="1" applyFont="1" applyFill="1" applyBorder="1" applyAlignment="1">
      <alignment horizontal="right" vertical="center"/>
    </xf>
    <xf numFmtId="38" fontId="25" fillId="48" borderId="5" xfId="0" applyNumberFormat="1" applyFont="1" applyFill="1" applyBorder="1" applyAlignment="1">
      <alignment horizontal="right" vertical="center"/>
    </xf>
    <xf numFmtId="38" fontId="25" fillId="48" borderId="6" xfId="0" applyNumberFormat="1" applyFont="1" applyFill="1" applyBorder="1" applyAlignment="1">
      <alignment horizontal="right" vertical="center"/>
    </xf>
    <xf numFmtId="0" fontId="0" fillId="48" borderId="0" xfId="0" applyFill="1">
      <alignment vertical="center"/>
    </xf>
    <xf numFmtId="0" fontId="35" fillId="49" borderId="15" xfId="0" applyFont="1" applyFill="1" applyBorder="1" applyAlignment="1">
      <alignment horizontal="center" vertical="center" wrapText="1"/>
    </xf>
    <xf numFmtId="0" fontId="35" fillId="49" borderId="16" xfId="0" applyFont="1" applyFill="1" applyBorder="1" applyAlignment="1">
      <alignment horizontal="center" vertical="center" wrapText="1"/>
    </xf>
    <xf numFmtId="179" fontId="81" fillId="49" borderId="60" xfId="0" applyNumberFormat="1" applyFont="1" applyFill="1" applyBorder="1" applyAlignment="1">
      <alignment horizontal="center" vertical="center"/>
    </xf>
    <xf numFmtId="9" fontId="82" fillId="49" borderId="57" xfId="0" applyNumberFormat="1" applyFont="1" applyFill="1" applyBorder="1" applyAlignment="1">
      <alignment horizontal="center" vertical="center"/>
    </xf>
    <xf numFmtId="0" fontId="35" fillId="9" borderId="20" xfId="0" applyFont="1" applyFill="1" applyBorder="1" applyAlignment="1">
      <alignment horizontal="center" vertical="center" wrapText="1"/>
    </xf>
    <xf numFmtId="0" fontId="86" fillId="9" borderId="20" xfId="0" applyFont="1" applyFill="1" applyBorder="1" applyAlignment="1">
      <alignment horizontal="center" vertical="center" wrapText="1"/>
    </xf>
    <xf numFmtId="0" fontId="86" fillId="9" borderId="16" xfId="0" applyFont="1" applyFill="1" applyBorder="1" applyAlignment="1">
      <alignment horizontal="center" vertical="center" wrapText="1"/>
    </xf>
    <xf numFmtId="178" fontId="81" fillId="9" borderId="55" xfId="0" applyNumberFormat="1" applyFont="1" applyFill="1" applyBorder="1" applyAlignment="1">
      <alignment horizontal="right" vertical="center"/>
    </xf>
    <xf numFmtId="38" fontId="83" fillId="9" borderId="59" xfId="0" applyNumberFormat="1" applyFont="1" applyFill="1" applyBorder="1" applyAlignment="1">
      <alignment horizontal="right" vertical="center"/>
    </xf>
    <xf numFmtId="0" fontId="86" fillId="16" borderId="15" xfId="0" applyFont="1" applyFill="1" applyBorder="1" applyAlignment="1">
      <alignment horizontal="center" vertical="center" wrapText="1"/>
    </xf>
    <xf numFmtId="0" fontId="90" fillId="16" borderId="20" xfId="0" applyFont="1" applyFill="1" applyBorder="1" applyAlignment="1">
      <alignment horizontal="center" vertical="center" wrapText="1"/>
    </xf>
    <xf numFmtId="0" fontId="35" fillId="16" borderId="21" xfId="0" applyFont="1" applyFill="1" applyBorder="1" applyAlignment="1">
      <alignment horizontal="center" vertical="center" wrapText="1"/>
    </xf>
    <xf numFmtId="0" fontId="35" fillId="16" borderId="22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179" fontId="81" fillId="16" borderId="58" xfId="0" applyNumberFormat="1" applyFont="1" applyFill="1" applyBorder="1" applyAlignment="1">
      <alignment horizontal="center" vertical="center"/>
    </xf>
    <xf numFmtId="179" fontId="81" fillId="16" borderId="59" xfId="0" applyNumberFormat="1" applyFont="1" applyFill="1" applyBorder="1" applyAlignment="1">
      <alignment horizontal="right" vertical="center"/>
    </xf>
    <xf numFmtId="183" fontId="81" fillId="16" borderId="59" xfId="14" applyNumberFormat="1" applyFont="1" applyFill="1" applyBorder="1" applyAlignment="1">
      <alignment horizontal="center" vertical="center"/>
    </xf>
    <xf numFmtId="179" fontId="81" fillId="16" borderId="56" xfId="0" applyNumberFormat="1" applyFont="1" applyFill="1" applyBorder="1" applyAlignment="1">
      <alignment horizontal="right" vertical="center"/>
    </xf>
    <xf numFmtId="0" fontId="65" fillId="9" borderId="6" xfId="0" applyFont="1" applyFill="1" applyBorder="1">
      <alignment vertical="center"/>
    </xf>
    <xf numFmtId="0" fontId="31" fillId="13" borderId="4" xfId="0" applyFont="1" applyFill="1" applyBorder="1" applyAlignment="1">
      <alignment horizontal="center" vertical="center"/>
    </xf>
    <xf numFmtId="0" fontId="31" fillId="13" borderId="5" xfId="0" applyFont="1" applyFill="1" applyBorder="1" applyAlignment="1">
      <alignment horizontal="center" vertical="center" wrapText="1"/>
    </xf>
    <xf numFmtId="0" fontId="97" fillId="13" borderId="1" xfId="0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1" fillId="13" borderId="3" xfId="0" applyFont="1" applyFill="1" applyBorder="1" applyAlignment="1">
      <alignment horizontal="center" vertical="center" wrapText="1"/>
    </xf>
    <xf numFmtId="179" fontId="81" fillId="4" borderId="74" xfId="0" applyNumberFormat="1" applyFont="1" applyFill="1" applyBorder="1" applyAlignment="1">
      <alignment horizontal="center" vertical="center"/>
    </xf>
    <xf numFmtId="179" fontId="81" fillId="4" borderId="45" xfId="0" applyNumberFormat="1" applyFont="1" applyFill="1" applyBorder="1" applyAlignment="1">
      <alignment horizontal="right" vertical="center"/>
    </xf>
    <xf numFmtId="183" fontId="81" fillId="4" borderId="45" xfId="14" applyNumberFormat="1" applyFont="1" applyFill="1" applyBorder="1" applyAlignment="1">
      <alignment horizontal="center" vertical="center"/>
    </xf>
    <xf numFmtId="179" fontId="81" fillId="4" borderId="27" xfId="0" applyNumberFormat="1" applyFont="1" applyFill="1" applyBorder="1" applyAlignment="1">
      <alignment horizontal="right" vertical="center"/>
    </xf>
    <xf numFmtId="179" fontId="81" fillId="4" borderId="26" xfId="0" applyNumberFormat="1" applyFont="1" applyFill="1" applyBorder="1" applyAlignment="1">
      <alignment horizontal="center" vertical="center"/>
    </xf>
    <xf numFmtId="9" fontId="82" fillId="4" borderId="75" xfId="0" applyNumberFormat="1" applyFont="1" applyFill="1" applyBorder="1" applyAlignment="1">
      <alignment horizontal="center" vertical="center"/>
    </xf>
    <xf numFmtId="178" fontId="81" fillId="4" borderId="76" xfId="0" applyNumberFormat="1" applyFont="1" applyFill="1" applyBorder="1" applyAlignment="1">
      <alignment horizontal="right" vertical="center"/>
    </xf>
    <xf numFmtId="38" fontId="83" fillId="4" borderId="45" xfId="0" applyNumberFormat="1" applyFont="1" applyFill="1" applyBorder="1" applyAlignment="1">
      <alignment horizontal="right" vertical="center"/>
    </xf>
    <xf numFmtId="0" fontId="81" fillId="4" borderId="53" xfId="9" applyFont="1" applyFill="1" applyBorder="1" applyAlignment="1">
      <alignment horizontal="center" vertical="center"/>
    </xf>
    <xf numFmtId="179" fontId="81" fillId="4" borderId="83" xfId="0" applyNumberFormat="1" applyFont="1" applyFill="1" applyBorder="1" applyAlignment="1">
      <alignment horizontal="center" vertical="center"/>
    </xf>
    <xf numFmtId="179" fontId="81" fillId="4" borderId="84" xfId="0" applyNumberFormat="1" applyFont="1" applyFill="1" applyBorder="1" applyAlignment="1">
      <alignment horizontal="right" vertical="center"/>
    </xf>
    <xf numFmtId="183" fontId="81" fillId="4" borderId="84" xfId="14" applyNumberFormat="1" applyFont="1" applyFill="1" applyBorder="1" applyAlignment="1">
      <alignment horizontal="center" vertical="center"/>
    </xf>
    <xf numFmtId="179" fontId="81" fillId="4" borderId="82" xfId="0" applyNumberFormat="1" applyFont="1" applyFill="1" applyBorder="1" applyAlignment="1">
      <alignment horizontal="right" vertical="center"/>
    </xf>
    <xf numFmtId="179" fontId="81" fillId="4" borderId="80" xfId="0" applyNumberFormat="1" applyFont="1" applyFill="1" applyBorder="1" applyAlignment="1">
      <alignment horizontal="center" vertical="center"/>
    </xf>
    <xf numFmtId="9" fontId="82" fillId="4" borderId="85" xfId="0" applyNumberFormat="1" applyFont="1" applyFill="1" applyBorder="1" applyAlignment="1">
      <alignment horizontal="center" vertical="center"/>
    </xf>
    <xf numFmtId="178" fontId="81" fillId="4" borderId="81" xfId="0" applyNumberFormat="1" applyFont="1" applyFill="1" applyBorder="1" applyAlignment="1">
      <alignment horizontal="right" vertical="center"/>
    </xf>
    <xf numFmtId="38" fontId="83" fillId="4" borderId="84" xfId="0" applyNumberFormat="1" applyFont="1" applyFill="1" applyBorder="1" applyAlignment="1">
      <alignment horizontal="right" vertical="center"/>
    </xf>
    <xf numFmtId="0" fontId="81" fillId="0" borderId="85" xfId="9" applyFont="1" applyBorder="1" applyAlignment="1">
      <alignment horizontal="center" vertical="center"/>
    </xf>
    <xf numFmtId="178" fontId="81" fillId="4" borderId="87" xfId="0" applyNumberFormat="1" applyFont="1" applyFill="1" applyBorder="1" applyAlignment="1">
      <alignment horizontal="right" vertical="center"/>
    </xf>
    <xf numFmtId="38" fontId="83" fillId="4" borderId="93" xfId="0" applyNumberFormat="1" applyFont="1" applyFill="1" applyBorder="1" applyAlignment="1">
      <alignment horizontal="right" vertical="center"/>
    </xf>
    <xf numFmtId="180" fontId="0" fillId="0" borderId="0" xfId="0" applyNumberFormat="1" applyAlignment="1">
      <alignment horizontal="center" vertical="center"/>
    </xf>
    <xf numFmtId="0" fontId="81" fillId="4" borderId="35" xfId="0" applyFont="1" applyFill="1" applyBorder="1" applyAlignment="1">
      <alignment horizontal="center" vertical="center"/>
    </xf>
    <xf numFmtId="0" fontId="102" fillId="4" borderId="50" xfId="0" applyFont="1" applyFill="1" applyBorder="1" applyAlignment="1">
      <alignment horizontal="center" vertical="center"/>
    </xf>
    <xf numFmtId="182" fontId="81" fillId="4" borderId="27" xfId="0" applyNumberFormat="1" applyFont="1" applyFill="1" applyBorder="1" applyAlignment="1">
      <alignment horizontal="center" vertical="center"/>
    </xf>
    <xf numFmtId="178" fontId="82" fillId="4" borderId="27" xfId="0" applyNumberFormat="1" applyFont="1" applyFill="1" applyBorder="1" applyAlignment="1">
      <alignment horizontal="center" vertical="center"/>
    </xf>
    <xf numFmtId="0" fontId="81" fillId="4" borderId="25" xfId="0" applyFont="1" applyFill="1" applyBorder="1" applyAlignment="1">
      <alignment horizontal="center" vertical="center"/>
    </xf>
    <xf numFmtId="0" fontId="102" fillId="4" borderId="25" xfId="0" applyFont="1" applyFill="1" applyBorder="1" applyAlignment="1">
      <alignment horizontal="center" vertical="center"/>
    </xf>
    <xf numFmtId="182" fontId="81" fillId="4" borderId="25" xfId="0" applyNumberFormat="1" applyFont="1" applyFill="1" applyBorder="1" applyAlignment="1">
      <alignment horizontal="center" vertical="center"/>
    </xf>
    <xf numFmtId="0" fontId="81" fillId="4" borderId="28" xfId="0" applyFont="1" applyFill="1" applyBorder="1" applyAlignment="1">
      <alignment horizontal="center" vertical="center"/>
    </xf>
    <xf numFmtId="0" fontId="102" fillId="4" borderId="28" xfId="0" applyFont="1" applyFill="1" applyBorder="1" applyAlignment="1">
      <alignment horizontal="center" vertical="center"/>
    </xf>
    <xf numFmtId="0" fontId="81" fillId="4" borderId="27" xfId="0" applyFont="1" applyFill="1" applyBorder="1" applyAlignment="1">
      <alignment horizontal="center" vertical="center"/>
    </xf>
    <xf numFmtId="0" fontId="102" fillId="4" borderId="27" xfId="0" applyFont="1" applyFill="1" applyBorder="1" applyAlignment="1">
      <alignment horizontal="center" vertical="center"/>
    </xf>
    <xf numFmtId="182" fontId="81" fillId="4" borderId="28" xfId="0" applyNumberFormat="1" applyFont="1" applyFill="1" applyBorder="1" applyAlignment="1">
      <alignment horizontal="center" vertical="center"/>
    </xf>
    <xf numFmtId="178" fontId="82" fillId="4" borderId="89" xfId="0" applyNumberFormat="1" applyFont="1" applyFill="1" applyBorder="1" applyAlignment="1">
      <alignment horizontal="center" vertical="center"/>
    </xf>
    <xf numFmtId="0" fontId="102" fillId="9" borderId="55" xfId="0" applyFont="1" applyFill="1" applyBorder="1" applyAlignment="1">
      <alignment horizontal="center" vertical="center"/>
    </xf>
    <xf numFmtId="182" fontId="81" fillId="9" borderId="56" xfId="0" applyNumberFormat="1" applyFont="1" applyFill="1" applyBorder="1" applyAlignment="1">
      <alignment horizontal="center" vertical="center"/>
    </xf>
    <xf numFmtId="178" fontId="82" fillId="9" borderId="57" xfId="0" applyNumberFormat="1" applyFont="1" applyFill="1" applyBorder="1" applyAlignment="1">
      <alignment horizontal="center" vertical="center"/>
    </xf>
    <xf numFmtId="0" fontId="81" fillId="4" borderId="82" xfId="0" applyFont="1" applyFill="1" applyBorder="1" applyAlignment="1">
      <alignment horizontal="left" vertical="center"/>
    </xf>
    <xf numFmtId="0" fontId="102" fillId="4" borderId="82" xfId="0" applyFont="1" applyFill="1" applyBorder="1" applyAlignment="1">
      <alignment horizontal="center" vertical="center"/>
    </xf>
    <xf numFmtId="182" fontId="81" fillId="4" borderId="82" xfId="0" applyNumberFormat="1" applyFont="1" applyFill="1" applyBorder="1" applyAlignment="1">
      <alignment horizontal="center" vertical="center"/>
    </xf>
    <xf numFmtId="178" fontId="82" fillId="4" borderId="82" xfId="0" applyNumberFormat="1" applyFont="1" applyFill="1" applyBorder="1" applyAlignment="1">
      <alignment horizontal="center" vertical="center"/>
    </xf>
    <xf numFmtId="10" fontId="82" fillId="4" borderId="33" xfId="0" applyNumberFormat="1" applyFont="1" applyFill="1" applyBorder="1" applyAlignment="1">
      <alignment horizontal="center" vertical="center"/>
    </xf>
    <xf numFmtId="10" fontId="82" fillId="4" borderId="29" xfId="0" applyNumberFormat="1" applyFont="1" applyFill="1" applyBorder="1" applyAlignment="1">
      <alignment horizontal="center" vertical="center"/>
    </xf>
    <xf numFmtId="10" fontId="82" fillId="4" borderId="45" xfId="0" applyNumberFormat="1" applyFont="1" applyFill="1" applyBorder="1" applyAlignment="1">
      <alignment horizontal="center" vertical="center"/>
    </xf>
    <xf numFmtId="10" fontId="82" fillId="4" borderId="93" xfId="0" applyNumberFormat="1" applyFont="1" applyFill="1" applyBorder="1" applyAlignment="1">
      <alignment horizontal="center" vertical="center"/>
    </xf>
    <xf numFmtId="10" fontId="82" fillId="9" borderId="56" xfId="0" applyNumberFormat="1" applyFont="1" applyFill="1" applyBorder="1" applyAlignment="1">
      <alignment horizontal="center" vertical="center"/>
    </xf>
    <xf numFmtId="10" fontId="82" fillId="4" borderId="84" xfId="0" applyNumberFormat="1" applyFont="1" applyFill="1" applyBorder="1" applyAlignment="1">
      <alignment horizontal="center" vertical="center"/>
    </xf>
    <xf numFmtId="38" fontId="105" fillId="0" borderId="0" xfId="0" applyNumberFormat="1" applyFont="1" applyAlignment="1">
      <alignment horizontal="center" vertical="center"/>
    </xf>
    <xf numFmtId="0" fontId="31" fillId="13" borderId="6" xfId="0" applyFont="1" applyFill="1" applyBorder="1" applyAlignment="1">
      <alignment horizontal="center" vertical="center" wrapText="1"/>
    </xf>
    <xf numFmtId="38" fontId="74" fillId="0" borderId="7" xfId="0" applyNumberFormat="1" applyFont="1" applyBorder="1" applyAlignment="1">
      <alignment horizontal="center" vertical="center"/>
    </xf>
    <xf numFmtId="38" fontId="106" fillId="0" borderId="7" xfId="0" applyNumberFormat="1" applyFont="1" applyBorder="1" applyAlignment="1">
      <alignment horizontal="center" vertical="center"/>
    </xf>
    <xf numFmtId="0" fontId="64" fillId="0" borderId="7" xfId="0" applyFont="1" applyBorder="1">
      <alignment vertical="center"/>
    </xf>
    <xf numFmtId="10" fontId="64" fillId="0" borderId="7" xfId="0" applyNumberFormat="1" applyFont="1" applyBorder="1">
      <alignment vertical="center"/>
    </xf>
    <xf numFmtId="0" fontId="64" fillId="9" borderId="7" xfId="0" applyFont="1" applyFill="1" applyBorder="1">
      <alignment vertical="center"/>
    </xf>
    <xf numFmtId="38" fontId="107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83" fontId="82" fillId="4" borderId="31" xfId="0" applyNumberFormat="1" applyFont="1" applyFill="1" applyBorder="1" applyAlignment="1">
      <alignment horizontal="center" vertical="center"/>
    </xf>
    <xf numFmtId="183" fontId="82" fillId="4" borderId="14" xfId="0" applyNumberFormat="1" applyFont="1" applyFill="1" applyBorder="1" applyAlignment="1">
      <alignment horizontal="center" vertical="center"/>
    </xf>
    <xf numFmtId="183" fontId="82" fillId="4" borderId="75" xfId="0" applyNumberFormat="1" applyFont="1" applyFill="1" applyBorder="1" applyAlignment="1">
      <alignment horizontal="center" vertical="center"/>
    </xf>
    <xf numFmtId="183" fontId="82" fillId="4" borderId="19" xfId="0" applyNumberFormat="1" applyFont="1" applyFill="1" applyBorder="1" applyAlignment="1">
      <alignment horizontal="center" vertical="center"/>
    </xf>
    <xf numFmtId="183" fontId="82" fillId="16" borderId="57" xfId="0" applyNumberFormat="1" applyFont="1" applyFill="1" applyBorder="1" applyAlignment="1">
      <alignment horizontal="center" vertical="center"/>
    </xf>
    <xf numFmtId="183" fontId="82" fillId="4" borderId="85" xfId="0" applyNumberFormat="1" applyFont="1" applyFill="1" applyBorder="1" applyAlignment="1">
      <alignment horizontal="center" vertical="center"/>
    </xf>
    <xf numFmtId="0" fontId="12" fillId="48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81" fillId="4" borderId="14" xfId="9" applyFont="1" applyFill="1" applyBorder="1" applyAlignment="1">
      <alignment horizontal="center" vertical="center"/>
    </xf>
    <xf numFmtId="178" fontId="82" fillId="4" borderId="25" xfId="0" applyNumberFormat="1" applyFont="1" applyFill="1" applyBorder="1" applyAlignment="1">
      <alignment horizontal="center" vertical="center"/>
    </xf>
    <xf numFmtId="0" fontId="77" fillId="9" borderId="58" xfId="0" applyFont="1" applyFill="1" applyBorder="1">
      <alignment vertical="center"/>
    </xf>
    <xf numFmtId="0" fontId="77" fillId="0" borderId="83" xfId="0" applyFont="1" applyBorder="1">
      <alignment vertical="center"/>
    </xf>
    <xf numFmtId="0" fontId="61" fillId="9" borderId="95" xfId="0" applyFont="1" applyFill="1" applyBorder="1" applyAlignment="1">
      <alignment horizontal="center" vertical="center"/>
    </xf>
    <xf numFmtId="0" fontId="61" fillId="9" borderId="96" xfId="0" applyFont="1" applyFill="1" applyBorder="1" applyAlignment="1">
      <alignment horizontal="center" vertical="center"/>
    </xf>
    <xf numFmtId="0" fontId="76" fillId="4" borderId="26" xfId="0" applyFont="1" applyFill="1" applyBorder="1" applyAlignment="1">
      <alignment horizontal="center" vertical="center"/>
    </xf>
    <xf numFmtId="0" fontId="76" fillId="4" borderId="13" xfId="0" applyFont="1" applyFill="1" applyBorder="1" applyAlignment="1">
      <alignment horizontal="center" vertical="center"/>
    </xf>
    <xf numFmtId="0" fontId="76" fillId="4" borderId="18" xfId="0" applyFont="1" applyFill="1" applyBorder="1" applyAlignment="1">
      <alignment horizontal="center" vertical="center"/>
    </xf>
    <xf numFmtId="0" fontId="76" fillId="4" borderId="52" xfId="0" applyFont="1" applyFill="1" applyBorder="1" applyAlignment="1">
      <alignment horizontal="center" vertical="center"/>
    </xf>
    <xf numFmtId="0" fontId="75" fillId="9" borderId="58" xfId="0" applyFont="1" applyFill="1" applyBorder="1" applyAlignment="1">
      <alignment horizontal="center" vertical="center"/>
    </xf>
    <xf numFmtId="10" fontId="81" fillId="9" borderId="97" xfId="0" applyNumberFormat="1" applyFont="1" applyFill="1" applyBorder="1" applyAlignment="1">
      <alignment horizontal="center" vertical="center"/>
    </xf>
    <xf numFmtId="0" fontId="79" fillId="4" borderId="80" xfId="0" applyFont="1" applyFill="1" applyBorder="1" applyAlignment="1">
      <alignment horizontal="center" vertical="center" wrapText="1"/>
    </xf>
    <xf numFmtId="0" fontId="77" fillId="4" borderId="24" xfId="0" applyFont="1" applyFill="1" applyBorder="1">
      <alignment vertical="center"/>
    </xf>
    <xf numFmtId="0" fontId="83" fillId="4" borderId="0" xfId="0" applyFont="1" applyFill="1" applyAlignment="1">
      <alignment horizontal="center" vertical="center"/>
    </xf>
    <xf numFmtId="0" fontId="83" fillId="0" borderId="0" xfId="0" applyFont="1">
      <alignment vertical="center"/>
    </xf>
    <xf numFmtId="0" fontId="83" fillId="0" borderId="0" xfId="0" applyFont="1" applyAlignment="1">
      <alignment horizontal="center" vertical="center"/>
    </xf>
    <xf numFmtId="183" fontId="85" fillId="0" borderId="0" xfId="0" applyNumberFormat="1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1" fillId="0" borderId="37" xfId="0" applyFont="1" applyBorder="1" applyAlignment="1">
      <alignment horizontal="center" vertical="center"/>
    </xf>
    <xf numFmtId="0" fontId="65" fillId="9" borderId="10" xfId="0" applyFont="1" applyFill="1" applyBorder="1">
      <alignment vertical="center"/>
    </xf>
    <xf numFmtId="0" fontId="103" fillId="9" borderId="98" xfId="0" applyFont="1" applyFill="1" applyBorder="1">
      <alignment vertical="center"/>
    </xf>
    <xf numFmtId="0" fontId="82" fillId="9" borderId="98" xfId="0" applyFont="1" applyFill="1" applyBorder="1" applyAlignment="1">
      <alignment horizontal="center" vertical="center"/>
    </xf>
    <xf numFmtId="0" fontId="65" fillId="9" borderId="99" xfId="0" applyFont="1" applyFill="1" applyBorder="1" applyAlignment="1">
      <alignment horizontal="center" vertical="center"/>
    </xf>
    <xf numFmtId="178" fontId="65" fillId="9" borderId="98" xfId="0" applyNumberFormat="1" applyFont="1" applyFill="1" applyBorder="1" applyAlignment="1">
      <alignment horizontal="center" vertical="center"/>
    </xf>
    <xf numFmtId="0" fontId="82" fillId="16" borderId="10" xfId="0" applyFont="1" applyFill="1" applyBorder="1">
      <alignment vertical="center"/>
    </xf>
    <xf numFmtId="179" fontId="82" fillId="16" borderId="99" xfId="0" applyNumberFormat="1" applyFont="1" applyFill="1" applyBorder="1" applyAlignment="1">
      <alignment horizontal="center" vertical="center"/>
    </xf>
    <xf numFmtId="183" fontId="82" fillId="16" borderId="100" xfId="0" applyNumberFormat="1" applyFont="1" applyFill="1" applyBorder="1" applyAlignment="1">
      <alignment horizontal="center" vertical="center"/>
    </xf>
    <xf numFmtId="0" fontId="82" fillId="16" borderId="101" xfId="0" applyFont="1" applyFill="1" applyBorder="1" applyAlignment="1">
      <alignment horizontal="center" vertical="center"/>
    </xf>
    <xf numFmtId="0" fontId="82" fillId="49" borderId="101" xfId="0" applyFont="1" applyFill="1" applyBorder="1" applyAlignment="1">
      <alignment horizontal="center" vertical="center"/>
    </xf>
    <xf numFmtId="9" fontId="82" fillId="49" borderId="100" xfId="0" applyNumberFormat="1" applyFont="1" applyFill="1" applyBorder="1" applyAlignment="1">
      <alignment horizontal="center" vertical="center"/>
    </xf>
    <xf numFmtId="0" fontId="82" fillId="6" borderId="101" xfId="0" applyFont="1" applyFill="1" applyBorder="1" applyAlignment="1">
      <alignment horizontal="center" vertical="center"/>
    </xf>
    <xf numFmtId="9" fontId="82" fillId="6" borderId="100" xfId="0" applyNumberFormat="1" applyFont="1" applyFill="1" applyBorder="1" applyAlignment="1">
      <alignment horizontal="center" vertical="center"/>
    </xf>
    <xf numFmtId="178" fontId="82" fillId="9" borderId="101" xfId="0" applyNumberFormat="1" applyFont="1" applyFill="1" applyBorder="1" applyAlignment="1">
      <alignment horizontal="center" vertical="center"/>
    </xf>
    <xf numFmtId="179" fontId="82" fillId="9" borderId="99" xfId="0" applyNumberFormat="1" applyFont="1" applyFill="1" applyBorder="1" applyAlignment="1">
      <alignment horizontal="center" vertical="center"/>
    </xf>
    <xf numFmtId="10" fontId="82" fillId="9" borderId="98" xfId="0" applyNumberFormat="1" applyFont="1" applyFill="1" applyBorder="1" applyAlignment="1">
      <alignment horizontal="center" vertical="center"/>
    </xf>
    <xf numFmtId="0" fontId="82" fillId="9" borderId="102" xfId="0" applyFont="1" applyFill="1" applyBorder="1" applyAlignment="1">
      <alignment horizontal="center" vertical="center"/>
    </xf>
    <xf numFmtId="0" fontId="20" fillId="10" borderId="0" xfId="0" applyFont="1" applyFill="1">
      <alignment vertical="center"/>
    </xf>
    <xf numFmtId="0" fontId="36" fillId="0" borderId="0" xfId="0" applyFont="1" applyAlignment="1">
      <alignment horizontal="center" vertical="center"/>
    </xf>
    <xf numFmtId="183" fontId="84" fillId="4" borderId="19" xfId="0" applyNumberFormat="1" applyFont="1" applyFill="1" applyBorder="1" applyAlignment="1">
      <alignment horizontal="center" vertical="center"/>
    </xf>
    <xf numFmtId="9" fontId="84" fillId="4" borderId="19" xfId="0" applyNumberFormat="1" applyFont="1" applyFill="1" applyBorder="1" applyAlignment="1">
      <alignment horizontal="center" vertical="center"/>
    </xf>
    <xf numFmtId="9" fontId="84" fillId="4" borderId="14" xfId="0" applyNumberFormat="1" applyFont="1" applyFill="1" applyBorder="1" applyAlignment="1">
      <alignment horizontal="center" vertical="center"/>
    </xf>
    <xf numFmtId="179" fontId="81" fillId="4" borderId="24" xfId="0" applyNumberFormat="1" applyFont="1" applyFill="1" applyBorder="1" applyAlignment="1">
      <alignment horizontal="center" vertical="center"/>
    </xf>
    <xf numFmtId="179" fontId="81" fillId="4" borderId="12" xfId="0" applyNumberFormat="1" applyFont="1" applyFill="1" applyBorder="1" applyAlignment="1">
      <alignment horizontal="right" vertical="center"/>
    </xf>
    <xf numFmtId="183" fontId="81" fillId="4" borderId="50" xfId="14" applyNumberFormat="1" applyFont="1" applyFill="1" applyBorder="1" applyAlignment="1">
      <alignment horizontal="center" vertical="center"/>
    </xf>
    <xf numFmtId="179" fontId="81" fillId="4" borderId="50" xfId="0" applyNumberFormat="1" applyFont="1" applyFill="1" applyBorder="1" applyAlignment="1">
      <alignment horizontal="right" vertical="center"/>
    </xf>
    <xf numFmtId="183" fontId="82" fillId="4" borderId="53" xfId="0" applyNumberFormat="1" applyFont="1" applyFill="1" applyBorder="1" applyAlignment="1">
      <alignment horizontal="center" vertical="center"/>
    </xf>
    <xf numFmtId="0" fontId="81" fillId="4" borderId="12" xfId="0" applyFont="1" applyFill="1" applyBorder="1" applyAlignment="1">
      <alignment horizontal="center" vertical="center"/>
    </xf>
    <xf numFmtId="0" fontId="102" fillId="4" borderId="12" xfId="0" applyFont="1" applyFill="1" applyBorder="1" applyAlignment="1">
      <alignment horizontal="center" vertical="center"/>
    </xf>
    <xf numFmtId="182" fontId="81" fillId="4" borderId="12" xfId="0" applyNumberFormat="1" applyFont="1" applyFill="1" applyBorder="1" applyAlignment="1">
      <alignment horizontal="center" vertical="center"/>
    </xf>
    <xf numFmtId="0" fontId="81" fillId="4" borderId="93" xfId="0" applyFont="1" applyFill="1" applyBorder="1" applyAlignment="1">
      <alignment horizontal="center" vertical="center"/>
    </xf>
    <xf numFmtId="0" fontId="102" fillId="4" borderId="93" xfId="0" applyFont="1" applyFill="1" applyBorder="1" applyAlignment="1">
      <alignment horizontal="center" vertical="center"/>
    </xf>
    <xf numFmtId="0" fontId="102" fillId="9" borderId="54" xfId="0" applyFont="1" applyFill="1" applyBorder="1" applyAlignment="1">
      <alignment horizontal="right" vertical="center"/>
    </xf>
    <xf numFmtId="0" fontId="38" fillId="0" borderId="0" xfId="0" applyFont="1" applyAlignment="1">
      <alignment horizontal="center" vertical="center"/>
    </xf>
    <xf numFmtId="0" fontId="20" fillId="2" borderId="11" xfId="8" applyFont="1" applyFill="1" applyBorder="1" applyAlignment="1">
      <alignment horizontal="center" vertical="center"/>
    </xf>
    <xf numFmtId="0" fontId="37" fillId="2" borderId="0" xfId="8" applyFont="1" applyFill="1" applyAlignment="1">
      <alignment horizontal="center"/>
    </xf>
    <xf numFmtId="180" fontId="37" fillId="2" borderId="4" xfId="10" applyNumberFormat="1" applyFont="1" applyFill="1" applyBorder="1" applyAlignment="1">
      <alignment horizontal="center" vertical="center"/>
    </xf>
    <xf numFmtId="180" fontId="37" fillId="3" borderId="4" xfId="10" applyNumberFormat="1" applyFont="1" applyFill="1" applyBorder="1" applyAlignment="1">
      <alignment horizontal="center" vertical="center"/>
    </xf>
    <xf numFmtId="180" fontId="98" fillId="3" borderId="6" xfId="10" applyNumberFormat="1" applyFont="1" applyFill="1" applyBorder="1" applyAlignment="1">
      <alignment horizontal="center" vertical="center"/>
    </xf>
    <xf numFmtId="180" fontId="37" fillId="4" borderId="4" xfId="10" applyNumberFormat="1" applyFont="1" applyFill="1" applyBorder="1" applyAlignment="1">
      <alignment horizontal="center" vertical="center"/>
    </xf>
    <xf numFmtId="180" fontId="24" fillId="48" borderId="4" xfId="10" applyNumberFormat="1" applyFont="1" applyFill="1" applyBorder="1" applyAlignment="1">
      <alignment horizontal="center" vertical="center"/>
    </xf>
    <xf numFmtId="180" fontId="99" fillId="48" borderId="6" xfId="10" applyNumberFormat="1" applyFont="1" applyFill="1" applyBorder="1" applyAlignment="1">
      <alignment horizontal="center" vertical="center"/>
    </xf>
    <xf numFmtId="180" fontId="37" fillId="5" borderId="4" xfId="10" applyNumberFormat="1" applyFont="1" applyFill="1" applyBorder="1" applyAlignment="1">
      <alignment horizontal="center" vertical="center"/>
    </xf>
    <xf numFmtId="180" fontId="98" fillId="5" borderId="6" xfId="10" applyNumberFormat="1" applyFont="1" applyFill="1" applyBorder="1" applyAlignment="1">
      <alignment horizontal="center" vertical="center"/>
    </xf>
    <xf numFmtId="180" fontId="37" fillId="6" borderId="4" xfId="10" applyNumberFormat="1" applyFont="1" applyFill="1" applyBorder="1" applyAlignment="1">
      <alignment horizontal="center" vertical="center"/>
    </xf>
    <xf numFmtId="38" fontId="38" fillId="0" borderId="4" xfId="0" applyNumberFormat="1" applyFont="1" applyBorder="1" applyAlignment="1">
      <alignment horizontal="center" vertical="center"/>
    </xf>
    <xf numFmtId="38" fontId="38" fillId="5" borderId="4" xfId="0" applyNumberFormat="1" applyFont="1" applyFill="1" applyBorder="1" applyAlignment="1">
      <alignment horizontal="center" vertical="center"/>
    </xf>
    <xf numFmtId="38" fontId="39" fillId="5" borderId="6" xfId="0" applyNumberFormat="1" applyFont="1" applyFill="1" applyBorder="1" applyAlignment="1">
      <alignment horizontal="center" vertical="center"/>
    </xf>
    <xf numFmtId="38" fontId="39" fillId="5" borderId="7" xfId="0" applyNumberFormat="1" applyFont="1" applyFill="1" applyBorder="1" applyAlignment="1">
      <alignment horizontal="center" vertical="center"/>
    </xf>
    <xf numFmtId="38" fontId="37" fillId="3" borderId="4" xfId="10" applyNumberFormat="1" applyFont="1" applyFill="1" applyBorder="1" applyAlignment="1">
      <alignment horizontal="center" vertical="center"/>
    </xf>
    <xf numFmtId="38" fontId="98" fillId="3" borderId="6" xfId="10" applyNumberFormat="1" applyFont="1" applyFill="1" applyBorder="1" applyAlignment="1">
      <alignment horizontal="center" vertical="center"/>
    </xf>
    <xf numFmtId="180" fontId="37" fillId="3" borderId="4" xfId="0" applyNumberFormat="1" applyFont="1" applyFill="1" applyBorder="1" applyAlignment="1">
      <alignment horizontal="center" vertical="center"/>
    </xf>
    <xf numFmtId="180" fontId="98" fillId="3" borderId="6" xfId="0" applyNumberFormat="1" applyFont="1" applyFill="1" applyBorder="1" applyAlignment="1">
      <alignment horizontal="center" vertical="center"/>
    </xf>
    <xf numFmtId="180" fontId="37" fillId="6" borderId="4" xfId="0" applyNumberFormat="1" applyFont="1" applyFill="1" applyBorder="1" applyAlignment="1">
      <alignment horizontal="center" vertical="center"/>
    </xf>
    <xf numFmtId="180" fontId="98" fillId="6" borderId="6" xfId="0" applyNumberFormat="1" applyFont="1" applyFill="1" applyBorder="1" applyAlignment="1">
      <alignment horizontal="center" vertical="center"/>
    </xf>
    <xf numFmtId="180" fontId="24" fillId="48" borderId="4" xfId="0" applyNumberFormat="1" applyFont="1" applyFill="1" applyBorder="1" applyAlignment="1">
      <alignment horizontal="center" vertical="center"/>
    </xf>
    <xf numFmtId="180" fontId="99" fillId="48" borderId="6" xfId="0" applyNumberFormat="1" applyFont="1" applyFill="1" applyBorder="1" applyAlignment="1">
      <alignment horizontal="center" vertical="center"/>
    </xf>
    <xf numFmtId="38" fontId="37" fillId="2" borderId="4" xfId="10" applyNumberFormat="1" applyFont="1" applyFill="1" applyBorder="1" applyAlignment="1">
      <alignment horizontal="center" vertical="center"/>
    </xf>
    <xf numFmtId="38" fontId="38" fillId="6" borderId="4" xfId="0" applyNumberFormat="1" applyFont="1" applyFill="1" applyBorder="1" applyAlignment="1">
      <alignment horizontal="center" vertical="center"/>
    </xf>
    <xf numFmtId="38" fontId="36" fillId="0" borderId="0" xfId="0" applyNumberFormat="1" applyFont="1" applyAlignment="1">
      <alignment horizontal="center" vertical="center"/>
    </xf>
    <xf numFmtId="38" fontId="39" fillId="0" borderId="0" xfId="0" applyNumberFormat="1" applyFont="1" applyAlignment="1">
      <alignment horizontal="center" vertical="center"/>
    </xf>
    <xf numFmtId="182" fontId="81" fillId="4" borderId="93" xfId="0" applyNumberFormat="1" applyFont="1" applyFill="1" applyBorder="1" applyAlignment="1">
      <alignment horizontal="center" vertical="center"/>
    </xf>
    <xf numFmtId="179" fontId="81" fillId="4" borderId="94" xfId="0" applyNumberFormat="1" applyFont="1" applyFill="1" applyBorder="1" applyAlignment="1">
      <alignment horizontal="center" vertical="center"/>
    </xf>
    <xf numFmtId="179" fontId="81" fillId="4" borderId="93" xfId="0" applyNumberFormat="1" applyFont="1" applyFill="1" applyBorder="1" applyAlignment="1">
      <alignment horizontal="right" vertical="center"/>
    </xf>
    <xf numFmtId="183" fontId="81" fillId="4" borderId="89" xfId="14" applyNumberFormat="1" applyFont="1" applyFill="1" applyBorder="1" applyAlignment="1">
      <alignment horizontal="center" vertical="center"/>
    </xf>
    <xf numFmtId="179" fontId="81" fillId="4" borderId="89" xfId="0" applyNumberFormat="1" applyFont="1" applyFill="1" applyBorder="1" applyAlignment="1">
      <alignment horizontal="right" vertical="center"/>
    </xf>
    <xf numFmtId="183" fontId="82" fillId="4" borderId="106" xfId="0" applyNumberFormat="1" applyFont="1" applyFill="1" applyBorder="1" applyAlignment="1">
      <alignment horizontal="center" vertical="center"/>
    </xf>
    <xf numFmtId="179" fontId="81" fillId="4" borderId="86" xfId="0" applyNumberFormat="1" applyFont="1" applyFill="1" applyBorder="1" applyAlignment="1">
      <alignment horizontal="center" vertical="center"/>
    </xf>
    <xf numFmtId="9" fontId="82" fillId="4" borderId="106" xfId="0" applyNumberFormat="1" applyFont="1" applyFill="1" applyBorder="1" applyAlignment="1">
      <alignment horizontal="center" vertical="center"/>
    </xf>
    <xf numFmtId="0" fontId="81" fillId="4" borderId="106" xfId="9" applyFont="1" applyFill="1" applyBorder="1" applyAlignment="1">
      <alignment horizontal="center" vertical="center"/>
    </xf>
    <xf numFmtId="0" fontId="35" fillId="49" borderId="26" xfId="0" applyFont="1" applyFill="1" applyBorder="1" applyAlignment="1">
      <alignment horizontal="center" vertical="center" wrapText="1"/>
    </xf>
    <xf numFmtId="0" fontId="35" fillId="49" borderId="75" xfId="0" applyFont="1" applyFill="1" applyBorder="1" applyAlignment="1">
      <alignment horizontal="center" vertical="center" wrapText="1"/>
    </xf>
    <xf numFmtId="179" fontId="81" fillId="4" borderId="61" xfId="0" applyNumberFormat="1" applyFont="1" applyFill="1" applyBorder="1" applyAlignment="1">
      <alignment horizontal="center" vertical="center"/>
    </xf>
    <xf numFmtId="9" fontId="82" fillId="4" borderId="17" xfId="0" applyNumberFormat="1" applyFont="1" applyFill="1" applyBorder="1" applyAlignment="1">
      <alignment horizontal="center" vertical="center"/>
    </xf>
    <xf numFmtId="0" fontId="109" fillId="13" borderId="1" xfId="8" applyFont="1" applyFill="1" applyBorder="1" applyAlignment="1">
      <alignment horizontal="center" vertical="center"/>
    </xf>
    <xf numFmtId="0" fontId="109" fillId="13" borderId="4" xfId="8" applyFont="1" applyFill="1" applyBorder="1" applyAlignment="1">
      <alignment horizontal="center" vertical="center"/>
    </xf>
    <xf numFmtId="0" fontId="110" fillId="13" borderId="5" xfId="0" applyFont="1" applyFill="1" applyBorder="1" applyAlignment="1">
      <alignment horizontal="center" vertical="center"/>
    </xf>
    <xf numFmtId="38" fontId="62" fillId="48" borderId="6" xfId="0" applyNumberFormat="1" applyFont="1" applyFill="1" applyBorder="1" applyAlignment="1">
      <alignment horizontal="right" vertical="center"/>
    </xf>
    <xf numFmtId="180" fontId="12" fillId="48" borderId="112" xfId="0" applyNumberFormat="1" applyFont="1" applyFill="1" applyBorder="1" applyAlignment="1">
      <alignment horizontal="center" vertical="center"/>
    </xf>
    <xf numFmtId="180" fontId="12" fillId="48" borderId="38" xfId="0" applyNumberFormat="1" applyFont="1" applyFill="1" applyBorder="1" applyAlignment="1">
      <alignment horizontal="center" vertical="center"/>
    </xf>
    <xf numFmtId="180" fontId="24" fillId="48" borderId="104" xfId="0" applyNumberFormat="1" applyFont="1" applyFill="1" applyBorder="1" applyAlignment="1">
      <alignment horizontal="center" vertical="center"/>
    </xf>
    <xf numFmtId="180" fontId="99" fillId="48" borderId="38" xfId="0" applyNumberFormat="1" applyFont="1" applyFill="1" applyBorder="1" applyAlignment="1">
      <alignment horizontal="center" vertical="center"/>
    </xf>
    <xf numFmtId="0" fontId="115" fillId="0" borderId="0" xfId="0" applyFont="1">
      <alignment vertical="center"/>
    </xf>
    <xf numFmtId="38" fontId="116" fillId="0" borderId="0" xfId="0" applyNumberFormat="1" applyFont="1" applyAlignment="1">
      <alignment horizontal="center" vertical="center"/>
    </xf>
    <xf numFmtId="38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34" fillId="0" borderId="0" xfId="0" applyFont="1">
      <alignment vertical="center"/>
    </xf>
    <xf numFmtId="0" fontId="119" fillId="0" borderId="0" xfId="0" applyFont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38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21" fillId="0" borderId="0" xfId="0" applyFont="1" applyAlignment="1">
      <alignment horizontal="center" vertical="center"/>
    </xf>
    <xf numFmtId="9" fontId="115" fillId="0" borderId="0" xfId="0" applyNumberFormat="1" applyFont="1">
      <alignment vertical="center"/>
    </xf>
    <xf numFmtId="0" fontId="123" fillId="0" borderId="0" xfId="0" applyFont="1">
      <alignment vertical="center"/>
    </xf>
    <xf numFmtId="10" fontId="124" fillId="0" borderId="0" xfId="0" applyNumberFormat="1" applyFont="1">
      <alignment vertical="center"/>
    </xf>
    <xf numFmtId="0" fontId="131" fillId="12" borderId="0" xfId="9" applyFont="1" applyFill="1" applyAlignment="1">
      <alignment horizontal="center" vertical="center"/>
    </xf>
    <xf numFmtId="0" fontId="34" fillId="4" borderId="0" xfId="0" applyFont="1" applyFill="1">
      <alignment vertical="center"/>
    </xf>
    <xf numFmtId="0" fontId="130" fillId="4" borderId="0" xfId="0" applyFont="1" applyFill="1" applyAlignment="1">
      <alignment horizontal="center" vertical="center"/>
    </xf>
    <xf numFmtId="0" fontId="132" fillId="4" borderId="0" xfId="0" applyFont="1" applyFill="1" applyAlignment="1">
      <alignment horizontal="center" vertical="center"/>
    </xf>
    <xf numFmtId="0" fontId="128" fillId="4" borderId="0" xfId="0" applyFont="1" applyFill="1" applyAlignment="1">
      <alignment horizontal="center" vertical="center"/>
    </xf>
    <xf numFmtId="38" fontId="126" fillId="0" borderId="0" xfId="0" applyNumberFormat="1" applyFont="1">
      <alignment vertical="center"/>
    </xf>
    <xf numFmtId="0" fontId="129" fillId="6" borderId="73" xfId="0" applyFont="1" applyFill="1" applyBorder="1" applyAlignment="1">
      <alignment horizontal="center" vertical="center"/>
    </xf>
    <xf numFmtId="179" fontId="129" fillId="9" borderId="72" xfId="0" applyNumberFormat="1" applyFont="1" applyFill="1" applyBorder="1" applyAlignment="1">
      <alignment horizontal="center" vertical="center"/>
    </xf>
    <xf numFmtId="10" fontId="129" fillId="9" borderId="9" xfId="0" applyNumberFormat="1" applyFont="1" applyFill="1" applyBorder="1" applyAlignment="1">
      <alignment horizontal="center" vertical="center"/>
    </xf>
    <xf numFmtId="0" fontId="129" fillId="9" borderId="49" xfId="0" applyFont="1" applyFill="1" applyBorder="1" applyAlignment="1">
      <alignment horizontal="center" vertical="center"/>
    </xf>
    <xf numFmtId="0" fontId="133" fillId="0" borderId="0" xfId="0" applyFont="1">
      <alignment vertical="center"/>
    </xf>
    <xf numFmtId="38" fontId="133" fillId="0" borderId="0" xfId="0" applyNumberFormat="1" applyFont="1">
      <alignment vertical="center"/>
    </xf>
    <xf numFmtId="0" fontId="34" fillId="6" borderId="0" xfId="0" applyFont="1" applyFill="1" applyAlignment="1">
      <alignment horizontal="center" vertical="center"/>
    </xf>
    <xf numFmtId="0" fontId="134" fillId="0" borderId="0" xfId="0" applyFont="1">
      <alignment vertical="center"/>
    </xf>
    <xf numFmtId="0" fontId="134" fillId="4" borderId="0" xfId="0" applyFont="1" applyFill="1">
      <alignment vertical="center"/>
    </xf>
    <xf numFmtId="183" fontId="134" fillId="0" borderId="0" xfId="0" applyNumberFormat="1" applyFont="1">
      <alignment vertical="center"/>
    </xf>
    <xf numFmtId="0" fontId="136" fillId="0" borderId="0" xfId="0" applyFont="1">
      <alignment vertical="center"/>
    </xf>
    <xf numFmtId="0" fontId="136" fillId="6" borderId="0" xfId="0" applyFont="1" applyFill="1">
      <alignment vertical="center"/>
    </xf>
    <xf numFmtId="183" fontId="136" fillId="0" borderId="0" xfId="0" applyNumberFormat="1" applyFont="1">
      <alignment vertical="center"/>
    </xf>
    <xf numFmtId="0" fontId="136" fillId="0" borderId="0" xfId="0" applyFont="1" applyAlignment="1">
      <alignment horizontal="center" vertical="center"/>
    </xf>
    <xf numFmtId="183" fontId="136" fillId="0" borderId="0" xfId="0" applyNumberFormat="1" applyFont="1" applyAlignment="1">
      <alignment horizontal="center" vertical="center"/>
    </xf>
    <xf numFmtId="0" fontId="136" fillId="4" borderId="0" xfId="0" applyFont="1" applyFill="1">
      <alignment vertical="center"/>
    </xf>
    <xf numFmtId="0" fontId="136" fillId="9" borderId="0" xfId="0" applyFont="1" applyFill="1">
      <alignment vertical="center"/>
    </xf>
    <xf numFmtId="0" fontId="139" fillId="4" borderId="0" xfId="0" applyFont="1" applyFill="1">
      <alignment vertical="center"/>
    </xf>
    <xf numFmtId="0" fontId="138" fillId="0" borderId="0" xfId="0" applyFont="1">
      <alignment vertical="center"/>
    </xf>
    <xf numFmtId="0" fontId="138" fillId="4" borderId="0" xfId="0" applyFont="1" applyFill="1">
      <alignment vertical="center"/>
    </xf>
    <xf numFmtId="0" fontId="140" fillId="0" borderId="0" xfId="0" applyFont="1">
      <alignment vertical="center"/>
    </xf>
    <xf numFmtId="0" fontId="140" fillId="4" borderId="0" xfId="0" applyFont="1" applyFill="1">
      <alignment vertical="center"/>
    </xf>
    <xf numFmtId="0" fontId="141" fillId="4" borderId="0" xfId="0" applyFont="1" applyFill="1">
      <alignment vertical="center"/>
    </xf>
    <xf numFmtId="0" fontId="133" fillId="9" borderId="8" xfId="0" applyFont="1" applyFill="1" applyBorder="1">
      <alignment vertical="center"/>
    </xf>
    <xf numFmtId="10" fontId="108" fillId="0" borderId="0" xfId="0" applyNumberFormat="1" applyFont="1">
      <alignment vertical="center"/>
    </xf>
    <xf numFmtId="0" fontId="36" fillId="0" borderId="0" xfId="0" applyFont="1" applyAlignment="1">
      <alignment horizontal="left" vertical="center"/>
    </xf>
    <xf numFmtId="0" fontId="34" fillId="9" borderId="92" xfId="0" applyFont="1" applyFill="1" applyBorder="1">
      <alignment vertical="center"/>
    </xf>
    <xf numFmtId="10" fontId="129" fillId="9" borderId="90" xfId="0" applyNumberFormat="1" applyFont="1" applyFill="1" applyBorder="1" applyAlignment="1">
      <alignment horizontal="center" vertical="center"/>
    </xf>
    <xf numFmtId="0" fontId="110" fillId="13" borderId="6" xfId="0" applyFont="1" applyFill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5" borderId="6" xfId="0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/>
    </xf>
    <xf numFmtId="0" fontId="39" fillId="4" borderId="6" xfId="0" applyFont="1" applyFill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80" fontId="98" fillId="3" borderId="7" xfId="10" applyNumberFormat="1" applyFont="1" applyFill="1" applyBorder="1" applyAlignment="1">
      <alignment horizontal="center" vertical="center"/>
    </xf>
    <xf numFmtId="180" fontId="99" fillId="48" borderId="7" xfId="10" applyNumberFormat="1" applyFont="1" applyFill="1" applyBorder="1" applyAlignment="1">
      <alignment horizontal="center" vertical="center"/>
    </xf>
    <xf numFmtId="180" fontId="98" fillId="5" borderId="7" xfId="10" applyNumberFormat="1" applyFont="1" applyFill="1" applyBorder="1" applyAlignment="1">
      <alignment horizontal="center" vertical="center"/>
    </xf>
    <xf numFmtId="0" fontId="39" fillId="5" borderId="7" xfId="0" applyFont="1" applyFill="1" applyBorder="1" applyAlignment="1">
      <alignment horizontal="center" vertical="center"/>
    </xf>
    <xf numFmtId="0" fontId="39" fillId="6" borderId="7" xfId="0" applyFont="1" applyFill="1" applyBorder="1" applyAlignment="1">
      <alignment horizontal="center" vertical="center"/>
    </xf>
    <xf numFmtId="0" fontId="39" fillId="4" borderId="7" xfId="0" applyFont="1" applyFill="1" applyBorder="1" applyAlignment="1">
      <alignment horizontal="center" vertical="center"/>
    </xf>
    <xf numFmtId="38" fontId="98" fillId="3" borderId="7" xfId="10" applyNumberFormat="1" applyFont="1" applyFill="1" applyBorder="1" applyAlignment="1">
      <alignment horizontal="center" vertical="center"/>
    </xf>
    <xf numFmtId="180" fontId="98" fillId="3" borderId="7" xfId="0" applyNumberFormat="1" applyFont="1" applyFill="1" applyBorder="1" applyAlignment="1">
      <alignment horizontal="center" vertical="center"/>
    </xf>
    <xf numFmtId="180" fontId="98" fillId="6" borderId="7" xfId="0" applyNumberFormat="1" applyFont="1" applyFill="1" applyBorder="1" applyAlignment="1">
      <alignment horizontal="center" vertical="center"/>
    </xf>
    <xf numFmtId="180" fontId="99" fillId="48" borderId="7" xfId="0" applyNumberFormat="1" applyFont="1" applyFill="1" applyBorder="1" applyAlignment="1">
      <alignment horizontal="center" vertical="center"/>
    </xf>
    <xf numFmtId="38" fontId="62" fillId="48" borderId="7" xfId="0" applyNumberFormat="1" applyFont="1" applyFill="1" applyBorder="1" applyAlignment="1">
      <alignment horizontal="right" vertical="center"/>
    </xf>
    <xf numFmtId="38" fontId="25" fillId="48" borderId="7" xfId="0" applyNumberFormat="1" applyFont="1" applyFill="1" applyBorder="1" applyAlignment="1">
      <alignment horizontal="right" vertical="center"/>
    </xf>
    <xf numFmtId="0" fontId="0" fillId="0" borderId="0" xfId="0" pivotButton="1">
      <alignment vertical="center"/>
    </xf>
    <xf numFmtId="180" fontId="98" fillId="4" borderId="6" xfId="1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46" fillId="2" borderId="0" xfId="8" applyFont="1" applyFill="1" applyAlignment="1">
      <alignment horizontal="center"/>
    </xf>
    <xf numFmtId="0" fontId="148" fillId="0" borderId="7" xfId="0" applyFont="1" applyBorder="1" applyAlignment="1">
      <alignment horizontal="center" vertical="center"/>
    </xf>
    <xf numFmtId="180" fontId="149" fillId="3" borderId="7" xfId="10" applyNumberFormat="1" applyFont="1" applyFill="1" applyBorder="1" applyAlignment="1">
      <alignment horizontal="center" vertical="center"/>
    </xf>
    <xf numFmtId="180" fontId="150" fillId="48" borderId="7" xfId="10" applyNumberFormat="1" applyFont="1" applyFill="1" applyBorder="1" applyAlignment="1">
      <alignment horizontal="center" vertical="center"/>
    </xf>
    <xf numFmtId="180" fontId="149" fillId="5" borderId="7" xfId="10" applyNumberFormat="1" applyFont="1" applyFill="1" applyBorder="1" applyAlignment="1">
      <alignment horizontal="center" vertical="center"/>
    </xf>
    <xf numFmtId="0" fontId="148" fillId="5" borderId="7" xfId="0" applyFont="1" applyFill="1" applyBorder="1" applyAlignment="1">
      <alignment horizontal="center" vertical="center"/>
    </xf>
    <xf numFmtId="0" fontId="148" fillId="12" borderId="7" xfId="0" applyFont="1" applyFill="1" applyBorder="1" applyAlignment="1">
      <alignment horizontal="center" vertical="center"/>
    </xf>
    <xf numFmtId="0" fontId="148" fillId="4" borderId="7" xfId="0" applyFont="1" applyFill="1" applyBorder="1" applyAlignment="1">
      <alignment horizontal="center" vertical="center"/>
    </xf>
    <xf numFmtId="180" fontId="149" fillId="4" borderId="7" xfId="10" applyNumberFormat="1" applyFont="1" applyFill="1" applyBorder="1" applyAlignment="1">
      <alignment horizontal="center" vertical="center"/>
    </xf>
    <xf numFmtId="38" fontId="148" fillId="5" borderId="7" xfId="0" applyNumberFormat="1" applyFont="1" applyFill="1" applyBorder="1" applyAlignment="1">
      <alignment horizontal="center" vertical="center"/>
    </xf>
    <xf numFmtId="0" fontId="148" fillId="6" borderId="7" xfId="0" applyFont="1" applyFill="1" applyBorder="1" applyAlignment="1">
      <alignment horizontal="center" vertical="center"/>
    </xf>
    <xf numFmtId="38" fontId="149" fillId="3" borderId="7" xfId="10" applyNumberFormat="1" applyFont="1" applyFill="1" applyBorder="1" applyAlignment="1">
      <alignment horizontal="center" vertical="center"/>
    </xf>
    <xf numFmtId="180" fontId="149" fillId="3" borderId="7" xfId="0" applyNumberFormat="1" applyFont="1" applyFill="1" applyBorder="1" applyAlignment="1">
      <alignment horizontal="center" vertical="center"/>
    </xf>
    <xf numFmtId="180" fontId="149" fillId="6" borderId="7" xfId="0" applyNumberFormat="1" applyFont="1" applyFill="1" applyBorder="1" applyAlignment="1">
      <alignment horizontal="center" vertical="center"/>
    </xf>
    <xf numFmtId="180" fontId="150" fillId="48" borderId="7" xfId="0" applyNumberFormat="1" applyFont="1" applyFill="1" applyBorder="1" applyAlignment="1">
      <alignment horizontal="center" vertical="center"/>
    </xf>
    <xf numFmtId="38" fontId="88" fillId="48" borderId="7" xfId="0" applyNumberFormat="1" applyFont="1" applyFill="1" applyBorder="1" applyAlignment="1">
      <alignment horizontal="right" vertical="center"/>
    </xf>
    <xf numFmtId="38" fontId="148" fillId="0" borderId="0" xfId="0" applyNumberFormat="1" applyFont="1" applyAlignment="1">
      <alignment horizontal="center" vertical="center"/>
    </xf>
    <xf numFmtId="0" fontId="14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9" fontId="128" fillId="4" borderId="109" xfId="0" applyNumberFormat="1" applyFont="1" applyFill="1" applyBorder="1" applyAlignment="1">
      <alignment horizontal="right" vertical="center"/>
    </xf>
    <xf numFmtId="179" fontId="128" fillId="4" borderId="119" xfId="0" applyNumberFormat="1" applyFont="1" applyFill="1" applyBorder="1" applyAlignment="1">
      <alignment horizontal="right" vertical="center"/>
    </xf>
    <xf numFmtId="0" fontId="128" fillId="4" borderId="110" xfId="0" applyFont="1" applyFill="1" applyBorder="1" applyAlignment="1">
      <alignment horizontal="right" vertical="center"/>
    </xf>
    <xf numFmtId="0" fontId="128" fillId="4" borderId="0" xfId="0" applyFont="1" applyFill="1" applyAlignment="1">
      <alignment horizontal="right" vertical="center"/>
    </xf>
    <xf numFmtId="183" fontId="129" fillId="4" borderId="25" xfId="0" applyNumberFormat="1" applyFont="1" applyFill="1" applyBorder="1" applyAlignment="1">
      <alignment horizontal="center" vertical="center"/>
    </xf>
    <xf numFmtId="183" fontId="129" fillId="4" borderId="0" xfId="0" applyNumberFormat="1" applyFont="1" applyFill="1" applyAlignment="1">
      <alignment horizontal="center" vertical="center"/>
    </xf>
    <xf numFmtId="183" fontId="129" fillId="4" borderId="111" xfId="0" applyNumberFormat="1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53" borderId="7" xfId="0" applyFill="1" applyBorder="1" applyAlignment="1">
      <alignment horizontal="center" vertical="center"/>
    </xf>
    <xf numFmtId="0" fontId="0" fillId="51" borderId="121" xfId="0" applyFill="1" applyBorder="1" applyAlignment="1">
      <alignment horizontal="center" vertical="center"/>
    </xf>
    <xf numFmtId="0" fontId="0" fillId="51" borderId="122" xfId="0" applyFill="1" applyBorder="1" applyAlignment="1">
      <alignment horizontal="center" vertical="center"/>
    </xf>
    <xf numFmtId="0" fontId="0" fillId="51" borderId="123" xfId="0" applyFill="1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0" fillId="8" borderId="125" xfId="0" applyFill="1" applyBorder="1" applyAlignment="1">
      <alignment horizontal="center" vertical="center"/>
    </xf>
    <xf numFmtId="0" fontId="0" fillId="9" borderId="125" xfId="0" applyFill="1" applyBorder="1" applyAlignment="1">
      <alignment horizontal="center" vertical="center"/>
    </xf>
    <xf numFmtId="0" fontId="0" fillId="53" borderId="125" xfId="0" applyFill="1" applyBorder="1" applyAlignment="1">
      <alignment horizontal="center" vertical="center"/>
    </xf>
    <xf numFmtId="0" fontId="0" fillId="0" borderId="126" xfId="0" applyBorder="1" applyAlignment="1">
      <alignment horizontal="center" vertical="center"/>
    </xf>
    <xf numFmtId="0" fontId="0" fillId="51" borderId="127" xfId="0" applyFill="1" applyBorder="1" applyAlignment="1">
      <alignment horizontal="center" vertical="center"/>
    </xf>
    <xf numFmtId="38" fontId="119" fillId="0" borderId="0" xfId="0" applyNumberFormat="1" applyFont="1" applyAlignment="1">
      <alignment horizontal="center" vertical="center"/>
    </xf>
    <xf numFmtId="178" fontId="154" fillId="4" borderId="27" xfId="0" applyNumberFormat="1" applyFont="1" applyFill="1" applyBorder="1" applyAlignment="1">
      <alignment horizontal="center" vertical="center"/>
    </xf>
    <xf numFmtId="182" fontId="122" fillId="4" borderId="28" xfId="0" applyNumberFormat="1" applyFont="1" applyFill="1" applyBorder="1" applyAlignment="1">
      <alignment horizontal="center" vertical="center"/>
    </xf>
    <xf numFmtId="179" fontId="122" fillId="4" borderId="33" xfId="0" applyNumberFormat="1" applyFont="1" applyFill="1" applyBorder="1" applyAlignment="1">
      <alignment horizontal="right" vertical="center"/>
    </xf>
    <xf numFmtId="179" fontId="122" fillId="4" borderId="28" xfId="0" applyNumberFormat="1" applyFont="1" applyFill="1" applyBorder="1" applyAlignment="1">
      <alignment horizontal="right" vertical="center"/>
    </xf>
    <xf numFmtId="9" fontId="154" fillId="4" borderId="14" xfId="0" applyNumberFormat="1" applyFont="1" applyFill="1" applyBorder="1" applyAlignment="1">
      <alignment horizontal="center" vertical="center"/>
    </xf>
    <xf numFmtId="9" fontId="154" fillId="4" borderId="25" xfId="0" applyNumberFormat="1" applyFont="1" applyFill="1" applyBorder="1" applyAlignment="1">
      <alignment horizontal="center" vertical="center"/>
    </xf>
    <xf numFmtId="179" fontId="122" fillId="4" borderId="18" xfId="0" applyNumberFormat="1" applyFont="1" applyFill="1" applyBorder="1" applyAlignment="1">
      <alignment horizontal="center" vertical="center"/>
    </xf>
    <xf numFmtId="9" fontId="154" fillId="4" borderId="19" xfId="0" applyNumberFormat="1" applyFont="1" applyFill="1" applyBorder="1" applyAlignment="1">
      <alignment horizontal="center" vertical="center"/>
    </xf>
    <xf numFmtId="0" fontId="122" fillId="4" borderId="19" xfId="9" applyFont="1" applyFill="1" applyBorder="1" applyAlignment="1">
      <alignment horizontal="center" vertical="center"/>
    </xf>
    <xf numFmtId="38" fontId="155" fillId="4" borderId="29" xfId="0" applyNumberFormat="1" applyFont="1" applyFill="1" applyBorder="1" applyAlignment="1">
      <alignment horizontal="right" vertical="center"/>
    </xf>
    <xf numFmtId="10" fontId="154" fillId="4" borderId="29" xfId="0" applyNumberFormat="1" applyFont="1" applyFill="1" applyBorder="1" applyAlignment="1">
      <alignment horizontal="center" vertical="center"/>
    </xf>
    <xf numFmtId="0" fontId="155" fillId="0" borderId="0" xfId="0" applyFont="1">
      <alignment vertical="center"/>
    </xf>
    <xf numFmtId="0" fontId="157" fillId="0" borderId="11" xfId="0" applyFont="1" applyBorder="1">
      <alignment vertical="center"/>
    </xf>
    <xf numFmtId="0" fontId="157" fillId="0" borderId="11" xfId="0" applyFont="1" applyBorder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58" fillId="2" borderId="0" xfId="0" applyFont="1" applyFill="1">
      <alignment vertical="center"/>
    </xf>
    <xf numFmtId="0" fontId="157" fillId="2" borderId="11" xfId="0" applyFont="1" applyFill="1" applyBorder="1">
      <alignment vertical="center"/>
    </xf>
    <xf numFmtId="0" fontId="157" fillId="2" borderId="11" xfId="0" applyFont="1" applyFill="1" applyBorder="1" applyAlignment="1">
      <alignment horizontal="center" vertical="center"/>
    </xf>
    <xf numFmtId="0" fontId="158" fillId="2" borderId="0" xfId="0" applyFont="1" applyFill="1" applyAlignment="1">
      <alignment horizontal="left" vertical="center"/>
    </xf>
    <xf numFmtId="0" fontId="159" fillId="0" borderId="0" xfId="0" applyFont="1" applyAlignment="1">
      <alignment horizontal="center" vertical="center"/>
    </xf>
    <xf numFmtId="38" fontId="159" fillId="0" borderId="0" xfId="0" applyNumberFormat="1" applyFont="1" applyAlignment="1">
      <alignment horizontal="center" vertical="center"/>
    </xf>
    <xf numFmtId="0" fontId="160" fillId="0" borderId="0" xfId="0" applyFont="1" applyAlignment="1">
      <alignment horizontal="left" vertical="center"/>
    </xf>
    <xf numFmtId="0" fontId="159" fillId="4" borderId="0" xfId="0" applyFont="1" applyFill="1" applyAlignment="1">
      <alignment horizontal="left" vertical="center"/>
    </xf>
    <xf numFmtId="0" fontId="158" fillId="0" borderId="0" xfId="0" applyFont="1" applyAlignment="1">
      <alignment horizontal="center" vertical="center"/>
    </xf>
    <xf numFmtId="0" fontId="122" fillId="0" borderId="0" xfId="0" applyFont="1">
      <alignment vertical="center"/>
    </xf>
    <xf numFmtId="38" fontId="155" fillId="0" borderId="0" xfId="0" applyNumberFormat="1" applyFont="1" applyAlignment="1">
      <alignment horizontal="center" vertical="center"/>
    </xf>
    <xf numFmtId="0" fontId="155" fillId="0" borderId="0" xfId="0" applyFont="1" applyAlignment="1">
      <alignment horizontal="center" vertical="center"/>
    </xf>
    <xf numFmtId="183" fontId="154" fillId="4" borderId="28" xfId="0" applyNumberFormat="1" applyFont="1" applyFill="1" applyBorder="1" applyAlignment="1">
      <alignment horizontal="center" vertical="center"/>
    </xf>
    <xf numFmtId="179" fontId="122" fillId="4" borderId="132" xfId="0" applyNumberFormat="1" applyFont="1" applyFill="1" applyBorder="1" applyAlignment="1">
      <alignment horizontal="center" vertical="center"/>
    </xf>
    <xf numFmtId="179" fontId="122" fillId="4" borderId="144" xfId="0" applyNumberFormat="1" applyFont="1" applyFill="1" applyBorder="1" applyAlignment="1">
      <alignment horizontal="center" vertical="center"/>
    </xf>
    <xf numFmtId="183" fontId="122" fillId="4" borderId="145" xfId="14" applyNumberFormat="1" applyFont="1" applyFill="1" applyBorder="1" applyAlignment="1">
      <alignment horizontal="center" vertical="center"/>
    </xf>
    <xf numFmtId="38" fontId="154" fillId="4" borderId="154" xfId="0" applyNumberFormat="1" applyFont="1" applyFill="1" applyBorder="1" applyAlignment="1">
      <alignment horizontal="right" vertical="center"/>
    </xf>
    <xf numFmtId="178" fontId="122" fillId="4" borderId="151" xfId="0" applyNumberFormat="1" applyFont="1" applyFill="1" applyBorder="1" applyAlignment="1">
      <alignment horizontal="right" vertical="center"/>
    </xf>
    <xf numFmtId="0" fontId="16" fillId="6" borderId="0" xfId="0" applyFont="1" applyFill="1" applyAlignment="1">
      <alignment horizontal="center" vertical="center"/>
    </xf>
    <xf numFmtId="38" fontId="123" fillId="0" borderId="0" xfId="0" applyNumberFormat="1" applyFont="1">
      <alignment vertical="center"/>
    </xf>
    <xf numFmtId="38" fontId="123" fillId="0" borderId="0" xfId="0" applyNumberFormat="1" applyFont="1" applyAlignment="1">
      <alignment horizontal="center" vertical="center"/>
    </xf>
    <xf numFmtId="38" fontId="161" fillId="0" borderId="0" xfId="0" applyNumberFormat="1" applyFont="1" applyAlignment="1">
      <alignment horizontal="center" vertical="center"/>
    </xf>
    <xf numFmtId="0" fontId="7" fillId="4" borderId="7" xfId="0" applyFont="1" applyFill="1" applyBorder="1" applyAlignment="1">
      <alignment horizontal="left" vertical="center"/>
    </xf>
    <xf numFmtId="38" fontId="39" fillId="6" borderId="6" xfId="0" applyNumberFormat="1" applyFont="1" applyFill="1" applyBorder="1" applyAlignment="1">
      <alignment horizontal="center" vertical="center"/>
    </xf>
    <xf numFmtId="38" fontId="39" fillId="6" borderId="7" xfId="0" applyNumberFormat="1" applyFont="1" applyFill="1" applyBorder="1" applyAlignment="1">
      <alignment horizontal="center" vertical="center"/>
    </xf>
    <xf numFmtId="38" fontId="148" fillId="6" borderId="7" xfId="0" applyNumberFormat="1" applyFont="1" applyFill="1" applyBorder="1" applyAlignment="1">
      <alignment horizontal="center" vertical="center"/>
    </xf>
    <xf numFmtId="0" fontId="117" fillId="4" borderId="0" xfId="0" applyFont="1" applyFill="1" applyAlignment="1">
      <alignment horizontal="left" vertical="center"/>
    </xf>
    <xf numFmtId="0" fontId="118" fillId="4" borderId="0" xfId="0" applyFont="1" applyFill="1" applyAlignment="1">
      <alignment horizontal="center" vertical="center"/>
    </xf>
    <xf numFmtId="0" fontId="118" fillId="4" borderId="0" xfId="0" applyFont="1" applyFill="1">
      <alignment vertical="center"/>
    </xf>
    <xf numFmtId="0" fontId="119" fillId="4" borderId="0" xfId="0" applyFont="1" applyFill="1" applyAlignment="1">
      <alignment horizontal="center" vertical="center"/>
    </xf>
    <xf numFmtId="38" fontId="119" fillId="4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15" fillId="4" borderId="0" xfId="0" applyFont="1" applyFill="1">
      <alignment vertical="center"/>
    </xf>
    <xf numFmtId="38" fontId="34" fillId="4" borderId="0" xfId="0" applyNumberFormat="1" applyFont="1" applyFill="1" applyAlignment="1">
      <alignment horizontal="center" vertical="center"/>
    </xf>
    <xf numFmtId="0" fontId="120" fillId="4" borderId="0" xfId="0" applyFont="1" applyFill="1">
      <alignment vertical="center"/>
    </xf>
    <xf numFmtId="183" fontId="154" fillId="4" borderId="19" xfId="0" applyNumberFormat="1" applyFont="1" applyFill="1" applyBorder="1" applyAlignment="1">
      <alignment horizontal="right" vertical="center"/>
    </xf>
    <xf numFmtId="38" fontId="129" fillId="4" borderId="164" xfId="0" applyNumberFormat="1" applyFont="1" applyFill="1" applyBorder="1" applyAlignment="1">
      <alignment horizontal="right" vertical="center"/>
    </xf>
    <xf numFmtId="183" fontId="129" fillId="4" borderId="164" xfId="0" applyNumberFormat="1" applyFont="1" applyFill="1" applyBorder="1" applyAlignment="1">
      <alignment horizontal="right" vertical="center"/>
    </xf>
    <xf numFmtId="10" fontId="128" fillId="0" borderId="0" xfId="0" applyNumberFormat="1" applyFont="1">
      <alignment vertical="center"/>
    </xf>
    <xf numFmtId="0" fontId="134" fillId="0" borderId="0" xfId="0" applyFont="1" applyAlignment="1">
      <alignment horizontal="center" vertical="center"/>
    </xf>
    <xf numFmtId="0" fontId="140" fillId="4" borderId="168" xfId="0" applyFont="1" applyFill="1" applyBorder="1" applyAlignment="1">
      <alignment horizontal="center" vertical="center"/>
    </xf>
    <xf numFmtId="0" fontId="134" fillId="9" borderId="0" xfId="0" applyFont="1" applyFill="1" applyAlignment="1">
      <alignment horizontal="center" vertical="center"/>
    </xf>
    <xf numFmtId="178" fontId="136" fillId="4" borderId="0" xfId="0" applyNumberFormat="1" applyFont="1" applyFill="1">
      <alignment vertical="center"/>
    </xf>
    <xf numFmtId="178" fontId="136" fillId="9" borderId="0" xfId="0" applyNumberFormat="1" applyFont="1" applyFill="1">
      <alignment vertical="center"/>
    </xf>
    <xf numFmtId="178" fontId="139" fillId="4" borderId="0" xfId="0" applyNumberFormat="1" applyFont="1" applyFill="1">
      <alignment vertical="center"/>
    </xf>
    <xf numFmtId="0" fontId="111" fillId="6" borderId="6" xfId="0" applyFont="1" applyFill="1" applyBorder="1" applyAlignment="1">
      <alignment horizontal="left" vertical="center"/>
    </xf>
    <xf numFmtId="181" fontId="7" fillId="6" borderId="6" xfId="0" applyNumberFormat="1" applyFont="1" applyFill="1" applyBorder="1" applyAlignment="1">
      <alignment horizontal="center" vertical="center"/>
    </xf>
    <xf numFmtId="0" fontId="162" fillId="6" borderId="6" xfId="0" applyFont="1" applyFill="1" applyBorder="1" applyAlignment="1">
      <alignment horizontal="left" vertical="center"/>
    </xf>
    <xf numFmtId="0" fontId="163" fillId="6" borderId="6" xfId="0" applyFont="1" applyFill="1" applyBorder="1" applyAlignment="1">
      <alignment horizontal="left" vertical="center"/>
    </xf>
    <xf numFmtId="181" fontId="163" fillId="6" borderId="6" xfId="0" applyNumberFormat="1" applyFont="1" applyFill="1" applyBorder="1" applyAlignment="1">
      <alignment horizontal="center" vertical="center"/>
    </xf>
    <xf numFmtId="0" fontId="136" fillId="4" borderId="6" xfId="0" applyFont="1" applyFill="1" applyBorder="1">
      <alignment vertical="center"/>
    </xf>
    <xf numFmtId="0" fontId="136" fillId="4" borderId="9" xfId="0" applyFont="1" applyFill="1" applyBorder="1">
      <alignment vertical="center"/>
    </xf>
    <xf numFmtId="178" fontId="136" fillId="4" borderId="49" xfId="0" applyNumberFormat="1" applyFont="1" applyFill="1" applyBorder="1">
      <alignment vertical="center"/>
    </xf>
    <xf numFmtId="0" fontId="142" fillId="4" borderId="0" xfId="0" applyFont="1" applyFill="1" applyAlignment="1">
      <alignment horizontal="center" vertical="center"/>
    </xf>
    <xf numFmtId="0" fontId="140" fillId="4" borderId="0" xfId="0" applyFont="1" applyFill="1" applyAlignment="1">
      <alignment horizontal="left" vertical="center"/>
    </xf>
    <xf numFmtId="0" fontId="140" fillId="4" borderId="0" xfId="0" applyFont="1" applyFill="1" applyAlignment="1">
      <alignment horizontal="center" vertical="center"/>
    </xf>
    <xf numFmtId="0" fontId="141" fillId="4" borderId="0" xfId="0" applyFont="1" applyFill="1" applyAlignment="1">
      <alignment horizontal="center" vertical="center"/>
    </xf>
    <xf numFmtId="183" fontId="141" fillId="4" borderId="0" xfId="0" applyNumberFormat="1" applyFont="1" applyFill="1" applyAlignment="1">
      <alignment horizontal="right" vertical="center"/>
    </xf>
    <xf numFmtId="0" fontId="140" fillId="4" borderId="170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56" borderId="7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/>
    </xf>
    <xf numFmtId="0" fontId="7" fillId="57" borderId="7" xfId="0" applyFont="1" applyFill="1" applyBorder="1" applyAlignment="1">
      <alignment horizontal="center" vertical="center"/>
    </xf>
    <xf numFmtId="0" fontId="0" fillId="57" borderId="7" xfId="0" applyFill="1" applyBorder="1" applyAlignment="1">
      <alignment horizontal="center" vertical="center"/>
    </xf>
    <xf numFmtId="0" fontId="0" fillId="56" borderId="7" xfId="0" applyFill="1" applyBorder="1" applyAlignment="1">
      <alignment horizontal="center" vertical="center"/>
    </xf>
    <xf numFmtId="0" fontId="0" fillId="58" borderId="4" xfId="0" applyFill="1" applyBorder="1" applyAlignment="1">
      <alignment horizontal="center" vertical="center"/>
    </xf>
    <xf numFmtId="0" fontId="7" fillId="58" borderId="7" xfId="0" applyFont="1" applyFill="1" applyBorder="1" applyAlignment="1">
      <alignment horizontal="center" vertical="center"/>
    </xf>
    <xf numFmtId="181" fontId="7" fillId="58" borderId="6" xfId="0" applyNumberFormat="1" applyFont="1" applyFill="1" applyBorder="1" applyAlignment="1">
      <alignment horizontal="center" vertical="center"/>
    </xf>
    <xf numFmtId="180" fontId="11" fillId="58" borderId="4" xfId="10" applyNumberFormat="1" applyFont="1" applyFill="1" applyBorder="1" applyAlignment="1">
      <alignment horizontal="center"/>
    </xf>
    <xf numFmtId="180" fontId="11" fillId="58" borderId="5" xfId="10" applyNumberFormat="1" applyFont="1" applyFill="1" applyBorder="1" applyAlignment="1">
      <alignment horizontal="center"/>
    </xf>
    <xf numFmtId="180" fontId="11" fillId="58" borderId="6" xfId="10" applyNumberFormat="1" applyFont="1" applyFill="1" applyBorder="1" applyAlignment="1">
      <alignment horizontal="center"/>
    </xf>
    <xf numFmtId="180" fontId="37" fillId="58" borderId="4" xfId="10" applyNumberFormat="1" applyFont="1" applyFill="1" applyBorder="1" applyAlignment="1">
      <alignment horizontal="center" vertical="center"/>
    </xf>
    <xf numFmtId="180" fontId="98" fillId="58" borderId="6" xfId="10" applyNumberFormat="1" applyFont="1" applyFill="1" applyBorder="1" applyAlignment="1">
      <alignment horizontal="center" vertical="center"/>
    </xf>
    <xf numFmtId="180" fontId="98" fillId="58" borderId="7" xfId="10" applyNumberFormat="1" applyFont="1" applyFill="1" applyBorder="1" applyAlignment="1">
      <alignment horizontal="center" vertical="center"/>
    </xf>
    <xf numFmtId="0" fontId="0" fillId="58" borderId="8" xfId="0" applyFill="1" applyBorder="1" applyAlignment="1">
      <alignment horizontal="center" vertical="center"/>
    </xf>
    <xf numFmtId="0" fontId="7" fillId="58" borderId="49" xfId="0" applyFont="1" applyFill="1" applyBorder="1" applyAlignment="1">
      <alignment horizontal="center" vertical="center"/>
    </xf>
    <xf numFmtId="180" fontId="11" fillId="58" borderId="8" xfId="10" applyNumberFormat="1" applyFont="1" applyFill="1" applyBorder="1" applyAlignment="1">
      <alignment horizontal="center"/>
    </xf>
    <xf numFmtId="180" fontId="11" fillId="58" borderId="9" xfId="10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80" fontId="0" fillId="3" borderId="8" xfId="0" applyNumberFormat="1" applyFill="1" applyBorder="1" applyAlignment="1">
      <alignment horizontal="center" vertical="center"/>
    </xf>
    <xf numFmtId="38" fontId="140" fillId="4" borderId="0" xfId="0" applyNumberFormat="1" applyFont="1" applyFill="1">
      <alignment vertical="center"/>
    </xf>
    <xf numFmtId="178" fontId="141" fillId="4" borderId="0" xfId="0" applyNumberFormat="1" applyFont="1" applyFill="1">
      <alignment vertical="center"/>
    </xf>
    <xf numFmtId="183" fontId="141" fillId="4" borderId="0" xfId="0" applyNumberFormat="1" applyFont="1" applyFill="1">
      <alignment vertical="center"/>
    </xf>
    <xf numFmtId="0" fontId="140" fillId="4" borderId="174" xfId="0" applyFont="1" applyFill="1" applyBorder="1" applyAlignment="1">
      <alignment horizontal="center" vertical="center"/>
    </xf>
    <xf numFmtId="0" fontId="136" fillId="4" borderId="0" xfId="0" applyFont="1" applyFill="1" applyAlignment="1">
      <alignment horizontal="center" vertical="center"/>
    </xf>
    <xf numFmtId="183" fontId="136" fillId="4" borderId="0" xfId="0" applyNumberFormat="1" applyFont="1" applyFill="1" applyAlignment="1">
      <alignment horizontal="center" vertical="center"/>
    </xf>
    <xf numFmtId="0" fontId="136" fillId="6" borderId="0" xfId="0" applyFont="1" applyFill="1" applyAlignment="1">
      <alignment horizontal="center" vertical="center"/>
    </xf>
    <xf numFmtId="0" fontId="99" fillId="48" borderId="0" xfId="0" applyFont="1" applyFill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62" fillId="5" borderId="0" xfId="0" applyFont="1" applyFill="1" applyAlignment="1">
      <alignment horizontal="left" vertical="center"/>
    </xf>
    <xf numFmtId="0" fontId="62" fillId="4" borderId="0" xfId="0" applyFont="1" applyFill="1" applyAlignment="1">
      <alignment horizontal="left" vertical="center"/>
    </xf>
    <xf numFmtId="0" fontId="62" fillId="48" borderId="0" xfId="0" applyFont="1" applyFill="1" applyAlignment="1">
      <alignment horizontal="left" vertical="center"/>
    </xf>
    <xf numFmtId="0" fontId="127" fillId="4" borderId="0" xfId="0" applyFont="1" applyFill="1">
      <alignment vertical="center"/>
    </xf>
    <xf numFmtId="0" fontId="127" fillId="4" borderId="0" xfId="0" applyFont="1" applyFill="1" applyAlignment="1">
      <alignment horizontal="center" vertical="center"/>
    </xf>
    <xf numFmtId="183" fontId="165" fillId="4" borderId="0" xfId="0" applyNumberFormat="1" applyFont="1" applyFill="1" applyAlignment="1">
      <alignment horizontal="center" vertical="center"/>
    </xf>
    <xf numFmtId="38" fontId="165" fillId="4" borderId="0" xfId="0" applyNumberFormat="1" applyFont="1" applyFill="1" applyAlignment="1">
      <alignment horizontal="center" vertical="center"/>
    </xf>
    <xf numFmtId="0" fontId="165" fillId="4" borderId="0" xfId="0" applyFont="1" applyFill="1" applyAlignment="1">
      <alignment horizontal="center" vertical="center"/>
    </xf>
    <xf numFmtId="0" fontId="116" fillId="9" borderId="9" xfId="0" applyFont="1" applyFill="1" applyBorder="1">
      <alignment vertical="center"/>
    </xf>
    <xf numFmtId="0" fontId="116" fillId="9" borderId="9" xfId="0" applyFont="1" applyFill="1" applyBorder="1" applyAlignment="1">
      <alignment horizontal="center" vertical="center"/>
    </xf>
    <xf numFmtId="0" fontId="116" fillId="9" borderId="72" xfId="0" applyFont="1" applyFill="1" applyBorder="1" applyAlignment="1">
      <alignment horizontal="center" vertical="center"/>
    </xf>
    <xf numFmtId="178" fontId="116" fillId="9" borderId="9" xfId="0" applyNumberFormat="1" applyFont="1" applyFill="1" applyBorder="1" applyAlignment="1">
      <alignment horizontal="center" vertical="center"/>
    </xf>
    <xf numFmtId="179" fontId="116" fillId="16" borderId="72" xfId="0" applyNumberFormat="1" applyFont="1" applyFill="1" applyBorder="1" applyAlignment="1">
      <alignment horizontal="right" vertical="center"/>
    </xf>
    <xf numFmtId="183" fontId="116" fillId="16" borderId="149" xfId="0" applyNumberFormat="1" applyFont="1" applyFill="1" applyBorder="1" applyAlignment="1">
      <alignment horizontal="center" vertical="center"/>
    </xf>
    <xf numFmtId="0" fontId="116" fillId="16" borderId="108" xfId="0" applyFont="1" applyFill="1" applyBorder="1" applyAlignment="1">
      <alignment horizontal="center" vertical="center"/>
    </xf>
    <xf numFmtId="179" fontId="116" fillId="16" borderId="72" xfId="0" applyNumberFormat="1" applyFont="1" applyFill="1" applyBorder="1" applyAlignment="1">
      <alignment horizontal="center" vertical="center"/>
    </xf>
    <xf numFmtId="183" fontId="116" fillId="16" borderId="107" xfId="0" applyNumberFormat="1" applyFont="1" applyFill="1" applyBorder="1" applyAlignment="1">
      <alignment horizontal="center" vertical="center"/>
    </xf>
    <xf numFmtId="38" fontId="116" fillId="16" borderId="156" xfId="0" applyNumberFormat="1" applyFont="1" applyFill="1" applyBorder="1" applyAlignment="1">
      <alignment horizontal="right" vertical="center"/>
    </xf>
    <xf numFmtId="183" fontId="116" fillId="16" borderId="71" xfId="0" applyNumberFormat="1" applyFont="1" applyFill="1" applyBorder="1" applyAlignment="1">
      <alignment horizontal="right" vertical="center"/>
    </xf>
    <xf numFmtId="38" fontId="116" fillId="16" borderId="166" xfId="0" applyNumberFormat="1" applyFont="1" applyFill="1" applyBorder="1" applyAlignment="1">
      <alignment horizontal="right" vertical="center"/>
    </xf>
    <xf numFmtId="10" fontId="116" fillId="16" borderId="166" xfId="0" applyNumberFormat="1" applyFont="1" applyFill="1" applyBorder="1" applyAlignment="1">
      <alignment horizontal="right" vertical="center"/>
    </xf>
    <xf numFmtId="0" fontId="116" fillId="49" borderId="73" xfId="0" applyFont="1" applyFill="1" applyBorder="1" applyAlignment="1">
      <alignment horizontal="center" vertical="center"/>
    </xf>
    <xf numFmtId="9" fontId="116" fillId="49" borderId="71" xfId="0" applyNumberFormat="1" applyFont="1" applyFill="1" applyBorder="1" applyAlignment="1">
      <alignment horizontal="center" vertical="center"/>
    </xf>
    <xf numFmtId="0" fontId="116" fillId="6" borderId="73" xfId="0" applyFont="1" applyFill="1" applyBorder="1" applyAlignment="1">
      <alignment horizontal="center" vertical="center"/>
    </xf>
    <xf numFmtId="9" fontId="116" fillId="6" borderId="71" xfId="0" applyNumberFormat="1" applyFont="1" applyFill="1" applyBorder="1" applyAlignment="1">
      <alignment horizontal="center" vertical="center"/>
    </xf>
    <xf numFmtId="0" fontId="116" fillId="9" borderId="9" xfId="0" applyFont="1" applyFill="1" applyBorder="1" applyAlignment="1">
      <alignment horizontal="right" vertical="center"/>
    </xf>
    <xf numFmtId="0" fontId="129" fillId="9" borderId="78" xfId="0" applyFont="1" applyFill="1" applyBorder="1" applyAlignment="1">
      <alignment horizontal="center" vertical="center"/>
    </xf>
    <xf numFmtId="0" fontId="129" fillId="9" borderId="79" xfId="0" applyFont="1" applyFill="1" applyBorder="1" applyAlignment="1">
      <alignment horizontal="center" vertical="center"/>
    </xf>
    <xf numFmtId="0" fontId="122" fillId="16" borderId="135" xfId="0" applyFont="1" applyFill="1" applyBorder="1" applyAlignment="1">
      <alignment horizontal="center" vertical="center" wrapText="1"/>
    </xf>
    <xf numFmtId="0" fontId="166" fillId="16" borderId="20" xfId="0" applyFont="1" applyFill="1" applyBorder="1" applyAlignment="1">
      <alignment horizontal="center" vertical="center" wrapText="1"/>
    </xf>
    <xf numFmtId="0" fontId="166" fillId="16" borderId="136" xfId="0" applyFont="1" applyFill="1" applyBorder="1" applyAlignment="1">
      <alignment horizontal="center" vertical="center" wrapText="1"/>
    </xf>
    <xf numFmtId="0" fontId="155" fillId="16" borderId="128" xfId="0" applyFont="1" applyFill="1" applyBorder="1" applyAlignment="1">
      <alignment horizontal="center" vertical="center" wrapText="1"/>
    </xf>
    <xf numFmtId="0" fontId="155" fillId="16" borderId="22" xfId="0" applyFont="1" applyFill="1" applyBorder="1" applyAlignment="1">
      <alignment horizontal="center" vertical="center" wrapText="1"/>
    </xf>
    <xf numFmtId="38" fontId="155" fillId="16" borderId="135" xfId="0" quotePrefix="1" applyNumberFormat="1" applyFont="1" applyFill="1" applyBorder="1" applyAlignment="1">
      <alignment horizontal="center" vertical="center" wrapText="1"/>
    </xf>
    <xf numFmtId="0" fontId="155" fillId="16" borderId="16" xfId="0" applyFont="1" applyFill="1" applyBorder="1" applyAlignment="1">
      <alignment horizontal="center" vertical="center" wrapText="1"/>
    </xf>
    <xf numFmtId="38" fontId="155" fillId="16" borderId="159" xfId="0" applyNumberFormat="1" applyFont="1" applyFill="1" applyBorder="1" applyAlignment="1">
      <alignment horizontal="center" vertical="center" wrapText="1"/>
    </xf>
    <xf numFmtId="0" fontId="155" fillId="16" borderId="159" xfId="0" applyFont="1" applyFill="1" applyBorder="1" applyAlignment="1">
      <alignment horizontal="center" vertical="center" wrapText="1"/>
    </xf>
    <xf numFmtId="0" fontId="155" fillId="49" borderId="15" xfId="0" applyFont="1" applyFill="1" applyBorder="1" applyAlignment="1">
      <alignment horizontal="center" vertical="center" wrapText="1"/>
    </xf>
    <xf numFmtId="0" fontId="155" fillId="49" borderId="16" xfId="0" applyFont="1" applyFill="1" applyBorder="1" applyAlignment="1">
      <alignment horizontal="center" vertical="center" wrapText="1"/>
    </xf>
    <xf numFmtId="0" fontId="167" fillId="0" borderId="11" xfId="0" applyFont="1" applyBorder="1">
      <alignment vertical="center"/>
    </xf>
    <xf numFmtId="0" fontId="156" fillId="54" borderId="0" xfId="0" applyFont="1" applyFill="1">
      <alignment vertical="center"/>
    </xf>
    <xf numFmtId="38" fontId="164" fillId="0" borderId="0" xfId="0" applyNumberFormat="1" applyFont="1" applyAlignment="1">
      <alignment horizontal="center" vertical="center"/>
    </xf>
    <xf numFmtId="0" fontId="116" fillId="16" borderId="148" xfId="0" applyFont="1" applyFill="1" applyBorder="1" applyAlignment="1">
      <alignment horizontal="center" vertical="center"/>
    </xf>
    <xf numFmtId="0" fontId="169" fillId="4" borderId="105" xfId="0" applyFont="1" applyFill="1" applyBorder="1" applyAlignment="1">
      <alignment horizontal="center" vertical="center"/>
    </xf>
    <xf numFmtId="0" fontId="170" fillId="4" borderId="50" xfId="0" applyFont="1" applyFill="1" applyBorder="1" applyAlignment="1">
      <alignment horizontal="center" vertical="center"/>
    </xf>
    <xf numFmtId="182" fontId="170" fillId="4" borderId="50" xfId="0" applyNumberFormat="1" applyFont="1" applyFill="1" applyBorder="1" applyAlignment="1">
      <alignment horizontal="center" vertical="center"/>
    </xf>
    <xf numFmtId="178" fontId="169" fillId="4" borderId="50" xfId="0" applyNumberFormat="1" applyFont="1" applyFill="1" applyBorder="1" applyAlignment="1">
      <alignment horizontal="center" vertical="center"/>
    </xf>
    <xf numFmtId="179" fontId="170" fillId="4" borderId="23" xfId="0" applyNumberFormat="1" applyFont="1" applyFill="1" applyBorder="1" applyAlignment="1">
      <alignment horizontal="center" vertical="center"/>
    </xf>
    <xf numFmtId="179" fontId="170" fillId="4" borderId="12" xfId="0" applyNumberFormat="1" applyFont="1" applyFill="1" applyBorder="1" applyAlignment="1">
      <alignment horizontal="right" vertical="center"/>
    </xf>
    <xf numFmtId="183" fontId="170" fillId="4" borderId="137" xfId="14" applyNumberFormat="1" applyFont="1" applyFill="1" applyBorder="1" applyAlignment="1">
      <alignment horizontal="center" vertical="center"/>
    </xf>
    <xf numFmtId="179" fontId="170" fillId="4" borderId="50" xfId="0" applyNumberFormat="1" applyFont="1" applyFill="1" applyBorder="1" applyAlignment="1">
      <alignment horizontal="right" vertical="center"/>
    </xf>
    <xf numFmtId="179" fontId="170" fillId="4" borderId="52" xfId="0" applyNumberFormat="1" applyFont="1" applyFill="1" applyBorder="1" applyAlignment="1">
      <alignment horizontal="center" vertical="center"/>
    </xf>
    <xf numFmtId="9" fontId="169" fillId="4" borderId="53" xfId="0" applyNumberFormat="1" applyFont="1" applyFill="1" applyBorder="1" applyAlignment="1">
      <alignment horizontal="center" vertical="center"/>
    </xf>
    <xf numFmtId="0" fontId="169" fillId="4" borderId="40" xfId="0" applyFont="1" applyFill="1" applyBorder="1" applyAlignment="1">
      <alignment horizontal="center" vertical="center"/>
    </xf>
    <xf numFmtId="0" fontId="170" fillId="4" borderId="25" xfId="0" applyFont="1" applyFill="1" applyBorder="1" applyAlignment="1">
      <alignment horizontal="center" vertical="center"/>
    </xf>
    <xf numFmtId="182" fontId="170" fillId="4" borderId="25" xfId="0" applyNumberFormat="1" applyFont="1" applyFill="1" applyBorder="1" applyAlignment="1">
      <alignment horizontal="center" vertical="center"/>
    </xf>
    <xf numFmtId="178" fontId="169" fillId="4" borderId="27" xfId="0" applyNumberFormat="1" applyFont="1" applyFill="1" applyBorder="1" applyAlignment="1">
      <alignment horizontal="center" vertical="center"/>
    </xf>
    <xf numFmtId="179" fontId="170" fillId="4" borderId="138" xfId="0" applyNumberFormat="1" applyFont="1" applyFill="1" applyBorder="1" applyAlignment="1">
      <alignment horizontal="center" vertical="center"/>
    </xf>
    <xf numFmtId="179" fontId="170" fillId="4" borderId="29" xfId="0" applyNumberFormat="1" applyFont="1" applyFill="1" applyBorder="1" applyAlignment="1">
      <alignment horizontal="right" vertical="center"/>
    </xf>
    <xf numFmtId="183" fontId="170" fillId="4" borderId="139" xfId="14" applyNumberFormat="1" applyFont="1" applyFill="1" applyBorder="1" applyAlignment="1">
      <alignment horizontal="center" vertical="center"/>
    </xf>
    <xf numFmtId="179" fontId="170" fillId="4" borderId="129" xfId="0" applyNumberFormat="1" applyFont="1" applyFill="1" applyBorder="1" applyAlignment="1">
      <alignment horizontal="center" vertical="center"/>
    </xf>
    <xf numFmtId="179" fontId="170" fillId="4" borderId="25" xfId="0" applyNumberFormat="1" applyFont="1" applyFill="1" applyBorder="1" applyAlignment="1">
      <alignment horizontal="right" vertical="center"/>
    </xf>
    <xf numFmtId="183" fontId="169" fillId="4" borderId="25" xfId="0" applyNumberFormat="1" applyFont="1" applyFill="1" applyBorder="1" applyAlignment="1">
      <alignment horizontal="center" vertical="center"/>
    </xf>
    <xf numFmtId="38" fontId="169" fillId="4" borderId="151" xfId="0" applyNumberFormat="1" applyFont="1" applyFill="1" applyBorder="1" applyAlignment="1">
      <alignment horizontal="right" vertical="center"/>
    </xf>
    <xf numFmtId="183" fontId="169" fillId="4" borderId="14" xfId="0" applyNumberFormat="1" applyFont="1" applyFill="1" applyBorder="1" applyAlignment="1">
      <alignment horizontal="right" vertical="center"/>
    </xf>
    <xf numFmtId="38" fontId="169" fillId="4" borderId="161" xfId="0" applyNumberFormat="1" applyFont="1" applyFill="1" applyBorder="1" applyAlignment="1">
      <alignment horizontal="right" vertical="center"/>
    </xf>
    <xf numFmtId="183" fontId="169" fillId="4" borderId="161" xfId="0" applyNumberFormat="1" applyFont="1" applyFill="1" applyBorder="1" applyAlignment="1">
      <alignment horizontal="right" vertical="center"/>
    </xf>
    <xf numFmtId="179" fontId="170" fillId="4" borderId="13" xfId="0" applyNumberFormat="1" applyFont="1" applyFill="1" applyBorder="1" applyAlignment="1">
      <alignment horizontal="center" vertical="center"/>
    </xf>
    <xf numFmtId="9" fontId="169" fillId="4" borderId="14" xfId="0" applyNumberFormat="1" applyFont="1" applyFill="1" applyBorder="1" applyAlignment="1">
      <alignment horizontal="center" vertical="center"/>
    </xf>
    <xf numFmtId="0" fontId="169" fillId="4" borderId="39" xfId="0" applyFont="1" applyFill="1" applyBorder="1" applyAlignment="1">
      <alignment horizontal="center" vertical="center"/>
    </xf>
    <xf numFmtId="0" fontId="170" fillId="4" borderId="28" xfId="0" applyFont="1" applyFill="1" applyBorder="1" applyAlignment="1">
      <alignment horizontal="center" vertical="center"/>
    </xf>
    <xf numFmtId="0" fontId="170" fillId="4" borderId="27" xfId="0" applyFont="1" applyFill="1" applyBorder="1" applyAlignment="1">
      <alignment horizontal="center" vertical="center"/>
    </xf>
    <xf numFmtId="182" fontId="170" fillId="4" borderId="27" xfId="0" applyNumberFormat="1" applyFont="1" applyFill="1" applyBorder="1" applyAlignment="1">
      <alignment horizontal="center" vertical="center"/>
    </xf>
    <xf numFmtId="179" fontId="170" fillId="4" borderId="140" xfId="0" applyNumberFormat="1" applyFont="1" applyFill="1" applyBorder="1" applyAlignment="1">
      <alignment horizontal="center" vertical="center"/>
    </xf>
    <xf numFmtId="179" fontId="170" fillId="4" borderId="45" xfId="0" applyNumberFormat="1" applyFont="1" applyFill="1" applyBorder="1" applyAlignment="1">
      <alignment horizontal="right" vertical="center"/>
    </xf>
    <xf numFmtId="179" fontId="170" fillId="4" borderId="130" xfId="0" applyNumberFormat="1" applyFont="1" applyFill="1" applyBorder="1" applyAlignment="1">
      <alignment horizontal="center" vertical="center"/>
    </xf>
    <xf numFmtId="179" fontId="170" fillId="4" borderId="27" xfId="0" applyNumberFormat="1" applyFont="1" applyFill="1" applyBorder="1" applyAlignment="1">
      <alignment horizontal="right" vertical="center"/>
    </xf>
    <xf numFmtId="179" fontId="170" fillId="4" borderId="26" xfId="0" applyNumberFormat="1" applyFont="1" applyFill="1" applyBorder="1" applyAlignment="1">
      <alignment horizontal="center" vertical="center"/>
    </xf>
    <xf numFmtId="9" fontId="169" fillId="4" borderId="75" xfId="0" applyNumberFormat="1" applyFont="1" applyFill="1" applyBorder="1" applyAlignment="1">
      <alignment horizontal="center" vertical="center"/>
    </xf>
    <xf numFmtId="0" fontId="169" fillId="4" borderId="76" xfId="0" applyFont="1" applyFill="1" applyBorder="1" applyAlignment="1">
      <alignment horizontal="center" vertical="center"/>
    </xf>
    <xf numFmtId="183" fontId="170" fillId="4" borderId="141" xfId="14" applyNumberFormat="1" applyFont="1" applyFill="1" applyBorder="1" applyAlignment="1">
      <alignment horizontal="center" vertical="center"/>
    </xf>
    <xf numFmtId="0" fontId="169" fillId="4" borderId="116" xfId="0" applyFont="1" applyFill="1" applyBorder="1" applyAlignment="1">
      <alignment horizontal="center" vertical="center"/>
    </xf>
    <xf numFmtId="0" fontId="170" fillId="4" borderId="117" xfId="0" applyFont="1" applyFill="1" applyBorder="1" applyAlignment="1">
      <alignment horizontal="center" vertical="center"/>
    </xf>
    <xf numFmtId="182" fontId="170" fillId="4" borderId="117" xfId="0" applyNumberFormat="1" applyFont="1" applyFill="1" applyBorder="1" applyAlignment="1">
      <alignment horizontal="center" vertical="center"/>
    </xf>
    <xf numFmtId="178" fontId="169" fillId="4" borderId="117" xfId="0" applyNumberFormat="1" applyFont="1" applyFill="1" applyBorder="1" applyAlignment="1">
      <alignment horizontal="center" vertical="center"/>
    </xf>
    <xf numFmtId="179" fontId="170" fillId="4" borderId="142" xfId="0" applyNumberFormat="1" applyFont="1" applyFill="1" applyBorder="1" applyAlignment="1">
      <alignment horizontal="center" vertical="center"/>
    </xf>
    <xf numFmtId="179" fontId="170" fillId="4" borderId="116" xfId="0" applyNumberFormat="1" applyFont="1" applyFill="1" applyBorder="1" applyAlignment="1">
      <alignment horizontal="right" vertical="center"/>
    </xf>
    <xf numFmtId="183" fontId="170" fillId="4" borderId="143" xfId="14" applyNumberFormat="1" applyFont="1" applyFill="1" applyBorder="1" applyAlignment="1">
      <alignment horizontal="center" vertical="center"/>
    </xf>
    <xf numFmtId="179" fontId="170" fillId="4" borderId="131" xfId="0" applyNumberFormat="1" applyFont="1" applyFill="1" applyBorder="1" applyAlignment="1">
      <alignment horizontal="center" vertical="center"/>
    </xf>
    <xf numFmtId="179" fontId="170" fillId="4" borderId="117" xfId="0" applyNumberFormat="1" applyFont="1" applyFill="1" applyBorder="1" applyAlignment="1">
      <alignment horizontal="right" vertical="center"/>
    </xf>
    <xf numFmtId="179" fontId="170" fillId="4" borderId="115" xfId="0" applyNumberFormat="1" applyFont="1" applyFill="1" applyBorder="1" applyAlignment="1">
      <alignment horizontal="center" vertical="center"/>
    </xf>
    <xf numFmtId="9" fontId="169" fillId="4" borderId="118" xfId="0" applyNumberFormat="1" applyFont="1" applyFill="1" applyBorder="1" applyAlignment="1">
      <alignment horizontal="center" vertical="center"/>
    </xf>
    <xf numFmtId="0" fontId="169" fillId="4" borderId="29" xfId="0" applyFont="1" applyFill="1" applyBorder="1" applyAlignment="1">
      <alignment horizontal="center" vertical="center"/>
    </xf>
    <xf numFmtId="178" fontId="169" fillId="4" borderId="25" xfId="0" applyNumberFormat="1" applyFont="1" applyFill="1" applyBorder="1" applyAlignment="1">
      <alignment horizontal="center" vertical="center"/>
    </xf>
    <xf numFmtId="182" fontId="170" fillId="4" borderId="28" xfId="0" applyNumberFormat="1" applyFont="1" applyFill="1" applyBorder="1" applyAlignment="1">
      <alignment horizontal="center" vertical="center"/>
    </xf>
    <xf numFmtId="179" fontId="170" fillId="4" borderId="144" xfId="0" applyNumberFormat="1" applyFont="1" applyFill="1" applyBorder="1" applyAlignment="1">
      <alignment horizontal="center" vertical="center"/>
    </xf>
    <xf numFmtId="179" fontId="170" fillId="4" borderId="33" xfId="0" applyNumberFormat="1" applyFont="1" applyFill="1" applyBorder="1" applyAlignment="1">
      <alignment horizontal="right" vertical="center"/>
    </xf>
    <xf numFmtId="183" fontId="170" fillId="4" borderId="145" xfId="14" applyNumberFormat="1" applyFont="1" applyFill="1" applyBorder="1" applyAlignment="1">
      <alignment horizontal="center" vertical="center"/>
    </xf>
    <xf numFmtId="179" fontId="170" fillId="4" borderId="132" xfId="0" applyNumberFormat="1" applyFont="1" applyFill="1" applyBorder="1" applyAlignment="1">
      <alignment horizontal="center" vertical="center"/>
    </xf>
    <xf numFmtId="179" fontId="170" fillId="4" borderId="28" xfId="0" applyNumberFormat="1" applyFont="1" applyFill="1" applyBorder="1" applyAlignment="1">
      <alignment horizontal="right" vertical="center"/>
    </xf>
    <xf numFmtId="183" fontId="169" fillId="4" borderId="28" xfId="0" applyNumberFormat="1" applyFont="1" applyFill="1" applyBorder="1" applyAlignment="1">
      <alignment horizontal="center" vertical="center"/>
    </xf>
    <xf numFmtId="38" fontId="169" fillId="4" borderId="154" xfId="0" applyNumberFormat="1" applyFont="1" applyFill="1" applyBorder="1" applyAlignment="1">
      <alignment horizontal="right" vertical="center"/>
    </xf>
    <xf numFmtId="183" fontId="169" fillId="4" borderId="19" xfId="0" applyNumberFormat="1" applyFont="1" applyFill="1" applyBorder="1" applyAlignment="1">
      <alignment horizontal="right" vertical="center"/>
    </xf>
    <xf numFmtId="38" fontId="169" fillId="4" borderId="164" xfId="0" applyNumberFormat="1" applyFont="1" applyFill="1" applyBorder="1" applyAlignment="1">
      <alignment horizontal="right" vertical="center"/>
    </xf>
    <xf numFmtId="183" fontId="169" fillId="4" borderId="164" xfId="0" applyNumberFormat="1" applyFont="1" applyFill="1" applyBorder="1" applyAlignment="1">
      <alignment horizontal="right" vertical="center"/>
    </xf>
    <xf numFmtId="179" fontId="170" fillId="4" borderId="18" xfId="0" applyNumberFormat="1" applyFont="1" applyFill="1" applyBorder="1" applyAlignment="1">
      <alignment horizontal="center" vertical="center"/>
    </xf>
    <xf numFmtId="9" fontId="169" fillId="4" borderId="19" xfId="0" applyNumberFormat="1" applyFont="1" applyFill="1" applyBorder="1" applyAlignment="1">
      <alignment horizontal="center" vertical="center"/>
    </xf>
    <xf numFmtId="183" fontId="171" fillId="4" borderId="28" xfId="0" applyNumberFormat="1" applyFont="1" applyFill="1" applyBorder="1" applyAlignment="1">
      <alignment horizontal="center" vertical="center"/>
    </xf>
    <xf numFmtId="9" fontId="171" fillId="4" borderId="19" xfId="0" applyNumberFormat="1" applyFont="1" applyFill="1" applyBorder="1" applyAlignment="1">
      <alignment horizontal="center" vertical="center"/>
    </xf>
    <xf numFmtId="9" fontId="171" fillId="4" borderId="14" xfId="0" applyNumberFormat="1" applyFont="1" applyFill="1" applyBorder="1" applyAlignment="1">
      <alignment horizontal="center" vertical="center"/>
    </xf>
    <xf numFmtId="0" fontId="170" fillId="4" borderId="29" xfId="0" applyFont="1" applyFill="1" applyBorder="1" applyAlignment="1">
      <alignment horizontal="center" vertical="center"/>
    </xf>
    <xf numFmtId="0" fontId="170" fillId="9" borderId="113" xfId="0" applyFont="1" applyFill="1" applyBorder="1" applyAlignment="1">
      <alignment horizontal="right" vertical="center"/>
    </xf>
    <xf numFmtId="0" fontId="170" fillId="9" borderId="114" xfId="0" applyFont="1" applyFill="1" applyBorder="1" applyAlignment="1">
      <alignment horizontal="center" vertical="center"/>
    </xf>
    <xf numFmtId="182" fontId="170" fillId="9" borderId="90" xfId="0" applyNumberFormat="1" applyFont="1" applyFill="1" applyBorder="1" applyAlignment="1">
      <alignment horizontal="center" vertical="center"/>
    </xf>
    <xf numFmtId="178" fontId="169" fillId="9" borderId="90" xfId="0" applyNumberFormat="1" applyFont="1" applyFill="1" applyBorder="1" applyAlignment="1">
      <alignment horizontal="center" vertical="center"/>
    </xf>
    <xf numFmtId="179" fontId="169" fillId="16" borderId="146" xfId="0" applyNumberFormat="1" applyFont="1" applyFill="1" applyBorder="1" applyAlignment="1">
      <alignment horizontal="center" vertical="center"/>
    </xf>
    <xf numFmtId="179" fontId="169" fillId="16" borderId="88" xfId="0" applyNumberFormat="1" applyFont="1" applyFill="1" applyBorder="1" applyAlignment="1">
      <alignment horizontal="right" vertical="center"/>
    </xf>
    <xf numFmtId="183" fontId="169" fillId="16" borderId="147" xfId="14" applyNumberFormat="1" applyFont="1" applyFill="1" applyBorder="1" applyAlignment="1">
      <alignment horizontal="center" vertical="center"/>
    </xf>
    <xf numFmtId="179" fontId="169" fillId="16" borderId="113" xfId="0" applyNumberFormat="1" applyFont="1" applyFill="1" applyBorder="1" applyAlignment="1">
      <alignment horizontal="center" vertical="center"/>
    </xf>
    <xf numFmtId="179" fontId="169" fillId="16" borderId="90" xfId="0" applyNumberFormat="1" applyFont="1" applyFill="1" applyBorder="1" applyAlignment="1">
      <alignment horizontal="right" vertical="center"/>
    </xf>
    <xf numFmtId="183" fontId="169" fillId="16" borderId="90" xfId="0" applyNumberFormat="1" applyFont="1" applyFill="1" applyBorder="1" applyAlignment="1">
      <alignment horizontal="center" vertical="center"/>
    </xf>
    <xf numFmtId="38" fontId="169" fillId="16" borderId="155" xfId="0" applyNumberFormat="1" applyFont="1" applyFill="1" applyBorder="1" applyAlignment="1">
      <alignment horizontal="right" vertical="center"/>
    </xf>
    <xf numFmtId="183" fontId="169" fillId="16" borderId="91" xfId="0" applyNumberFormat="1" applyFont="1" applyFill="1" applyBorder="1" applyAlignment="1">
      <alignment horizontal="right" vertical="center"/>
    </xf>
    <xf numFmtId="38" fontId="169" fillId="16" borderId="165" xfId="0" applyNumberFormat="1" applyFont="1" applyFill="1" applyBorder="1" applyAlignment="1">
      <alignment horizontal="right" vertical="center"/>
    </xf>
    <xf numFmtId="10" fontId="169" fillId="16" borderId="165" xfId="0" applyNumberFormat="1" applyFont="1" applyFill="1" applyBorder="1" applyAlignment="1">
      <alignment horizontal="right" vertical="center"/>
    </xf>
    <xf numFmtId="179" fontId="170" fillId="49" borderId="92" xfId="0" applyNumberFormat="1" applyFont="1" applyFill="1" applyBorder="1" applyAlignment="1">
      <alignment horizontal="center" vertical="center"/>
    </xf>
    <xf numFmtId="9" fontId="169" fillId="49" borderId="91" xfId="0" applyNumberFormat="1" applyFont="1" applyFill="1" applyBorder="1" applyAlignment="1">
      <alignment horizontal="center" vertical="center"/>
    </xf>
    <xf numFmtId="0" fontId="136" fillId="4" borderId="0" xfId="0" applyFont="1" applyFill="1" applyAlignment="1">
      <alignment horizontal="left" vertical="center"/>
    </xf>
    <xf numFmtId="183" fontId="136" fillId="4" borderId="0" xfId="0" applyNumberFormat="1" applyFont="1" applyFill="1">
      <alignment vertical="center"/>
    </xf>
    <xf numFmtId="0" fontId="143" fillId="9" borderId="0" xfId="0" applyFont="1" applyFill="1">
      <alignment vertical="center"/>
    </xf>
    <xf numFmtId="0" fontId="172" fillId="9" borderId="4" xfId="0" applyFont="1" applyFill="1" applyBorder="1" applyAlignment="1">
      <alignment horizontal="center" vertical="center" wrapText="1"/>
    </xf>
    <xf numFmtId="0" fontId="172" fillId="9" borderId="7" xfId="0" applyFont="1" applyFill="1" applyBorder="1" applyAlignment="1">
      <alignment horizontal="center" vertical="center"/>
    </xf>
    <xf numFmtId="0" fontId="172" fillId="9" borderId="7" xfId="0" applyFont="1" applyFill="1" applyBorder="1" applyAlignment="1">
      <alignment horizontal="center" vertical="center" wrapText="1"/>
    </xf>
    <xf numFmtId="0" fontId="173" fillId="9" borderId="7" xfId="0" applyFont="1" applyFill="1" applyBorder="1" applyAlignment="1">
      <alignment horizontal="center" vertical="center" wrapText="1"/>
    </xf>
    <xf numFmtId="0" fontId="172" fillId="4" borderId="0" xfId="0" applyFont="1" applyFill="1" applyAlignment="1">
      <alignment horizontal="center" vertical="center"/>
    </xf>
    <xf numFmtId="183" fontId="136" fillId="6" borderId="0" xfId="0" applyNumberFormat="1" applyFont="1" applyFill="1">
      <alignment vertical="center"/>
    </xf>
    <xf numFmtId="178" fontId="141" fillId="6" borderId="0" xfId="0" applyNumberFormat="1" applyFont="1" applyFill="1">
      <alignment vertical="center"/>
    </xf>
    <xf numFmtId="183" fontId="136" fillId="6" borderId="0" xfId="0" applyNumberFormat="1" applyFont="1" applyFill="1" applyAlignment="1">
      <alignment horizontal="center" vertical="center"/>
    </xf>
    <xf numFmtId="179" fontId="141" fillId="6" borderId="0" xfId="0" applyNumberFormat="1" applyFont="1" applyFill="1" applyAlignment="1">
      <alignment horizontal="center" vertical="center"/>
    </xf>
    <xf numFmtId="0" fontId="143" fillId="6" borderId="0" xfId="0" applyFont="1" applyFill="1">
      <alignment vertical="center"/>
    </xf>
    <xf numFmtId="0" fontId="135" fillId="6" borderId="0" xfId="0" applyFont="1" applyFill="1" applyAlignment="1">
      <alignment horizontal="center" vertical="center"/>
    </xf>
    <xf numFmtId="183" fontId="136" fillId="6" borderId="11" xfId="0" applyNumberFormat="1" applyFont="1" applyFill="1" applyBorder="1" applyAlignment="1">
      <alignment horizontal="center" vertical="center"/>
    </xf>
    <xf numFmtId="179" fontId="141" fillId="6" borderId="176" xfId="0" applyNumberFormat="1" applyFont="1" applyFill="1" applyBorder="1" applyAlignment="1">
      <alignment horizontal="center" vertical="center"/>
    </xf>
    <xf numFmtId="179" fontId="141" fillId="6" borderId="177" xfId="0" applyNumberFormat="1" applyFont="1" applyFill="1" applyBorder="1" applyAlignment="1">
      <alignment horizontal="center" vertical="center"/>
    </xf>
    <xf numFmtId="179" fontId="141" fillId="6" borderId="102" xfId="0" applyNumberFormat="1" applyFont="1" applyFill="1" applyBorder="1" applyAlignment="1">
      <alignment horizontal="center" vertical="center"/>
    </xf>
    <xf numFmtId="183" fontId="173" fillId="9" borderId="5" xfId="0" applyNumberFormat="1" applyFont="1" applyFill="1" applyBorder="1" applyAlignment="1">
      <alignment horizontal="center" vertical="center"/>
    </xf>
    <xf numFmtId="0" fontId="172" fillId="4" borderId="0" xfId="0" applyFont="1" applyFill="1">
      <alignment vertical="center"/>
    </xf>
    <xf numFmtId="0" fontId="174" fillId="0" borderId="0" xfId="0" applyFont="1" applyAlignment="1">
      <alignment horizontal="left" vertical="center"/>
    </xf>
    <xf numFmtId="0" fontId="172" fillId="4" borderId="4" xfId="0" applyFont="1" applyFill="1" applyBorder="1" applyAlignment="1">
      <alignment horizontal="center" vertical="center"/>
    </xf>
    <xf numFmtId="0" fontId="172" fillId="4" borderId="7" xfId="0" applyFont="1" applyFill="1" applyBorder="1" applyAlignment="1">
      <alignment horizontal="center" vertical="center"/>
    </xf>
    <xf numFmtId="38" fontId="172" fillId="4" borderId="7" xfId="0" applyNumberFormat="1" applyFont="1" applyFill="1" applyBorder="1">
      <alignment vertical="center"/>
    </xf>
    <xf numFmtId="38" fontId="173" fillId="4" borderId="7" xfId="0" applyNumberFormat="1" applyFont="1" applyFill="1" applyBorder="1">
      <alignment vertical="center"/>
    </xf>
    <xf numFmtId="183" fontId="173" fillId="4" borderId="5" xfId="0" applyNumberFormat="1" applyFont="1" applyFill="1" applyBorder="1">
      <alignment vertical="center"/>
    </xf>
    <xf numFmtId="178" fontId="173" fillId="6" borderId="176" xfId="0" applyNumberFormat="1" applyFont="1" applyFill="1" applyBorder="1">
      <alignment vertical="center"/>
    </xf>
    <xf numFmtId="0" fontId="173" fillId="4" borderId="7" xfId="0" applyFont="1" applyFill="1" applyBorder="1" applyAlignment="1">
      <alignment horizontal="center" vertical="center"/>
    </xf>
    <xf numFmtId="183" fontId="173" fillId="4" borderId="5" xfId="0" applyNumberFormat="1" applyFont="1" applyFill="1" applyBorder="1" applyAlignment="1">
      <alignment horizontal="right" vertical="center"/>
    </xf>
    <xf numFmtId="179" fontId="173" fillId="6" borderId="176" xfId="0" applyNumberFormat="1" applyFont="1" applyFill="1" applyBorder="1" applyAlignment="1">
      <alignment horizontal="center" vertical="center"/>
    </xf>
    <xf numFmtId="0" fontId="172" fillId="0" borderId="4" xfId="0" applyFont="1" applyBorder="1" applyAlignment="1">
      <alignment horizontal="center" vertical="center"/>
    </xf>
    <xf numFmtId="0" fontId="137" fillId="4" borderId="4" xfId="0" applyFont="1" applyFill="1" applyBorder="1" applyAlignment="1">
      <alignment horizontal="center" vertical="center"/>
    </xf>
    <xf numFmtId="0" fontId="137" fillId="4" borderId="104" xfId="0" applyFont="1" applyFill="1" applyBorder="1" applyAlignment="1">
      <alignment horizontal="center" vertical="center"/>
    </xf>
    <xf numFmtId="0" fontId="172" fillId="4" borderId="169" xfId="0" applyFont="1" applyFill="1" applyBorder="1" applyAlignment="1">
      <alignment horizontal="center" vertical="center"/>
    </xf>
    <xf numFmtId="0" fontId="173" fillId="4" borderId="169" xfId="0" applyFont="1" applyFill="1" applyBorder="1" applyAlignment="1">
      <alignment horizontal="center" vertical="center"/>
    </xf>
    <xf numFmtId="183" fontId="173" fillId="4" borderId="120" xfId="0" applyNumberFormat="1" applyFont="1" applyFill="1" applyBorder="1" applyAlignment="1">
      <alignment horizontal="right" vertical="center"/>
    </xf>
    <xf numFmtId="38" fontId="172" fillId="4" borderId="169" xfId="0" applyNumberFormat="1" applyFont="1" applyFill="1" applyBorder="1">
      <alignment vertical="center"/>
    </xf>
    <xf numFmtId="38" fontId="173" fillId="4" borderId="169" xfId="0" applyNumberFormat="1" applyFont="1" applyFill="1" applyBorder="1">
      <alignment vertical="center"/>
    </xf>
    <xf numFmtId="183" fontId="173" fillId="4" borderId="120" xfId="0" applyNumberFormat="1" applyFont="1" applyFill="1" applyBorder="1">
      <alignment vertical="center"/>
    </xf>
    <xf numFmtId="178" fontId="173" fillId="6" borderId="177" xfId="0" applyNumberFormat="1" applyFont="1" applyFill="1" applyBorder="1">
      <alignment vertical="center"/>
    </xf>
    <xf numFmtId="0" fontId="173" fillId="4" borderId="0" xfId="0" applyFont="1" applyFill="1">
      <alignment vertical="center"/>
    </xf>
    <xf numFmtId="179" fontId="173" fillId="6" borderId="177" xfId="0" applyNumberFormat="1" applyFont="1" applyFill="1" applyBorder="1" applyAlignment="1">
      <alignment horizontal="center" vertical="center"/>
    </xf>
    <xf numFmtId="0" fontId="137" fillId="4" borderId="171" xfId="0" applyFont="1" applyFill="1" applyBorder="1" applyAlignment="1">
      <alignment horizontal="center" vertical="center"/>
    </xf>
    <xf numFmtId="0" fontId="172" fillId="4" borderId="172" xfId="0" applyFont="1" applyFill="1" applyBorder="1" applyAlignment="1">
      <alignment horizontal="center" vertical="center"/>
    </xf>
    <xf numFmtId="0" fontId="173" fillId="4" borderId="172" xfId="0" applyFont="1" applyFill="1" applyBorder="1" applyAlignment="1">
      <alignment horizontal="center" vertical="center"/>
    </xf>
    <xf numFmtId="183" fontId="173" fillId="4" borderId="178" xfId="0" applyNumberFormat="1" applyFont="1" applyFill="1" applyBorder="1" applyAlignment="1">
      <alignment horizontal="right" vertical="center"/>
    </xf>
    <xf numFmtId="38" fontId="172" fillId="4" borderId="172" xfId="0" applyNumberFormat="1" applyFont="1" applyFill="1" applyBorder="1">
      <alignment vertical="center"/>
    </xf>
    <xf numFmtId="38" fontId="173" fillId="4" borderId="172" xfId="0" applyNumberFormat="1" applyFont="1" applyFill="1" applyBorder="1">
      <alignment vertical="center"/>
    </xf>
    <xf numFmtId="183" fontId="173" fillId="4" borderId="178" xfId="0" applyNumberFormat="1" applyFont="1" applyFill="1" applyBorder="1">
      <alignment vertical="center"/>
    </xf>
    <xf numFmtId="178" fontId="173" fillId="6" borderId="102" xfId="0" applyNumberFormat="1" applyFont="1" applyFill="1" applyBorder="1">
      <alignment vertical="center"/>
    </xf>
    <xf numFmtId="179" fontId="173" fillId="6" borderId="102" xfId="0" applyNumberFormat="1" applyFont="1" applyFill="1" applyBorder="1" applyAlignment="1">
      <alignment horizontal="center" vertical="center"/>
    </xf>
    <xf numFmtId="0" fontId="137" fillId="4" borderId="0" xfId="0" applyFont="1" applyFill="1" applyAlignment="1">
      <alignment horizontal="center" vertical="center"/>
    </xf>
    <xf numFmtId="0" fontId="173" fillId="4" borderId="0" xfId="0" applyFont="1" applyFill="1" applyAlignment="1">
      <alignment horizontal="center" vertical="center"/>
    </xf>
    <xf numFmtId="183" fontId="173" fillId="4" borderId="0" xfId="0" applyNumberFormat="1" applyFont="1" applyFill="1" applyAlignment="1">
      <alignment horizontal="right" vertical="center"/>
    </xf>
    <xf numFmtId="0" fontId="176" fillId="4" borderId="4" xfId="0" applyFont="1" applyFill="1" applyBorder="1" applyAlignment="1">
      <alignment horizontal="center" vertical="center"/>
    </xf>
    <xf numFmtId="0" fontId="179" fillId="0" borderId="0" xfId="2" applyFont="1" applyAlignment="1">
      <alignment horizontal="center" vertical="center"/>
    </xf>
    <xf numFmtId="183" fontId="179" fillId="0" borderId="0" xfId="2" applyNumberFormat="1" applyFont="1" applyAlignment="1">
      <alignment horizontal="center" vertical="center"/>
    </xf>
    <xf numFmtId="0" fontId="181" fillId="0" borderId="0" xfId="2" applyFont="1" applyAlignment="1">
      <alignment horizontal="center" vertical="center"/>
    </xf>
    <xf numFmtId="183" fontId="181" fillId="0" borderId="0" xfId="2" applyNumberFormat="1" applyFont="1" applyAlignment="1">
      <alignment horizontal="center" vertical="center"/>
    </xf>
    <xf numFmtId="0" fontId="182" fillId="0" borderId="0" xfId="2" applyFont="1" applyAlignment="1">
      <alignment horizontal="center" vertical="center"/>
    </xf>
    <xf numFmtId="0" fontId="129" fillId="0" borderId="0" xfId="2" applyFont="1">
      <alignment vertical="center"/>
    </xf>
    <xf numFmtId="0" fontId="179" fillId="0" borderId="0" xfId="2" applyFont="1" applyAlignment="1">
      <alignment horizontal="left" vertical="center"/>
    </xf>
    <xf numFmtId="0" fontId="130" fillId="0" borderId="0" xfId="2" applyFont="1">
      <alignment vertical="center"/>
    </xf>
    <xf numFmtId="0" fontId="182" fillId="0" borderId="0" xfId="2" applyFont="1" applyAlignment="1">
      <alignment horizontal="left" vertical="center"/>
    </xf>
    <xf numFmtId="0" fontId="182" fillId="0" borderId="0" xfId="2" applyFont="1">
      <alignment vertical="center"/>
    </xf>
    <xf numFmtId="38" fontId="182" fillId="0" borderId="0" xfId="0" applyNumberFormat="1" applyFont="1" applyAlignment="1">
      <alignment horizontal="center" vertical="center"/>
    </xf>
    <xf numFmtId="185" fontId="132" fillId="0" borderId="0" xfId="2" applyNumberFormat="1" applyFont="1" applyAlignment="1">
      <alignment horizontal="center" vertical="center"/>
    </xf>
    <xf numFmtId="179" fontId="132" fillId="0" borderId="0" xfId="2" applyNumberFormat="1" applyFont="1" applyAlignment="1">
      <alignment horizontal="center" vertical="center"/>
    </xf>
    <xf numFmtId="0" fontId="145" fillId="52" borderId="49" xfId="0" applyFont="1" applyFill="1" applyBorder="1">
      <alignment vertical="center"/>
    </xf>
    <xf numFmtId="0" fontId="172" fillId="4" borderId="7" xfId="0" applyFont="1" applyFill="1" applyBorder="1" applyAlignment="1">
      <alignment horizontal="left" vertical="center"/>
    </xf>
    <xf numFmtId="0" fontId="172" fillId="4" borderId="7" xfId="0" applyFont="1" applyFill="1" applyBorder="1">
      <alignment vertical="center"/>
    </xf>
    <xf numFmtId="183" fontId="173" fillId="4" borderId="6" xfId="0" applyNumberFormat="1" applyFont="1" applyFill="1" applyBorder="1" applyAlignment="1">
      <alignment horizontal="right" vertical="center"/>
    </xf>
    <xf numFmtId="0" fontId="172" fillId="4" borderId="169" xfId="0" applyFont="1" applyFill="1" applyBorder="1" applyAlignment="1">
      <alignment horizontal="left" vertical="center"/>
    </xf>
    <xf numFmtId="0" fontId="172" fillId="4" borderId="169" xfId="0" applyFont="1" applyFill="1" applyBorder="1">
      <alignment vertical="center"/>
    </xf>
    <xf numFmtId="183" fontId="173" fillId="4" borderId="38" xfId="0" applyNumberFormat="1" applyFont="1" applyFill="1" applyBorder="1" applyAlignment="1">
      <alignment horizontal="right" vertical="center"/>
    </xf>
    <xf numFmtId="0" fontId="172" fillId="4" borderId="172" xfId="0" applyFont="1" applyFill="1" applyBorder="1" applyAlignment="1">
      <alignment horizontal="left" vertical="center"/>
    </xf>
    <xf numFmtId="0" fontId="172" fillId="4" borderId="172" xfId="0" applyFont="1" applyFill="1" applyBorder="1">
      <alignment vertical="center"/>
    </xf>
    <xf numFmtId="183" fontId="173" fillId="4" borderId="173" xfId="0" applyNumberFormat="1" applyFont="1" applyFill="1" applyBorder="1" applyAlignment="1">
      <alignment horizontal="right" vertical="center"/>
    </xf>
    <xf numFmtId="183" fontId="173" fillId="9" borderId="6" xfId="0" applyNumberFormat="1" applyFont="1" applyFill="1" applyBorder="1" applyAlignment="1">
      <alignment horizontal="center" vertical="center"/>
    </xf>
    <xf numFmtId="0" fontId="141" fillId="9" borderId="7" xfId="0" applyFont="1" applyFill="1" applyBorder="1" applyAlignment="1">
      <alignment horizontal="center" vertical="center" wrapText="1"/>
    </xf>
    <xf numFmtId="0" fontId="183" fillId="0" borderId="0" xfId="0" applyFont="1" applyAlignment="1">
      <alignment horizontal="left" vertical="center"/>
    </xf>
    <xf numFmtId="0" fontId="183" fillId="5" borderId="0" xfId="0" applyFont="1" applyFill="1" applyAlignment="1">
      <alignment horizontal="left" vertical="center"/>
    </xf>
    <xf numFmtId="0" fontId="184" fillId="0" borderId="7" xfId="0" applyFont="1" applyBorder="1" applyAlignment="1">
      <alignment horizontal="center" vertical="center"/>
    </xf>
    <xf numFmtId="0" fontId="185" fillId="0" borderId="7" xfId="0" applyFont="1" applyBorder="1" applyAlignment="1">
      <alignment horizontal="center" vertical="center"/>
    </xf>
    <xf numFmtId="0" fontId="186" fillId="0" borderId="7" xfId="0" applyFont="1" applyBorder="1" applyAlignment="1">
      <alignment horizontal="center" vertical="center"/>
    </xf>
    <xf numFmtId="179" fontId="128" fillId="4" borderId="160" xfId="0" applyNumberFormat="1" applyFont="1" applyFill="1" applyBorder="1" applyAlignment="1">
      <alignment horizontal="right" vertical="center"/>
    </xf>
    <xf numFmtId="183" fontId="129" fillId="4" borderId="160" xfId="0" applyNumberFormat="1" applyFont="1" applyFill="1" applyBorder="1" applyAlignment="1">
      <alignment horizontal="center" vertical="center"/>
    </xf>
    <xf numFmtId="178" fontId="122" fillId="4" borderId="164" xfId="0" applyNumberFormat="1" applyFont="1" applyFill="1" applyBorder="1" applyAlignment="1">
      <alignment horizontal="right" vertical="center"/>
    </xf>
    <xf numFmtId="38" fontId="155" fillId="4" borderId="164" xfId="0" applyNumberFormat="1" applyFont="1" applyFill="1" applyBorder="1" applyAlignment="1">
      <alignment horizontal="right" vertical="center"/>
    </xf>
    <xf numFmtId="10" fontId="154" fillId="4" borderId="164" xfId="0" applyNumberFormat="1" applyFont="1" applyFill="1" applyBorder="1" applyAlignment="1">
      <alignment horizontal="center" vertical="center"/>
    </xf>
    <xf numFmtId="0" fontId="122" fillId="4" borderId="164" xfId="9" applyFont="1" applyFill="1" applyBorder="1" applyAlignment="1">
      <alignment horizontal="center" vertical="center"/>
    </xf>
    <xf numFmtId="179" fontId="128" fillId="4" borderId="161" xfId="0" applyNumberFormat="1" applyFont="1" applyFill="1" applyBorder="1" applyAlignment="1">
      <alignment horizontal="right" vertical="center"/>
    </xf>
    <xf numFmtId="183" fontId="129" fillId="4" borderId="161" xfId="0" applyNumberFormat="1" applyFont="1" applyFill="1" applyBorder="1" applyAlignment="1">
      <alignment horizontal="center" vertical="center"/>
    </xf>
    <xf numFmtId="178" fontId="122" fillId="4" borderId="161" xfId="0" applyNumberFormat="1" applyFont="1" applyFill="1" applyBorder="1" applyAlignment="1">
      <alignment horizontal="right" vertical="center"/>
    </xf>
    <xf numFmtId="38" fontId="155" fillId="4" borderId="161" xfId="0" applyNumberFormat="1" applyFont="1" applyFill="1" applyBorder="1" applyAlignment="1">
      <alignment horizontal="right" vertical="center"/>
    </xf>
    <xf numFmtId="10" fontId="154" fillId="4" borderId="161" xfId="0" applyNumberFormat="1" applyFont="1" applyFill="1" applyBorder="1" applyAlignment="1">
      <alignment horizontal="center" vertical="center"/>
    </xf>
    <xf numFmtId="179" fontId="128" fillId="4" borderId="162" xfId="0" applyNumberFormat="1" applyFont="1" applyFill="1" applyBorder="1" applyAlignment="1">
      <alignment horizontal="right" vertical="center"/>
    </xf>
    <xf numFmtId="183" fontId="129" fillId="4" borderId="162" xfId="0" applyNumberFormat="1" applyFont="1" applyFill="1" applyBorder="1" applyAlignment="1">
      <alignment horizontal="center" vertical="center"/>
    </xf>
    <xf numFmtId="178" fontId="122" fillId="4" borderId="162" xfId="0" applyNumberFormat="1" applyFont="1" applyFill="1" applyBorder="1" applyAlignment="1">
      <alignment horizontal="right" vertical="center"/>
    </xf>
    <xf numFmtId="38" fontId="155" fillId="4" borderId="162" xfId="0" applyNumberFormat="1" applyFont="1" applyFill="1" applyBorder="1" applyAlignment="1">
      <alignment horizontal="right" vertical="center"/>
    </xf>
    <xf numFmtId="10" fontId="154" fillId="4" borderId="162" xfId="0" applyNumberFormat="1" applyFont="1" applyFill="1" applyBorder="1" applyAlignment="1">
      <alignment horizontal="center" vertical="center"/>
    </xf>
    <xf numFmtId="0" fontId="122" fillId="4" borderId="160" xfId="9" applyFont="1" applyFill="1" applyBorder="1" applyAlignment="1">
      <alignment horizontal="center" vertical="center"/>
    </xf>
    <xf numFmtId="179" fontId="128" fillId="4" borderId="163" xfId="0" applyNumberFormat="1" applyFont="1" applyFill="1" applyBorder="1" applyAlignment="1">
      <alignment horizontal="right" vertical="center"/>
    </xf>
    <xf numFmtId="183" fontId="129" fillId="4" borderId="163" xfId="0" applyNumberFormat="1" applyFont="1" applyFill="1" applyBorder="1" applyAlignment="1">
      <alignment horizontal="center" vertical="center"/>
    </xf>
    <xf numFmtId="178" fontId="122" fillId="4" borderId="163" xfId="0" applyNumberFormat="1" applyFont="1" applyFill="1" applyBorder="1" applyAlignment="1">
      <alignment horizontal="right" vertical="center"/>
    </xf>
    <xf numFmtId="38" fontId="155" fillId="4" borderId="163" xfId="0" applyNumberFormat="1" applyFont="1" applyFill="1" applyBorder="1" applyAlignment="1">
      <alignment horizontal="right" vertical="center"/>
    </xf>
    <xf numFmtId="10" fontId="154" fillId="4" borderId="163" xfId="0" applyNumberFormat="1" applyFont="1" applyFill="1" applyBorder="1" applyAlignment="1">
      <alignment horizontal="center" vertical="center"/>
    </xf>
    <xf numFmtId="0" fontId="122" fillId="4" borderId="163" xfId="9" applyFont="1" applyFill="1" applyBorder="1" applyAlignment="1">
      <alignment horizontal="center" vertical="center"/>
    </xf>
    <xf numFmtId="0" fontId="122" fillId="4" borderId="161" xfId="9" applyFont="1" applyFill="1" applyBorder="1" applyAlignment="1">
      <alignment horizontal="center" vertical="center"/>
    </xf>
    <xf numFmtId="179" fontId="128" fillId="51" borderId="165" xfId="0" applyNumberFormat="1" applyFont="1" applyFill="1" applyBorder="1" applyAlignment="1">
      <alignment horizontal="right" vertical="center"/>
    </xf>
    <xf numFmtId="183" fontId="129" fillId="51" borderId="165" xfId="0" applyNumberFormat="1" applyFont="1" applyFill="1" applyBorder="1" applyAlignment="1">
      <alignment horizontal="center" vertical="center"/>
    </xf>
    <xf numFmtId="178" fontId="154" fillId="52" borderId="165" xfId="0" applyNumberFormat="1" applyFont="1" applyFill="1" applyBorder="1" applyAlignment="1">
      <alignment horizontal="right" vertical="center"/>
    </xf>
    <xf numFmtId="38" fontId="154" fillId="52" borderId="165" xfId="0" applyNumberFormat="1" applyFont="1" applyFill="1" applyBorder="1" applyAlignment="1">
      <alignment horizontal="right" vertical="center"/>
    </xf>
    <xf numFmtId="10" fontId="154" fillId="52" borderId="165" xfId="0" applyNumberFormat="1" applyFont="1" applyFill="1" applyBorder="1" applyAlignment="1">
      <alignment horizontal="center" vertical="center"/>
    </xf>
    <xf numFmtId="10" fontId="122" fillId="52" borderId="165" xfId="0" applyNumberFormat="1" applyFont="1" applyFill="1" applyBorder="1" applyAlignment="1">
      <alignment horizontal="center" vertical="center"/>
    </xf>
    <xf numFmtId="9" fontId="129" fillId="6" borderId="71" xfId="0" applyNumberFormat="1" applyFont="1" applyFill="1" applyBorder="1" applyAlignment="1">
      <alignment horizontal="center" vertical="center"/>
    </xf>
    <xf numFmtId="179" fontId="108" fillId="51" borderId="179" xfId="0" applyNumberFormat="1" applyFont="1" applyFill="1" applyBorder="1" applyAlignment="1">
      <alignment horizontal="right" vertical="center"/>
    </xf>
    <xf numFmtId="183" fontId="129" fillId="51" borderId="179" xfId="0" applyNumberFormat="1" applyFont="1" applyFill="1" applyBorder="1" applyAlignment="1">
      <alignment horizontal="center" vertical="center"/>
    </xf>
    <xf numFmtId="178" fontId="129" fillId="52" borderId="166" xfId="0" applyNumberFormat="1" applyFont="1" applyFill="1" applyBorder="1" applyAlignment="1">
      <alignment horizontal="center" vertical="center"/>
    </xf>
    <xf numFmtId="179" fontId="129" fillId="52" borderId="166" xfId="0" applyNumberFormat="1" applyFont="1" applyFill="1" applyBorder="1" applyAlignment="1">
      <alignment horizontal="right" vertical="center"/>
    </xf>
    <xf numFmtId="10" fontId="154" fillId="52" borderId="166" xfId="0" applyNumberFormat="1" applyFont="1" applyFill="1" applyBorder="1" applyAlignment="1">
      <alignment horizontal="center" vertical="center"/>
    </xf>
    <xf numFmtId="0" fontId="129" fillId="52" borderId="166" xfId="0" applyFont="1" applyFill="1" applyBorder="1" applyAlignment="1">
      <alignment horizontal="center" vertical="center"/>
    </xf>
    <xf numFmtId="178" fontId="129" fillId="9" borderId="73" xfId="0" applyNumberFormat="1" applyFont="1" applyFill="1" applyBorder="1" applyAlignment="1">
      <alignment horizontal="center" vertical="center"/>
    </xf>
    <xf numFmtId="0" fontId="125" fillId="51" borderId="159" xfId="0" applyFont="1" applyFill="1" applyBorder="1" applyAlignment="1">
      <alignment horizontal="center" vertical="center" wrapText="1"/>
    </xf>
    <xf numFmtId="0" fontId="115" fillId="52" borderId="159" xfId="0" applyFont="1" applyFill="1" applyBorder="1" applyAlignment="1">
      <alignment horizontal="center" vertical="center" wrapText="1"/>
    </xf>
    <xf numFmtId="0" fontId="155" fillId="49" borderId="21" xfId="0" applyFont="1" applyFill="1" applyBorder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38" fontId="169" fillId="4" borderId="152" xfId="0" applyNumberFormat="1" applyFont="1" applyFill="1" applyBorder="1" applyAlignment="1">
      <alignment horizontal="right" vertical="center"/>
    </xf>
    <xf numFmtId="183" fontId="169" fillId="4" borderId="75" xfId="0" applyNumberFormat="1" applyFont="1" applyFill="1" applyBorder="1" applyAlignment="1">
      <alignment horizontal="right" vertical="center"/>
    </xf>
    <xf numFmtId="38" fontId="169" fillId="4" borderId="162" xfId="0" applyNumberFormat="1" applyFont="1" applyFill="1" applyBorder="1" applyAlignment="1">
      <alignment horizontal="right" vertical="center"/>
    </xf>
    <xf numFmtId="183" fontId="169" fillId="4" borderId="162" xfId="0" applyNumberFormat="1" applyFont="1" applyFill="1" applyBorder="1" applyAlignment="1">
      <alignment horizontal="right" vertical="center"/>
    </xf>
    <xf numFmtId="0" fontId="188" fillId="0" borderId="0" xfId="2" applyFont="1" applyAlignment="1">
      <alignment horizontal="center" vertical="center"/>
    </xf>
    <xf numFmtId="183" fontId="188" fillId="0" borderId="0" xfId="2" applyNumberFormat="1" applyFont="1" applyAlignment="1">
      <alignment horizontal="center" vertical="center"/>
    </xf>
    <xf numFmtId="0" fontId="189" fillId="0" borderId="0" xfId="2" applyFont="1" applyAlignment="1">
      <alignment horizontal="center" vertical="center"/>
    </xf>
    <xf numFmtId="0" fontId="190" fillId="0" borderId="0" xfId="2" applyFont="1" applyAlignment="1">
      <alignment horizontal="center" vertical="center"/>
    </xf>
    <xf numFmtId="183" fontId="190" fillId="0" borderId="0" xfId="2" applyNumberFormat="1" applyFont="1" applyAlignment="1">
      <alignment horizontal="center" vertical="center"/>
    </xf>
    <xf numFmtId="0" fontId="129" fillId="0" borderId="0" xfId="0" applyFont="1">
      <alignment vertical="center"/>
    </xf>
    <xf numFmtId="0" fontId="7" fillId="50" borderId="6" xfId="0" applyFont="1" applyFill="1" applyBorder="1" applyAlignment="1">
      <alignment horizontal="center" vertical="center"/>
    </xf>
    <xf numFmtId="180" fontId="37" fillId="50" borderId="4" xfId="10" applyNumberFormat="1" applyFont="1" applyFill="1" applyBorder="1" applyAlignment="1">
      <alignment horizontal="center" vertical="center"/>
    </xf>
    <xf numFmtId="0" fontId="39" fillId="50" borderId="6" xfId="0" applyFont="1" applyFill="1" applyBorder="1" applyAlignment="1">
      <alignment horizontal="center" vertical="center"/>
    </xf>
    <xf numFmtId="0" fontId="39" fillId="50" borderId="7" xfId="0" applyFont="1" applyFill="1" applyBorder="1" applyAlignment="1">
      <alignment horizontal="center" vertical="center"/>
    </xf>
    <xf numFmtId="183" fontId="169" fillId="4" borderId="27" xfId="0" applyNumberFormat="1" applyFont="1" applyFill="1" applyBorder="1" applyAlignment="1">
      <alignment horizontal="center" vertical="center"/>
    </xf>
    <xf numFmtId="0" fontId="155" fillId="9" borderId="20" xfId="0" applyFont="1" applyFill="1" applyBorder="1" applyAlignment="1">
      <alignment horizontal="center" vertical="center" wrapText="1"/>
    </xf>
    <xf numFmtId="0" fontId="122" fillId="9" borderId="20" xfId="0" applyFont="1" applyFill="1" applyBorder="1" applyAlignment="1">
      <alignment horizontal="center" vertical="center" wrapText="1"/>
    </xf>
    <xf numFmtId="38" fontId="155" fillId="4" borderId="33" xfId="0" applyNumberFormat="1" applyFont="1" applyFill="1" applyBorder="1" applyAlignment="1">
      <alignment horizontal="right" vertical="center"/>
    </xf>
    <xf numFmtId="38" fontId="155" fillId="4" borderId="45" xfId="0" applyNumberFormat="1" applyFont="1" applyFill="1" applyBorder="1" applyAlignment="1">
      <alignment horizontal="right" vertical="center"/>
    </xf>
    <xf numFmtId="38" fontId="155" fillId="4" borderId="116" xfId="0" applyNumberFormat="1" applyFont="1" applyFill="1" applyBorder="1" applyAlignment="1">
      <alignment horizontal="right" vertical="center"/>
    </xf>
    <xf numFmtId="38" fontId="154" fillId="9" borderId="88" xfId="0" applyNumberFormat="1" applyFont="1" applyFill="1" applyBorder="1" applyAlignment="1">
      <alignment horizontal="right" vertical="center"/>
    </xf>
    <xf numFmtId="178" fontId="122" fillId="4" borderId="18" xfId="0" applyNumberFormat="1" applyFont="1" applyFill="1" applyBorder="1" applyAlignment="1">
      <alignment horizontal="right" vertical="center"/>
    </xf>
    <xf numFmtId="178" fontId="122" fillId="4" borderId="13" xfId="0" applyNumberFormat="1" applyFont="1" applyFill="1" applyBorder="1" applyAlignment="1">
      <alignment horizontal="right" vertical="center"/>
    </xf>
    <xf numFmtId="178" fontId="122" fillId="4" borderId="26" xfId="0" applyNumberFormat="1" applyFont="1" applyFill="1" applyBorder="1" applyAlignment="1">
      <alignment horizontal="right" vertical="center"/>
    </xf>
    <xf numFmtId="178" fontId="122" fillId="4" borderId="115" xfId="0" applyNumberFormat="1" applyFont="1" applyFill="1" applyBorder="1" applyAlignment="1">
      <alignment horizontal="right" vertical="center"/>
    </xf>
    <xf numFmtId="178" fontId="154" fillId="9" borderId="92" xfId="0" applyNumberFormat="1" applyFont="1" applyFill="1" applyBorder="1" applyAlignment="1">
      <alignment horizontal="right" vertical="center"/>
    </xf>
    <xf numFmtId="10" fontId="154" fillId="4" borderId="33" xfId="0" applyNumberFormat="1" applyFont="1" applyFill="1" applyBorder="1" applyAlignment="1">
      <alignment horizontal="center" vertical="center"/>
    </xf>
    <xf numFmtId="10" fontId="154" fillId="4" borderId="45" xfId="0" applyNumberFormat="1" applyFont="1" applyFill="1" applyBorder="1" applyAlignment="1">
      <alignment horizontal="center" vertical="center"/>
    </xf>
    <xf numFmtId="10" fontId="154" fillId="4" borderId="116" xfId="0" applyNumberFormat="1" applyFont="1" applyFill="1" applyBorder="1" applyAlignment="1">
      <alignment horizontal="center" vertical="center"/>
    </xf>
    <xf numFmtId="0" fontId="122" fillId="9" borderId="22" xfId="0" applyFont="1" applyFill="1" applyBorder="1" applyAlignment="1">
      <alignment horizontal="center" vertical="center" wrapText="1"/>
    </xf>
    <xf numFmtId="0" fontId="129" fillId="9" borderId="0" xfId="0" applyFont="1" applyFill="1" applyAlignment="1">
      <alignment horizontal="center" vertical="center"/>
    </xf>
    <xf numFmtId="0" fontId="122" fillId="4" borderId="28" xfId="9" applyFont="1" applyFill="1" applyBorder="1" applyAlignment="1">
      <alignment horizontal="center" vertical="center"/>
    </xf>
    <xf numFmtId="0" fontId="122" fillId="4" borderId="50" xfId="9" applyFont="1" applyFill="1" applyBorder="1" applyAlignment="1">
      <alignment horizontal="center" vertical="center"/>
    </xf>
    <xf numFmtId="0" fontId="122" fillId="4" borderId="117" xfId="9" applyFont="1" applyFill="1" applyBorder="1" applyAlignment="1">
      <alignment horizontal="center" vertical="center"/>
    </xf>
    <xf numFmtId="0" fontId="122" fillId="4" borderId="25" xfId="9" applyFont="1" applyFill="1" applyBorder="1" applyAlignment="1">
      <alignment horizontal="center" vertical="center"/>
    </xf>
    <xf numFmtId="10" fontId="128" fillId="9" borderId="113" xfId="0" applyNumberFormat="1" applyFont="1" applyFill="1" applyBorder="1" applyAlignment="1">
      <alignment horizontal="center" vertical="center"/>
    </xf>
    <xf numFmtId="0" fontId="129" fillId="12" borderId="0" xfId="9" applyFont="1" applyFill="1" applyAlignment="1">
      <alignment horizontal="left" vertical="center"/>
    </xf>
    <xf numFmtId="10" fontId="154" fillId="12" borderId="0" xfId="9" applyNumberFormat="1" applyFont="1" applyFill="1" applyAlignment="1">
      <alignment horizontal="left" vertical="center"/>
    </xf>
    <xf numFmtId="0" fontId="122" fillId="4" borderId="4" xfId="9" applyFont="1" applyFill="1" applyBorder="1" applyAlignment="1">
      <alignment horizontal="center" vertical="center"/>
    </xf>
    <xf numFmtId="0" fontId="122" fillId="4" borderId="104" xfId="9" applyFont="1" applyFill="1" applyBorder="1" applyAlignment="1">
      <alignment horizontal="center" vertical="center"/>
    </xf>
    <xf numFmtId="0" fontId="122" fillId="4" borderId="182" xfId="9" applyFont="1" applyFill="1" applyBorder="1" applyAlignment="1">
      <alignment horizontal="center" vertical="center"/>
    </xf>
    <xf numFmtId="0" fontId="122" fillId="6" borderId="4" xfId="9" applyFont="1" applyFill="1" applyBorder="1" applyAlignment="1">
      <alignment horizontal="center" vertical="center"/>
    </xf>
    <xf numFmtId="185" fontId="122" fillId="9" borderId="184" xfId="0" applyNumberFormat="1" applyFont="1" applyFill="1" applyBorder="1" applyAlignment="1">
      <alignment horizontal="center" vertical="center"/>
    </xf>
    <xf numFmtId="0" fontId="154" fillId="4" borderId="5" xfId="9" applyFont="1" applyFill="1" applyBorder="1" applyAlignment="1">
      <alignment horizontal="center" vertical="center"/>
    </xf>
    <xf numFmtId="0" fontId="154" fillId="6" borderId="5" xfId="9" applyFont="1" applyFill="1" applyBorder="1" applyAlignment="1">
      <alignment horizontal="center" vertical="center"/>
    </xf>
    <xf numFmtId="0" fontId="154" fillId="4" borderId="120" xfId="9" applyFont="1" applyFill="1" applyBorder="1" applyAlignment="1">
      <alignment horizontal="center" vertical="center"/>
    </xf>
    <xf numFmtId="0" fontId="154" fillId="4" borderId="183" xfId="9" applyFont="1" applyFill="1" applyBorder="1" applyAlignment="1">
      <alignment horizontal="center" vertical="center"/>
    </xf>
    <xf numFmtId="185" fontId="154" fillId="9" borderId="185" xfId="0" applyNumberFormat="1" applyFont="1" applyFill="1" applyBorder="1" applyAlignment="1">
      <alignment horizontal="center" vertical="center"/>
    </xf>
    <xf numFmtId="0" fontId="122" fillId="4" borderId="14" xfId="9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191" fillId="2" borderId="0" xfId="8" applyFont="1" applyFill="1" applyAlignment="1">
      <alignment horizontal="left" wrapText="1"/>
    </xf>
    <xf numFmtId="0" fontId="147" fillId="52" borderId="49" xfId="0" applyFont="1" applyFill="1" applyBorder="1" applyAlignment="1">
      <alignment horizontal="center" vertical="center"/>
    </xf>
    <xf numFmtId="0" fontId="110" fillId="13" borderId="2" xfId="0" applyFont="1" applyFill="1" applyBorder="1" applyAlignment="1">
      <alignment horizontal="center" vertical="center"/>
    </xf>
    <xf numFmtId="0" fontId="192" fillId="6" borderId="7" xfId="0" applyFont="1" applyFill="1" applyBorder="1" applyAlignment="1">
      <alignment horizontal="left" vertical="center"/>
    </xf>
    <xf numFmtId="179" fontId="170" fillId="4" borderId="0" xfId="0" applyNumberFormat="1" applyFont="1" applyFill="1" applyAlignment="1">
      <alignment horizontal="center" vertical="center"/>
    </xf>
    <xf numFmtId="183" fontId="171" fillId="4" borderId="50" xfId="0" applyNumberFormat="1" applyFont="1" applyFill="1" applyBorder="1" applyAlignment="1">
      <alignment horizontal="center" vertical="center"/>
    </xf>
    <xf numFmtId="38" fontId="171" fillId="6" borderId="150" xfId="0" applyNumberFormat="1" applyFont="1" applyFill="1" applyBorder="1" applyAlignment="1">
      <alignment horizontal="right" vertical="center"/>
    </xf>
    <xf numFmtId="183" fontId="171" fillId="6" borderId="53" xfId="0" applyNumberFormat="1" applyFont="1" applyFill="1" applyBorder="1" applyAlignment="1">
      <alignment horizontal="right" vertical="center"/>
    </xf>
    <xf numFmtId="38" fontId="171" fillId="6" borderId="160" xfId="0" applyNumberFormat="1" applyFont="1" applyFill="1" applyBorder="1" applyAlignment="1">
      <alignment horizontal="right" vertical="center"/>
    </xf>
    <xf numFmtId="183" fontId="171" fillId="6" borderId="160" xfId="0" applyNumberFormat="1" applyFont="1" applyFill="1" applyBorder="1" applyAlignment="1">
      <alignment horizontal="right" vertical="center"/>
    </xf>
    <xf numFmtId="9" fontId="171" fillId="4" borderId="53" xfId="0" applyNumberFormat="1" applyFont="1" applyFill="1" applyBorder="1" applyAlignment="1">
      <alignment horizontal="center" vertical="center"/>
    </xf>
    <xf numFmtId="0" fontId="110" fillId="13" borderId="51" xfId="0" applyFont="1" applyFill="1" applyBorder="1" applyAlignment="1">
      <alignment horizontal="center" vertical="center"/>
    </xf>
    <xf numFmtId="38" fontId="169" fillId="6" borderId="151" xfId="0" applyNumberFormat="1" applyFont="1" applyFill="1" applyBorder="1" applyAlignment="1">
      <alignment horizontal="right" vertical="center"/>
    </xf>
    <xf numFmtId="183" fontId="169" fillId="6" borderId="14" xfId="0" applyNumberFormat="1" applyFont="1" applyFill="1" applyBorder="1" applyAlignment="1">
      <alignment horizontal="right" vertical="center"/>
    </xf>
    <xf numFmtId="38" fontId="169" fillId="6" borderId="161" xfId="0" applyNumberFormat="1" applyFont="1" applyFill="1" applyBorder="1" applyAlignment="1">
      <alignment horizontal="right" vertical="center"/>
    </xf>
    <xf numFmtId="183" fontId="169" fillId="6" borderId="161" xfId="0" applyNumberFormat="1" applyFont="1" applyFill="1" applyBorder="1" applyAlignment="1">
      <alignment horizontal="right" vertical="center"/>
    </xf>
    <xf numFmtId="183" fontId="171" fillId="4" borderId="117" xfId="0" applyNumberFormat="1" applyFont="1" applyFill="1" applyBorder="1" applyAlignment="1">
      <alignment horizontal="center" vertical="center"/>
    </xf>
    <xf numFmtId="183" fontId="171" fillId="4" borderId="25" xfId="0" applyNumberFormat="1" applyFont="1" applyFill="1" applyBorder="1" applyAlignment="1">
      <alignment horizontal="center" vertical="center"/>
    </xf>
    <xf numFmtId="38" fontId="171" fillId="4" borderId="153" xfId="0" applyNumberFormat="1" applyFont="1" applyFill="1" applyBorder="1" applyAlignment="1">
      <alignment horizontal="right" vertical="center"/>
    </xf>
    <xf numFmtId="183" fontId="171" fillId="4" borderId="118" xfId="0" applyNumberFormat="1" applyFont="1" applyFill="1" applyBorder="1" applyAlignment="1">
      <alignment horizontal="right" vertical="center"/>
    </xf>
    <xf numFmtId="38" fontId="171" fillId="4" borderId="163" xfId="0" applyNumberFormat="1" applyFont="1" applyFill="1" applyBorder="1" applyAlignment="1">
      <alignment horizontal="right" vertical="center"/>
    </xf>
    <xf numFmtId="183" fontId="171" fillId="4" borderId="163" xfId="0" applyNumberFormat="1" applyFont="1" applyFill="1" applyBorder="1" applyAlignment="1">
      <alignment horizontal="right" vertical="center"/>
    </xf>
    <xf numFmtId="9" fontId="171" fillId="4" borderId="118" xfId="0" applyNumberFormat="1" applyFont="1" applyFill="1" applyBorder="1" applyAlignment="1">
      <alignment horizontal="center" vertical="center"/>
    </xf>
    <xf numFmtId="0" fontId="170" fillId="4" borderId="28" xfId="0" applyFont="1" applyFill="1" applyBorder="1" applyAlignment="1">
      <alignment horizontal="left" vertical="center"/>
    </xf>
    <xf numFmtId="38" fontId="171" fillId="4" borderId="151" xfId="0" applyNumberFormat="1" applyFont="1" applyFill="1" applyBorder="1" applyAlignment="1">
      <alignment horizontal="right" vertical="center"/>
    </xf>
    <xf numFmtId="38" fontId="171" fillId="6" borderId="154" xfId="0" applyNumberFormat="1" applyFont="1" applyFill="1" applyBorder="1" applyAlignment="1">
      <alignment horizontal="right" vertical="center"/>
    </xf>
    <xf numFmtId="183" fontId="171" fillId="4" borderId="14" xfId="0" applyNumberFormat="1" applyFont="1" applyFill="1" applyBorder="1" applyAlignment="1">
      <alignment horizontal="right" vertical="center"/>
    </xf>
    <xf numFmtId="183" fontId="171" fillId="6" borderId="19" xfId="0" applyNumberFormat="1" applyFont="1" applyFill="1" applyBorder="1" applyAlignment="1">
      <alignment horizontal="right" vertical="center"/>
    </xf>
    <xf numFmtId="38" fontId="171" fillId="4" borderId="161" xfId="0" applyNumberFormat="1" applyFont="1" applyFill="1" applyBorder="1" applyAlignment="1">
      <alignment horizontal="right" vertical="center"/>
    </xf>
    <xf numFmtId="38" fontId="171" fillId="6" borderId="164" xfId="0" applyNumberFormat="1" applyFont="1" applyFill="1" applyBorder="1" applyAlignment="1">
      <alignment horizontal="right" vertical="center"/>
    </xf>
    <xf numFmtId="183" fontId="171" fillId="4" borderId="161" xfId="0" applyNumberFormat="1" applyFont="1" applyFill="1" applyBorder="1" applyAlignment="1">
      <alignment horizontal="right" vertical="center"/>
    </xf>
    <xf numFmtId="183" fontId="171" fillId="6" borderId="164" xfId="0" applyNumberFormat="1" applyFont="1" applyFill="1" applyBorder="1" applyAlignment="1">
      <alignment horizontal="right" vertical="center"/>
    </xf>
    <xf numFmtId="0" fontId="122" fillId="9" borderId="186" xfId="0" applyFont="1" applyFill="1" applyBorder="1" applyAlignment="1">
      <alignment horizontal="center" vertical="center" wrapText="1"/>
    </xf>
    <xf numFmtId="0" fontId="122" fillId="9" borderId="187" xfId="0" applyFont="1" applyFill="1" applyBorder="1" applyAlignment="1">
      <alignment horizontal="center" vertical="center" wrapText="1"/>
    </xf>
    <xf numFmtId="0" fontId="122" fillId="9" borderId="188" xfId="0" applyFont="1" applyFill="1" applyBorder="1" applyAlignment="1">
      <alignment horizontal="center" vertical="center" wrapText="1"/>
    </xf>
    <xf numFmtId="0" fontId="122" fillId="9" borderId="189" xfId="0" applyFont="1" applyFill="1" applyBorder="1" applyAlignment="1">
      <alignment horizontal="center" vertical="center" wrapText="1"/>
    </xf>
    <xf numFmtId="0" fontId="178" fillId="0" borderId="95" xfId="0" applyFont="1" applyBorder="1" applyAlignment="1">
      <alignment horizontal="center" vertical="center" wrapText="1"/>
    </xf>
    <xf numFmtId="0" fontId="178" fillId="0" borderId="52" xfId="0" applyFont="1" applyBorder="1" applyAlignment="1">
      <alignment horizontal="center" vertical="center" wrapText="1"/>
    </xf>
    <xf numFmtId="0" fontId="178" fillId="4" borderId="115" xfId="0" applyFont="1" applyFill="1" applyBorder="1" applyAlignment="1">
      <alignment horizontal="center" vertical="center" wrapText="1"/>
    </xf>
    <xf numFmtId="0" fontId="178" fillId="4" borderId="52" xfId="0" applyFont="1" applyFill="1" applyBorder="1" applyAlignment="1">
      <alignment horizontal="center" vertical="center" wrapText="1"/>
    </xf>
    <xf numFmtId="0" fontId="155" fillId="49" borderId="158" xfId="0" applyFont="1" applyFill="1" applyBorder="1" applyAlignment="1">
      <alignment horizontal="center" vertical="center" wrapText="1"/>
    </xf>
    <xf numFmtId="0" fontId="155" fillId="49" borderId="36" xfId="0" applyFont="1" applyFill="1" applyBorder="1" applyAlignment="1">
      <alignment horizontal="center" vertical="center" wrapText="1"/>
    </xf>
    <xf numFmtId="0" fontId="155" fillId="49" borderId="48" xfId="0" applyFont="1" applyFill="1" applyBorder="1" applyAlignment="1">
      <alignment horizontal="center" vertical="center" wrapText="1"/>
    </xf>
    <xf numFmtId="0" fontId="155" fillId="49" borderId="180" xfId="0" applyFont="1" applyFill="1" applyBorder="1" applyAlignment="1">
      <alignment horizontal="center" vertical="center" wrapText="1"/>
    </xf>
    <xf numFmtId="0" fontId="168" fillId="54" borderId="0" xfId="0" applyFont="1" applyFill="1" applyAlignment="1">
      <alignment horizontal="center" vertical="center"/>
    </xf>
    <xf numFmtId="0" fontId="122" fillId="9" borderId="61" xfId="0" applyFont="1" applyFill="1" applyBorder="1" applyAlignment="1">
      <alignment horizontal="center" vertical="center" wrapText="1"/>
    </xf>
    <xf numFmtId="0" fontId="122" fillId="9" borderId="15" xfId="0" applyFont="1" applyFill="1" applyBorder="1" applyAlignment="1">
      <alignment horizontal="center" vertical="center" wrapText="1"/>
    </xf>
    <xf numFmtId="0" fontId="122" fillId="9" borderId="42" xfId="0" applyFont="1" applyFill="1" applyBorder="1" applyAlignment="1">
      <alignment horizontal="center" vertical="center" wrapText="1"/>
    </xf>
    <xf numFmtId="0" fontId="122" fillId="9" borderId="43" xfId="0" applyFont="1" applyFill="1" applyBorder="1" applyAlignment="1">
      <alignment horizontal="center" vertical="center" wrapText="1"/>
    </xf>
    <xf numFmtId="0" fontId="153" fillId="51" borderId="181" xfId="0" applyFont="1" applyFill="1" applyBorder="1" applyAlignment="1">
      <alignment horizontal="center" vertical="center" wrapText="1"/>
    </xf>
    <xf numFmtId="0" fontId="115" fillId="52" borderId="158" xfId="0" applyFont="1" applyFill="1" applyBorder="1" applyAlignment="1">
      <alignment horizontal="center" vertical="center" wrapText="1"/>
    </xf>
    <xf numFmtId="0" fontId="115" fillId="52" borderId="159" xfId="0" applyFont="1" applyFill="1" applyBorder="1" applyAlignment="1">
      <alignment horizontal="center" vertical="center" wrapText="1"/>
    </xf>
    <xf numFmtId="0" fontId="158" fillId="0" borderId="113" xfId="0" applyFont="1" applyBorder="1" applyAlignment="1">
      <alignment horizontal="center" vertical="center"/>
    </xf>
    <xf numFmtId="0" fontId="122" fillId="9" borderId="15" xfId="0" applyFont="1" applyFill="1" applyBorder="1" applyAlignment="1">
      <alignment horizontal="center" vertical="center"/>
    </xf>
    <xf numFmtId="0" fontId="122" fillId="9" borderId="42" xfId="0" applyFont="1" applyFill="1" applyBorder="1" applyAlignment="1">
      <alignment horizontal="center" vertical="center"/>
    </xf>
    <xf numFmtId="0" fontId="122" fillId="9" borderId="20" xfId="0" applyFont="1" applyFill="1" applyBorder="1" applyAlignment="1">
      <alignment horizontal="center" vertical="center"/>
    </xf>
    <xf numFmtId="0" fontId="122" fillId="9" borderId="22" xfId="0" applyFont="1" applyFill="1" applyBorder="1" applyAlignment="1">
      <alignment horizontal="center" vertical="center" wrapText="1"/>
    </xf>
    <xf numFmtId="0" fontId="122" fillId="16" borderId="133" xfId="0" applyFont="1" applyFill="1" applyBorder="1" applyAlignment="1">
      <alignment horizontal="center" vertical="center" wrapText="1"/>
    </xf>
    <xf numFmtId="0" fontId="122" fillId="16" borderId="47" xfId="0" applyFont="1" applyFill="1" applyBorder="1" applyAlignment="1">
      <alignment horizontal="center" vertical="center" wrapText="1"/>
    </xf>
    <xf numFmtId="0" fontId="122" fillId="16" borderId="134" xfId="0" applyFont="1" applyFill="1" applyBorder="1" applyAlignment="1">
      <alignment horizontal="center" vertical="center" wrapText="1"/>
    </xf>
    <xf numFmtId="0" fontId="155" fillId="16" borderId="47" xfId="0" applyFont="1" applyFill="1" applyBorder="1" applyAlignment="1">
      <alignment horizontal="center" vertical="center" wrapText="1"/>
    </xf>
    <xf numFmtId="0" fontId="155" fillId="16" borderId="103" xfId="0" applyFont="1" applyFill="1" applyBorder="1" applyAlignment="1">
      <alignment horizontal="center" vertical="center" wrapText="1"/>
    </xf>
    <xf numFmtId="38" fontId="155" fillId="16" borderId="157" xfId="0" applyNumberFormat="1" applyFont="1" applyFill="1" applyBorder="1" applyAlignment="1">
      <alignment horizontal="center" vertical="center" wrapText="1"/>
    </xf>
    <xf numFmtId="38" fontId="155" fillId="16" borderId="15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7" fillId="13" borderId="36" xfId="0" applyFont="1" applyFill="1" applyBorder="1" applyAlignment="1">
      <alignment horizontal="center" vertical="center" wrapText="1"/>
    </xf>
    <xf numFmtId="0" fontId="31" fillId="13" borderId="48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3" borderId="3" xfId="0" applyFont="1" applyFill="1" applyBorder="1" applyAlignment="1">
      <alignment horizontal="center" vertical="center" wrapText="1"/>
    </xf>
    <xf numFmtId="0" fontId="12" fillId="48" borderId="8" xfId="0" applyFont="1" applyFill="1" applyBorder="1" applyAlignment="1">
      <alignment horizontal="center" vertical="center"/>
    </xf>
    <xf numFmtId="0" fontId="12" fillId="48" borderId="49" xfId="0" applyFont="1" applyFill="1" applyBorder="1" applyAlignment="1">
      <alignment horizontal="center" vertical="center"/>
    </xf>
    <xf numFmtId="0" fontId="24" fillId="48" borderId="7" xfId="0" applyFont="1" applyFill="1" applyBorder="1" applyAlignment="1">
      <alignment horizontal="center" vertical="center"/>
    </xf>
    <xf numFmtId="0" fontId="175" fillId="9" borderId="0" xfId="0" applyFont="1" applyFill="1" applyAlignment="1">
      <alignment horizontal="center" vertical="center"/>
    </xf>
    <xf numFmtId="0" fontId="138" fillId="55" borderId="167" xfId="0" applyFont="1" applyFill="1" applyBorder="1" applyAlignment="1">
      <alignment horizontal="center" vertical="center" wrapText="1"/>
    </xf>
    <xf numFmtId="0" fontId="138" fillId="55" borderId="168" xfId="0" applyFont="1" applyFill="1" applyBorder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77" fillId="9" borderId="1" xfId="0" applyFont="1" applyFill="1" applyBorder="1" applyAlignment="1">
      <alignment horizontal="center" vertical="center"/>
    </xf>
    <xf numFmtId="0" fontId="177" fillId="9" borderId="2" xfId="0" applyFont="1" applyFill="1" applyBorder="1" applyAlignment="1">
      <alignment horizontal="center" vertical="center"/>
    </xf>
    <xf numFmtId="0" fontId="177" fillId="9" borderId="51" xfId="0" applyFont="1" applyFill="1" applyBorder="1" applyAlignment="1">
      <alignment horizontal="center" vertical="center"/>
    </xf>
    <xf numFmtId="0" fontId="172" fillId="6" borderId="175" xfId="0" applyFont="1" applyFill="1" applyBorder="1" applyAlignment="1">
      <alignment horizontal="center" vertical="center" wrapText="1"/>
    </xf>
    <xf numFmtId="0" fontId="172" fillId="6" borderId="176" xfId="0" applyFont="1" applyFill="1" applyBorder="1" applyAlignment="1">
      <alignment horizontal="center" vertical="center"/>
    </xf>
    <xf numFmtId="0" fontId="138" fillId="6" borderId="175" xfId="0" applyFont="1" applyFill="1" applyBorder="1" applyAlignment="1">
      <alignment horizontal="center" vertical="center" wrapText="1"/>
    </xf>
    <xf numFmtId="0" fontId="138" fillId="6" borderId="176" xfId="0" applyFont="1" applyFill="1" applyBorder="1" applyAlignment="1">
      <alignment horizontal="center" vertical="center"/>
    </xf>
    <xf numFmtId="0" fontId="140" fillId="9" borderId="1" xfId="0" applyFont="1" applyFill="1" applyBorder="1" applyAlignment="1">
      <alignment horizontal="center" vertical="center"/>
    </xf>
    <xf numFmtId="0" fontId="140" fillId="9" borderId="2" xfId="0" applyFont="1" applyFill="1" applyBorder="1" applyAlignment="1">
      <alignment horizontal="center" vertical="center"/>
    </xf>
    <xf numFmtId="0" fontId="140" fillId="9" borderId="3" xfId="0" applyFont="1" applyFill="1" applyBorder="1" applyAlignment="1">
      <alignment horizontal="center" vertical="center"/>
    </xf>
    <xf numFmtId="0" fontId="86" fillId="9" borderId="41" xfId="0" applyFont="1" applyFill="1" applyBorder="1" applyAlignment="1">
      <alignment horizontal="center" vertical="center" wrapText="1"/>
    </xf>
    <xf numFmtId="0" fontId="86" fillId="9" borderId="44" xfId="0" applyFont="1" applyFill="1" applyBorder="1" applyAlignment="1">
      <alignment horizontal="center" vertical="center" wrapText="1"/>
    </xf>
    <xf numFmtId="0" fontId="89" fillId="9" borderId="42" xfId="0" applyFont="1" applyFill="1" applyBorder="1" applyAlignment="1">
      <alignment horizontal="center" vertical="center" wrapText="1"/>
    </xf>
    <xf numFmtId="0" fontId="86" fillId="9" borderId="42" xfId="0" applyFont="1" applyFill="1" applyBorder="1" applyAlignment="1">
      <alignment horizontal="center" vertical="center" wrapText="1"/>
    </xf>
    <xf numFmtId="0" fontId="86" fillId="9" borderId="17" xfId="0" applyFont="1" applyFill="1" applyBorder="1" applyAlignment="1">
      <alignment horizontal="center" vertical="center" wrapText="1"/>
    </xf>
    <xf numFmtId="0" fontId="100" fillId="0" borderId="46" xfId="0" applyFont="1" applyBorder="1" applyAlignment="1">
      <alignment horizontal="center" vertical="center" wrapText="1"/>
    </xf>
    <xf numFmtId="0" fontId="100" fillId="0" borderId="34" xfId="0" applyFont="1" applyBorder="1" applyAlignment="1">
      <alignment horizontal="center" vertical="center"/>
    </xf>
    <xf numFmtId="0" fontId="100" fillId="0" borderId="74" xfId="0" applyFont="1" applyBorder="1" applyAlignment="1">
      <alignment horizontal="center" vertical="center"/>
    </xf>
    <xf numFmtId="0" fontId="100" fillId="0" borderId="77" xfId="0" applyFont="1" applyBorder="1" applyAlignment="1">
      <alignment horizontal="center" vertical="center" wrapText="1"/>
    </xf>
    <xf numFmtId="0" fontId="100" fillId="0" borderId="94" xfId="0" applyFont="1" applyBorder="1" applyAlignment="1">
      <alignment horizontal="center" vertical="center"/>
    </xf>
    <xf numFmtId="0" fontId="104" fillId="7" borderId="0" xfId="0" applyFont="1" applyFill="1" applyAlignment="1">
      <alignment horizontal="center" vertical="center"/>
    </xf>
    <xf numFmtId="0" fontId="74" fillId="9" borderId="46" xfId="0" applyFont="1" applyFill="1" applyBorder="1" applyAlignment="1">
      <alignment horizontal="center" vertical="center" wrapText="1"/>
    </xf>
    <xf numFmtId="0" fontId="74" fillId="9" borderId="74" xfId="0" applyFont="1" applyFill="1" applyBorder="1" applyAlignment="1">
      <alignment horizontal="center" vertical="center"/>
    </xf>
    <xf numFmtId="0" fontId="86" fillId="9" borderId="42" xfId="0" applyFont="1" applyFill="1" applyBorder="1" applyAlignment="1">
      <alignment horizontal="center" vertical="center"/>
    </xf>
    <xf numFmtId="0" fontId="86" fillId="9" borderId="20" xfId="0" applyFont="1" applyFill="1" applyBorder="1" applyAlignment="1">
      <alignment horizontal="center" vertical="center"/>
    </xf>
    <xf numFmtId="0" fontId="86" fillId="9" borderId="43" xfId="0" applyFont="1" applyFill="1" applyBorder="1" applyAlignment="1">
      <alignment horizontal="center" vertical="center" wrapText="1"/>
    </xf>
    <xf numFmtId="0" fontId="86" fillId="9" borderId="22" xfId="0" applyFont="1" applyFill="1" applyBorder="1" applyAlignment="1">
      <alignment horizontal="center" vertical="center" wrapText="1"/>
    </xf>
    <xf numFmtId="0" fontId="87" fillId="9" borderId="43" xfId="0" applyFont="1" applyFill="1" applyBorder="1" applyAlignment="1">
      <alignment horizontal="center" vertical="center" wrapText="1"/>
    </xf>
    <xf numFmtId="0" fontId="87" fillId="9" borderId="22" xfId="0" applyFont="1" applyFill="1" applyBorder="1" applyAlignment="1">
      <alignment horizontal="center" vertical="center" wrapText="1"/>
    </xf>
    <xf numFmtId="0" fontId="86" fillId="16" borderId="46" xfId="0" applyFont="1" applyFill="1" applyBorder="1" applyAlignment="1">
      <alignment horizontal="center" vertical="center" wrapText="1"/>
    </xf>
    <xf numFmtId="0" fontId="86" fillId="16" borderId="47" xfId="0" applyFont="1" applyFill="1" applyBorder="1" applyAlignment="1">
      <alignment horizontal="center" vertical="center" wrapText="1"/>
    </xf>
    <xf numFmtId="0" fontId="35" fillId="16" borderId="46" xfId="0" applyFont="1" applyFill="1" applyBorder="1" applyAlignment="1">
      <alignment horizontal="center" vertical="center" wrapText="1"/>
    </xf>
    <xf numFmtId="0" fontId="35" fillId="16" borderId="47" xfId="0" applyFont="1" applyFill="1" applyBorder="1" applyAlignment="1">
      <alignment horizontal="center" vertical="center" wrapText="1"/>
    </xf>
    <xf numFmtId="0" fontId="35" fillId="16" borderId="48" xfId="0" applyFont="1" applyFill="1" applyBorder="1" applyAlignment="1">
      <alignment horizontal="center" vertical="center" wrapText="1"/>
    </xf>
    <xf numFmtId="0" fontId="35" fillId="49" borderId="36" xfId="0" applyFont="1" applyFill="1" applyBorder="1" applyAlignment="1">
      <alignment horizontal="center" vertical="center" wrapText="1"/>
    </xf>
    <xf numFmtId="0" fontId="35" fillId="49" borderId="48" xfId="0" applyFont="1" applyFill="1" applyBorder="1" applyAlignment="1">
      <alignment horizontal="center" vertical="center" wrapText="1"/>
    </xf>
  </cellXfs>
  <cellStyles count="96">
    <cellStyle name="%" xfId="20" xr:uid="{00000000-0005-0000-0000-000000000000}"/>
    <cellStyle name="% 2" xfId="91" xr:uid="{00000000-0005-0000-0000-000001000000}"/>
    <cellStyle name="20% - 輔色1" xfId="61" builtinId="30" customBuiltin="1"/>
    <cellStyle name="20% - 輔色2" xfId="65" builtinId="34" customBuiltin="1"/>
    <cellStyle name="20% - 輔色3" xfId="69" builtinId="38" customBuiltin="1"/>
    <cellStyle name="20% - 輔色4" xfId="73" builtinId="42" customBuiltin="1"/>
    <cellStyle name="20% - 輔色5" xfId="77" builtinId="46" customBuiltin="1"/>
    <cellStyle name="20% - 輔色6" xfId="81" builtinId="50" customBuiltin="1"/>
    <cellStyle name="40% - 輔色1" xfId="62" builtinId="31" customBuiltin="1"/>
    <cellStyle name="40% - 輔色2" xfId="66" builtinId="35" customBuiltin="1"/>
    <cellStyle name="40% - 輔色3" xfId="70" builtinId="39" customBuiltin="1"/>
    <cellStyle name="40% - 輔色4" xfId="74" builtinId="43" customBuiltin="1"/>
    <cellStyle name="40% - 輔色5" xfId="78" builtinId="47" customBuiltin="1"/>
    <cellStyle name="40% - 輔色6" xfId="82" builtinId="51" customBuiltin="1"/>
    <cellStyle name="60% - 輔色1" xfId="63" builtinId="32" customBuiltin="1"/>
    <cellStyle name="60% - 輔色2" xfId="67" builtinId="36" customBuiltin="1"/>
    <cellStyle name="60% - 輔色3" xfId="71" builtinId="40" customBuiltin="1"/>
    <cellStyle name="60% - 輔色4" xfId="75" builtinId="44" customBuiltin="1"/>
    <cellStyle name="60% - 輔色5" xfId="79" builtinId="48" customBuiltin="1"/>
    <cellStyle name="60% - 輔色6" xfId="83" builtinId="52" customBuiltin="1"/>
    <cellStyle name="Grey" xfId="21" xr:uid="{00000000-0005-0000-0000-000014000000}"/>
    <cellStyle name="Input [yellow]" xfId="22" xr:uid="{00000000-0005-0000-0000-000015000000}"/>
    <cellStyle name="Normal - Style1" xfId="23" xr:uid="{00000000-0005-0000-0000-000016000000}"/>
    <cellStyle name="Normal_1702H" xfId="24" xr:uid="{00000000-0005-0000-0000-000017000000}"/>
    <cellStyle name="Percent [2]" xfId="25" xr:uid="{00000000-0005-0000-0000-000018000000}"/>
    <cellStyle name="一般" xfId="0" builtinId="0"/>
    <cellStyle name="一般 2" xfId="1" xr:uid="{00000000-0005-0000-0000-00001A000000}"/>
    <cellStyle name="一般 2 2" xfId="2" xr:uid="{00000000-0005-0000-0000-00001B000000}"/>
    <cellStyle name="一般 2 2 2" xfId="27" xr:uid="{00000000-0005-0000-0000-00001C000000}"/>
    <cellStyle name="一般 2 2 3" xfId="94" xr:uid="{00000000-0005-0000-0000-00001D000000}"/>
    <cellStyle name="一般 2 3" xfId="26" xr:uid="{00000000-0005-0000-0000-00001E000000}"/>
    <cellStyle name="一般 2 4" xfId="90" xr:uid="{00000000-0005-0000-0000-00001F000000}"/>
    <cellStyle name="一般 3" xfId="3" xr:uid="{00000000-0005-0000-0000-000020000000}"/>
    <cellStyle name="一般 3 2" xfId="4" xr:uid="{00000000-0005-0000-0000-000021000000}"/>
    <cellStyle name="一般 3 2 2" xfId="29" xr:uid="{00000000-0005-0000-0000-000022000000}"/>
    <cellStyle name="一般 3 3" xfId="28" xr:uid="{00000000-0005-0000-0000-000023000000}"/>
    <cellStyle name="一般 4" xfId="5" xr:uid="{00000000-0005-0000-0000-000024000000}"/>
    <cellStyle name="一般 4 2" xfId="30" xr:uid="{00000000-0005-0000-0000-000025000000}"/>
    <cellStyle name="一般 4 3" xfId="92" xr:uid="{00000000-0005-0000-0000-000026000000}"/>
    <cellStyle name="一般 5" xfId="6" xr:uid="{00000000-0005-0000-0000-000027000000}"/>
    <cellStyle name="一般 5 2" xfId="31" xr:uid="{00000000-0005-0000-0000-000028000000}"/>
    <cellStyle name="一般 5 3" xfId="95" xr:uid="{00000000-0005-0000-0000-000029000000}"/>
    <cellStyle name="一般 6" xfId="32" xr:uid="{00000000-0005-0000-0000-00002A000000}"/>
    <cellStyle name="一般 7" xfId="19" xr:uid="{00000000-0005-0000-0000-00002B000000}"/>
    <cellStyle name="一般 8" xfId="84" xr:uid="{00000000-0005-0000-0000-00002C000000}"/>
    <cellStyle name="一般 9" xfId="88" xr:uid="{00000000-0005-0000-0000-00002D000000}"/>
    <cellStyle name="一般_9808" xfId="7" xr:uid="{00000000-0005-0000-0000-00002E000000}"/>
    <cellStyle name="一般_ING戰報A表-個人組" xfId="8" xr:uid="{00000000-0005-0000-0000-00002F000000}"/>
    <cellStyle name="一般_TCM-R" xfId="9" xr:uid="{00000000-0005-0000-0000-000030000000}"/>
    <cellStyle name="千分位" xfId="10" builtinId="3"/>
    <cellStyle name="千分位 2" xfId="11" xr:uid="{00000000-0005-0000-0000-000033000000}"/>
    <cellStyle name="千分位 2 2" xfId="34" xr:uid="{00000000-0005-0000-0000-000034000000}"/>
    <cellStyle name="千分位 2 3" xfId="33" xr:uid="{00000000-0005-0000-0000-000035000000}"/>
    <cellStyle name="千分位 3" xfId="12" xr:uid="{00000000-0005-0000-0000-000036000000}"/>
    <cellStyle name="千分位 3 2" xfId="36" xr:uid="{00000000-0005-0000-0000-000037000000}"/>
    <cellStyle name="千分位 3 3" xfId="35" xr:uid="{00000000-0005-0000-0000-000038000000}"/>
    <cellStyle name="千分位 4" xfId="13" xr:uid="{00000000-0005-0000-0000-000039000000}"/>
    <cellStyle name="千分位 4 2" xfId="38" xr:uid="{00000000-0005-0000-0000-00003A000000}"/>
    <cellStyle name="千分位 4 3" xfId="37" xr:uid="{00000000-0005-0000-0000-00003B000000}"/>
    <cellStyle name="大綱欄_1 2" xfId="89" xr:uid="{00000000-0005-0000-0000-00003C000000}"/>
    <cellStyle name="已瀏覽過的超連結" xfId="87" builtinId="9" customBuiltin="1"/>
    <cellStyle name="中等" xfId="51" builtinId="28" customBuiltin="1"/>
    <cellStyle name="未定義" xfId="39" xr:uid="{00000000-0005-0000-0000-00003F000000}"/>
    <cellStyle name="合計" xfId="59" builtinId="25" customBuiltin="1"/>
    <cellStyle name="好" xfId="49" builtinId="26" customBuiltin="1"/>
    <cellStyle name="百分比" xfId="14" builtinId="5"/>
    <cellStyle name="百分比 2" xfId="15" xr:uid="{00000000-0005-0000-0000-000043000000}"/>
    <cellStyle name="百分比 2 2" xfId="40" xr:uid="{00000000-0005-0000-0000-000044000000}"/>
    <cellStyle name="百分比 3" xfId="16" xr:uid="{00000000-0005-0000-0000-000045000000}"/>
    <cellStyle name="百分比 3 2" xfId="41" xr:uid="{00000000-0005-0000-0000-000046000000}"/>
    <cellStyle name="百分比 4" xfId="17" xr:uid="{00000000-0005-0000-0000-000047000000}"/>
    <cellStyle name="百分比 5" xfId="93" xr:uid="{00000000-0005-0000-0000-000048000000}"/>
    <cellStyle name="計算方式" xfId="54" builtinId="22" customBuiltin="1"/>
    <cellStyle name="貨幣 2" xfId="18" xr:uid="{00000000-0005-0000-0000-00004A000000}"/>
    <cellStyle name="貨幣[0]_人力分析表 ─ 與上月比較" xfId="42" xr:uid="{00000000-0005-0000-0000-00004B000000}"/>
    <cellStyle name="連結的儲存格" xfId="55" builtinId="24" customBuiltin="1"/>
    <cellStyle name="備註 2" xfId="85" xr:uid="{00000000-0005-0000-0000-00004D000000}"/>
    <cellStyle name="超連結" xfId="86" builtinId="8" customBuiltin="1"/>
    <cellStyle name="說明文字" xfId="58" builtinId="53" customBuiltin="1"/>
    <cellStyle name="輔色1" xfId="60" builtinId="29" customBuiltin="1"/>
    <cellStyle name="輔色2" xfId="64" builtinId="33" customBuiltin="1"/>
    <cellStyle name="輔色3" xfId="68" builtinId="37" customBuiltin="1"/>
    <cellStyle name="輔色4" xfId="72" builtinId="41" customBuiltin="1"/>
    <cellStyle name="輔色5" xfId="76" builtinId="45" customBuiltin="1"/>
    <cellStyle name="輔色6" xfId="80" builtinId="49" customBuiltin="1"/>
    <cellStyle name="標題" xfId="44" builtinId="15" customBuiltin="1"/>
    <cellStyle name="標題 1" xfId="45" builtinId="16" customBuiltin="1"/>
    <cellStyle name="標題 2" xfId="46" builtinId="17" customBuiltin="1"/>
    <cellStyle name="標題 3" xfId="47" builtinId="18" customBuiltin="1"/>
    <cellStyle name="標題 4" xfId="48" builtinId="19" customBuiltin="1"/>
    <cellStyle name="輸入" xfId="52" builtinId="20" customBuiltin="1"/>
    <cellStyle name="輸出" xfId="53" builtinId="21" customBuiltin="1"/>
    <cellStyle name="隨後的超連結" xfId="43" xr:uid="{00000000-0005-0000-0000-00005D000000}"/>
    <cellStyle name="檢查儲存格" xfId="56" builtinId="23" customBuiltin="1"/>
    <cellStyle name="壞" xfId="50" builtinId="27" customBuiltin="1"/>
    <cellStyle name="警告文字" xfId="57" builtinId="11" customBuiltin="1"/>
  </cellStyles>
  <dxfs count="283"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theme="5" tint="0.79998168889431442"/>
        </patternFill>
      </fill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theme="5" tint="0.79998168889431442"/>
        </patternFill>
      </fill>
    </dxf>
    <dxf>
      <font>
        <color auto="1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color auto="1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theme="5" tint="0.79998168889431442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0000FF"/>
      <color rgb="FFFF00FF"/>
      <color rgb="FFFF33CC"/>
      <color rgb="FFFF9933"/>
      <color rgb="FFFF99FF"/>
      <color rgb="FFFF9999"/>
      <color rgb="FFFFCCFF"/>
      <color rgb="FFFFFF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6/relationships/vbaProject" Target="vbaProject.bin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630115</xdr:colOff>
      <xdr:row>3</xdr:row>
      <xdr:rowOff>29308</xdr:rowOff>
    </xdr:from>
    <xdr:to>
      <xdr:col>38</xdr:col>
      <xdr:colOff>307730</xdr:colOff>
      <xdr:row>5</xdr:row>
      <xdr:rowOff>58616</xdr:rowOff>
    </xdr:to>
    <xdr:sp macro="[0]!單位排序" textlink="">
      <xdr:nvSpPr>
        <xdr:cNvPr id="2" name="向上箭號 1">
          <a:extLst>
            <a:ext uri="{FF2B5EF4-FFF2-40B4-BE49-F238E27FC236}">
              <a16:creationId xmlns:a16="http://schemas.microsoft.com/office/drawing/2014/main" id="{6765AFB9-5E00-4FF4-A27D-DBFB185CAD15}"/>
            </a:ext>
          </a:extLst>
        </xdr:cNvPr>
        <xdr:cNvSpPr/>
      </xdr:nvSpPr>
      <xdr:spPr>
        <a:xfrm>
          <a:off x="32931295" y="875128"/>
          <a:ext cx="1041595" cy="1225648"/>
        </a:xfrm>
        <a:prstGeom prst="up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2151529</xdr:colOff>
      <xdr:row>33</xdr:row>
      <xdr:rowOff>537881</xdr:rowOff>
    </xdr:from>
    <xdr:to>
      <xdr:col>8</xdr:col>
      <xdr:colOff>1030941</xdr:colOff>
      <xdr:row>36</xdr:row>
      <xdr:rowOff>201705</xdr:rowOff>
    </xdr:to>
    <xdr:sp macro="[0]!PK排序" textlink="">
      <xdr:nvSpPr>
        <xdr:cNvPr id="3" name="等腰三角形 2">
          <a:extLst>
            <a:ext uri="{FF2B5EF4-FFF2-40B4-BE49-F238E27FC236}">
              <a16:creationId xmlns:a16="http://schemas.microsoft.com/office/drawing/2014/main" id="{610036E2-AC61-69F3-7FF9-6762FD5AC62C}"/>
            </a:ext>
          </a:extLst>
        </xdr:cNvPr>
        <xdr:cNvSpPr/>
      </xdr:nvSpPr>
      <xdr:spPr>
        <a:xfrm>
          <a:off x="11743764" y="23890940"/>
          <a:ext cx="1322295" cy="1232647"/>
        </a:xfrm>
        <a:prstGeom prst="triangle">
          <a:avLst/>
        </a:prstGeom>
        <a:solidFill>
          <a:srgbClr val="FF993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22</xdr:col>
      <xdr:colOff>172264</xdr:colOff>
      <xdr:row>9</xdr:row>
      <xdr:rowOff>148993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4636621-4818-4EF5-B501-E4F8CE79D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8740" y="784860"/>
          <a:ext cx="5597704" cy="15053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0</xdr:row>
      <xdr:rowOff>0</xdr:rowOff>
    </xdr:from>
    <xdr:to>
      <xdr:col>34</xdr:col>
      <xdr:colOff>365760</xdr:colOff>
      <xdr:row>4</xdr:row>
      <xdr:rowOff>109071</xdr:rowOff>
    </xdr:to>
    <xdr:sp macro="[0]!後5排序" textlink="">
      <xdr:nvSpPr>
        <xdr:cNvPr id="2" name="向上箭號 1">
          <a:extLst>
            <a:ext uri="{FF2B5EF4-FFF2-40B4-BE49-F238E27FC236}">
              <a16:creationId xmlns:a16="http://schemas.microsoft.com/office/drawing/2014/main" id="{A8242E14-DDCB-47BC-A68C-A06608601705}"/>
            </a:ext>
          </a:extLst>
        </xdr:cNvPr>
        <xdr:cNvSpPr/>
      </xdr:nvSpPr>
      <xdr:spPr>
        <a:xfrm>
          <a:off x="22661880" y="0"/>
          <a:ext cx="975360" cy="1069191"/>
        </a:xfrm>
        <a:prstGeom prst="up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337038</xdr:colOff>
      <xdr:row>3</xdr:row>
      <xdr:rowOff>58615</xdr:rowOff>
    </xdr:from>
    <xdr:to>
      <xdr:col>23</xdr:col>
      <xdr:colOff>1186961</xdr:colOff>
      <xdr:row>4</xdr:row>
      <xdr:rowOff>468923</xdr:rowOff>
    </xdr:to>
    <xdr:sp macro="[0]!不分組排序" textlink="">
      <xdr:nvSpPr>
        <xdr:cNvPr id="3" name="等腰三角形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9782692" y="747346"/>
          <a:ext cx="849923" cy="718039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eosmacbook/Library/Containers/com.microsoft.Outlook/Data/tmp/Outlook%20Temp/(11504)&#21463;&#29702;&#26989;&#32318;&#22577;&#34920;%5b80%5d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林文然" refreshedDate="45649.566646296298" createdVersion="6" refreshedVersion="6" minRefreshableVersion="3" recordCount="904" xr:uid="{00000000-000A-0000-FFFF-FFFF00000000}">
  <cacheSource type="worksheet">
    <worksheetSource ref="E1907:F1907" sheet=".xlsm]TEAM" r:id="rId2"/>
  </cacheSource>
  <cacheFields count="16">
    <cacheField name="單位" numFmtId="0">
      <sharedItems containsBlank="1" count="18">
        <s v="HC161"/>
        <s v="HC169"/>
        <s v="HC198"/>
        <s v="HC701"/>
        <s v="HC702"/>
        <s v="HC711"/>
        <m/>
        <s v="HC789"/>
        <s v="HC798"/>
        <s v="HC888"/>
        <s v="HC899"/>
        <s v="J1260"/>
        <s v="K1160"/>
        <s v="HCD00"/>
        <s v="MLD00"/>
        <s v="MLD50"/>
        <s v="K116" u="1"/>
        <s v="J126" u="1"/>
      </sharedItems>
    </cacheField>
    <cacheField name="主管ID" numFmtId="0">
      <sharedItems containsBlank="1"/>
    </cacheField>
    <cacheField name="ID" numFmtId="0">
      <sharedItems containsBlank="1"/>
    </cacheField>
    <cacheField name="姓名" numFmtId="0">
      <sharedItems containsBlank="1"/>
    </cacheField>
    <cacheField name="職稱" numFmtId="0">
      <sharedItems containsBlank="1" containsMixedTypes="1" containsNumber="1" containsInteger="1" minValue="0" maxValue="91"/>
    </cacheField>
    <cacheField name="件數" numFmtId="0">
      <sharedItems containsSemiMixedTypes="0" containsString="0" containsNumber="1" minValue="0" maxValue="23"/>
    </cacheField>
    <cacheField name="FYC" numFmtId="0">
      <sharedItems containsSemiMixedTypes="0" containsString="0" containsNumber="1" containsInteger="1" minValue="0" maxValue="224417"/>
    </cacheField>
    <cacheField name="件數2" numFmtId="0">
      <sharedItems containsSemiMixedTypes="0" containsString="0" containsNumber="1" minValue="0" maxValue="96"/>
    </cacheField>
    <cacheField name="FYC2" numFmtId="0">
      <sharedItems containsSemiMixedTypes="0" containsString="0" containsNumber="1" containsInteger="1" minValue="0" maxValue="1987364"/>
    </cacheField>
    <cacheField name="壽險件數≧0" numFmtId="0">
      <sharedItems containsString="0" containsBlank="1" containsNumber="1" containsInteger="1" minValue="0" maxValue="42"/>
    </cacheField>
    <cacheField name="CA1萬/主管2萬" numFmtId="0">
      <sharedItems containsString="0" containsBlank="1" containsNumber="1" containsInteger="1" minValue="0" maxValue="29"/>
    </cacheField>
    <cacheField name="FYC≧25000" numFmtId="0">
      <sharedItems containsString="0" containsBlank="1" containsNumber="1" containsInteger="1" minValue="0" maxValue="24"/>
    </cacheField>
    <cacheField name="年資(12個月內)" numFmtId="0">
      <sharedItems containsString="0" containsBlank="1" containsNumber="1" containsInteger="1" minValue="0" maxValue="16"/>
    </cacheField>
    <cacheField name="1.5C/2.5C" numFmtId="0">
      <sharedItems containsString="0" containsBlank="1" containsNumber="1" containsInteger="1" minValue="0" maxValue="24"/>
    </cacheField>
    <cacheField name="組織壯實" numFmtId="0">
      <sharedItems containsString="0" containsBlank="1" containsNumber="1" containsInteger="1" minValue="0" maxValue="6"/>
    </cacheField>
    <cacheField name="主管職稱" numFmtId="0">
      <sharedItems containsBlank="1" containsMixedTypes="1" containsNumber="1" containsInteger="1" minValue="0" maxValue="0" count="10">
        <m/>
        <s v="DM"/>
        <s v="AM"/>
        <s v="SP"/>
        <s v="MS"/>
        <s v="UM"/>
        <s v="VRM"/>
        <s v="MAM"/>
        <s v="MM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4">
  <r>
    <x v="0"/>
    <m/>
    <s v="H120726718"/>
    <s v="歐建志"/>
    <s v="DM"/>
    <n v="0"/>
    <n v="0"/>
    <n v="0"/>
    <n v="0"/>
    <n v="0"/>
    <n v="0"/>
    <n v="0"/>
    <m/>
    <n v="0"/>
    <m/>
    <x v="0"/>
  </r>
  <r>
    <x v="0"/>
    <m/>
    <s v="K220780001"/>
    <s v="林美秀"/>
    <s v="CA"/>
    <n v="0"/>
    <n v="0"/>
    <n v="0"/>
    <n v="0"/>
    <n v="0"/>
    <n v="0"/>
    <n v="0"/>
    <n v="0"/>
    <n v="0"/>
    <m/>
    <x v="0"/>
  </r>
  <r>
    <x v="0"/>
    <m/>
    <s v="Y220348334"/>
    <s v="何沛澐"/>
    <s v="CA"/>
    <n v="0"/>
    <n v="0"/>
    <n v="0"/>
    <n v="0"/>
    <n v="0"/>
    <n v="0"/>
    <n v="0"/>
    <n v="0"/>
    <n v="0"/>
    <m/>
    <x v="0"/>
  </r>
  <r>
    <x v="0"/>
    <m/>
    <s v="J220391816"/>
    <s v="黃美婉"/>
    <s v="CA"/>
    <n v="0"/>
    <n v="0"/>
    <n v="0"/>
    <n v="0"/>
    <n v="0"/>
    <n v="0"/>
    <n v="0"/>
    <n v="0"/>
    <n v="0"/>
    <m/>
    <x v="0"/>
  </r>
  <r>
    <x v="0"/>
    <m/>
    <s v="K221530596"/>
    <s v="鄭美秀"/>
    <s v="CA"/>
    <n v="0"/>
    <n v="0"/>
    <n v="0"/>
    <n v="0"/>
    <n v="0"/>
    <n v="0"/>
    <n v="0"/>
    <n v="0"/>
    <n v="0"/>
    <m/>
    <x v="0"/>
  </r>
  <r>
    <x v="0"/>
    <m/>
    <s v="J220299264"/>
    <s v="陳鳳玉"/>
    <s v="CA"/>
    <n v="0"/>
    <n v="0"/>
    <n v="0"/>
    <n v="0"/>
    <n v="0"/>
    <n v="0"/>
    <n v="0"/>
    <n v="0"/>
    <n v="0"/>
    <m/>
    <x v="0"/>
  </r>
  <r>
    <x v="0"/>
    <m/>
    <s v="J121527176"/>
    <s v="楊育棚"/>
    <s v="CA"/>
    <n v="0"/>
    <n v="0"/>
    <n v="0"/>
    <n v="0"/>
    <n v="0"/>
    <n v="0"/>
    <n v="0"/>
    <n v="0"/>
    <n v="0"/>
    <m/>
    <x v="0"/>
  </r>
  <r>
    <x v="0"/>
    <s v="H120726718"/>
    <s v="DM"/>
    <s v="歐建志"/>
    <n v="7"/>
    <n v="0"/>
    <n v="0"/>
    <n v="0"/>
    <n v="0"/>
    <n v="0"/>
    <n v="0"/>
    <n v="0"/>
    <n v="0"/>
    <n v="0"/>
    <n v="0"/>
    <x v="1"/>
  </r>
  <r>
    <x v="0"/>
    <m/>
    <s v="F220695236"/>
    <s v="陳榆蓁"/>
    <s v="AM"/>
    <n v="0"/>
    <n v="0"/>
    <n v="0"/>
    <n v="0"/>
    <n v="0"/>
    <n v="0"/>
    <n v="0"/>
    <m/>
    <n v="0"/>
    <m/>
    <x v="0"/>
  </r>
  <r>
    <x v="0"/>
    <m/>
    <s v="K122383197"/>
    <s v="黃廷崴"/>
    <s v="CA"/>
    <n v="0"/>
    <n v="0"/>
    <n v="0"/>
    <n v="0"/>
    <n v="0"/>
    <n v="0"/>
    <n v="0"/>
    <n v="0"/>
    <n v="0"/>
    <m/>
    <x v="0"/>
  </r>
  <r>
    <x v="0"/>
    <s v="F220695236"/>
    <s v="AM"/>
    <s v="陳榆蓁"/>
    <n v="2"/>
    <n v="0"/>
    <n v="0"/>
    <n v="0"/>
    <n v="0"/>
    <n v="0"/>
    <n v="0"/>
    <n v="0"/>
    <n v="0"/>
    <n v="0"/>
    <n v="0"/>
    <x v="2"/>
  </r>
  <r>
    <x v="0"/>
    <m/>
    <s v="J221903696"/>
    <s v="陳憶萩"/>
    <s v="AM"/>
    <n v="0"/>
    <n v="0"/>
    <n v="0"/>
    <n v="0"/>
    <n v="0"/>
    <n v="0"/>
    <n v="0"/>
    <m/>
    <n v="0"/>
    <m/>
    <x v="0"/>
  </r>
  <r>
    <x v="0"/>
    <s v="J221903696"/>
    <s v="AM"/>
    <s v="陳憶萩"/>
    <n v="1"/>
    <n v="0"/>
    <n v="0"/>
    <n v="0"/>
    <n v="0"/>
    <n v="0"/>
    <n v="0"/>
    <n v="0"/>
    <n v="0"/>
    <n v="0"/>
    <n v="0"/>
    <x v="2"/>
  </r>
  <r>
    <x v="0"/>
    <m/>
    <s v="A221456729"/>
    <s v="黃美鶯"/>
    <s v="SP"/>
    <n v="0"/>
    <n v="0"/>
    <n v="0"/>
    <n v="0"/>
    <n v="0"/>
    <n v="0"/>
    <n v="0"/>
    <m/>
    <n v="0"/>
    <m/>
    <x v="0"/>
  </r>
  <r>
    <x v="0"/>
    <m/>
    <s v="N220997526"/>
    <s v="楊敏釵"/>
    <s v="CA"/>
    <n v="0"/>
    <n v="0"/>
    <n v="0"/>
    <n v="0"/>
    <n v="0"/>
    <n v="0"/>
    <n v="0"/>
    <n v="0"/>
    <n v="0"/>
    <m/>
    <x v="0"/>
  </r>
  <r>
    <x v="0"/>
    <s v="A221456729"/>
    <s v="SP"/>
    <s v="黃美鶯"/>
    <n v="2"/>
    <n v="0"/>
    <n v="0"/>
    <n v="0"/>
    <n v="0"/>
    <n v="0"/>
    <n v="0"/>
    <n v="0"/>
    <n v="0"/>
    <n v="0"/>
    <n v="0"/>
    <x v="3"/>
  </r>
  <r>
    <x v="0"/>
    <m/>
    <s v="K221146370"/>
    <s v="魏敏娟"/>
    <s v="MS"/>
    <n v="0"/>
    <n v="0"/>
    <n v="0"/>
    <n v="0"/>
    <n v="0"/>
    <n v="0"/>
    <n v="0"/>
    <m/>
    <n v="0"/>
    <m/>
    <x v="0"/>
  </r>
  <r>
    <x v="0"/>
    <s v="K221146370"/>
    <s v="MS"/>
    <s v="魏敏娟"/>
    <n v="1"/>
    <n v="0"/>
    <n v="0"/>
    <n v="0"/>
    <n v="0"/>
    <n v="0"/>
    <n v="0"/>
    <n v="0"/>
    <n v="0"/>
    <n v="0"/>
    <n v="0"/>
    <x v="4"/>
  </r>
  <r>
    <x v="0"/>
    <m/>
    <s v="O100194065"/>
    <s v="彭健瑜"/>
    <s v="AM"/>
    <n v="0"/>
    <n v="0"/>
    <n v="4"/>
    <n v="299"/>
    <n v="1"/>
    <n v="0"/>
    <n v="0"/>
    <m/>
    <n v="0"/>
    <m/>
    <x v="0"/>
  </r>
  <r>
    <x v="0"/>
    <m/>
    <s v="J222662514"/>
    <s v="徐庭茵"/>
    <s v="CA"/>
    <n v="0"/>
    <n v="0"/>
    <n v="0"/>
    <n v="0"/>
    <n v="0"/>
    <n v="0"/>
    <n v="0"/>
    <n v="0"/>
    <n v="0"/>
    <m/>
    <x v="0"/>
  </r>
  <r>
    <x v="0"/>
    <s v="O100194065"/>
    <s v="AM"/>
    <s v="彭健瑜"/>
    <n v="2"/>
    <n v="0"/>
    <n v="0"/>
    <n v="4"/>
    <n v="299"/>
    <n v="1"/>
    <n v="0"/>
    <n v="0"/>
    <n v="0"/>
    <n v="0"/>
    <n v="0"/>
    <x v="2"/>
  </r>
  <r>
    <x v="0"/>
    <m/>
    <s v="J221452265"/>
    <s v="温曉君"/>
    <s v="UM"/>
    <n v="0"/>
    <n v="0"/>
    <n v="0"/>
    <n v="500"/>
    <n v="0"/>
    <n v="0"/>
    <n v="0"/>
    <m/>
    <n v="0"/>
    <m/>
    <x v="0"/>
  </r>
  <r>
    <x v="0"/>
    <m/>
    <s v="O200303708"/>
    <s v="張嘉晏"/>
    <s v="CA"/>
    <n v="0"/>
    <n v="0"/>
    <n v="0"/>
    <n v="0"/>
    <n v="0"/>
    <n v="0"/>
    <n v="0"/>
    <n v="0"/>
    <n v="0"/>
    <m/>
    <x v="0"/>
  </r>
  <r>
    <x v="0"/>
    <m/>
    <s v="J220578199"/>
    <s v="范貞蘭"/>
    <s v="CA"/>
    <n v="0"/>
    <n v="0"/>
    <n v="1"/>
    <n v="14532"/>
    <n v="1"/>
    <n v="1"/>
    <n v="0"/>
    <n v="0"/>
    <n v="0"/>
    <m/>
    <x v="0"/>
  </r>
  <r>
    <x v="0"/>
    <s v="J221452265"/>
    <s v="UM"/>
    <s v="温曉君"/>
    <n v="3"/>
    <n v="0"/>
    <n v="0"/>
    <n v="1"/>
    <n v="15032"/>
    <n v="1"/>
    <n v="1"/>
    <n v="0"/>
    <n v="0"/>
    <n v="0"/>
    <n v="0"/>
    <x v="5"/>
  </r>
  <r>
    <x v="0"/>
    <m/>
    <s v="C221001913"/>
    <s v="莊雅玲"/>
    <s v="SP"/>
    <n v="0"/>
    <n v="0"/>
    <n v="0"/>
    <n v="0"/>
    <n v="0"/>
    <n v="0"/>
    <n v="0"/>
    <m/>
    <n v="0"/>
    <m/>
    <x v="0"/>
  </r>
  <r>
    <x v="0"/>
    <s v="C221001913"/>
    <s v="SP"/>
    <s v="莊雅玲"/>
    <n v="1"/>
    <n v="0"/>
    <n v="0"/>
    <n v="0"/>
    <n v="0"/>
    <n v="0"/>
    <n v="0"/>
    <n v="0"/>
    <n v="0"/>
    <n v="0"/>
    <n v="0"/>
    <x v="3"/>
  </r>
  <r>
    <x v="0"/>
    <m/>
    <s v="K120845238"/>
    <s v="温中"/>
    <s v="SP"/>
    <n v="0"/>
    <n v="0"/>
    <n v="2"/>
    <n v="13388"/>
    <n v="1"/>
    <n v="0"/>
    <n v="0"/>
    <m/>
    <n v="0"/>
    <m/>
    <x v="0"/>
  </r>
  <r>
    <x v="0"/>
    <m/>
    <s v="J220367061"/>
    <s v="高采寧"/>
    <s v="CA"/>
    <n v="0"/>
    <n v="0"/>
    <n v="0"/>
    <n v="0"/>
    <n v="0"/>
    <n v="0"/>
    <n v="0"/>
    <n v="0"/>
    <n v="0"/>
    <m/>
    <x v="0"/>
  </r>
  <r>
    <x v="0"/>
    <s v="K120845238"/>
    <s v="SP"/>
    <s v="温中"/>
    <n v="2"/>
    <n v="0"/>
    <n v="0"/>
    <n v="2"/>
    <n v="13388"/>
    <n v="1"/>
    <n v="0"/>
    <n v="0"/>
    <n v="0"/>
    <n v="0"/>
    <n v="0"/>
    <x v="3"/>
  </r>
  <r>
    <x v="0"/>
    <m/>
    <s v="C220370240"/>
    <s v="陳麗珍"/>
    <s v="AM"/>
    <n v="0"/>
    <n v="0"/>
    <n v="0"/>
    <n v="0"/>
    <n v="0"/>
    <n v="0"/>
    <n v="0"/>
    <m/>
    <n v="0"/>
    <m/>
    <x v="0"/>
  </r>
  <r>
    <x v="0"/>
    <m/>
    <s v="J122712599"/>
    <s v="邱昇平"/>
    <s v="CA"/>
    <n v="0"/>
    <n v="0"/>
    <n v="2"/>
    <n v="12056"/>
    <n v="1"/>
    <n v="1"/>
    <n v="0"/>
    <n v="0"/>
    <n v="0"/>
    <m/>
    <x v="0"/>
  </r>
  <r>
    <x v="0"/>
    <s v="C220370240"/>
    <s v="AM"/>
    <s v="陳麗珍"/>
    <n v="2"/>
    <n v="0"/>
    <n v="0"/>
    <n v="2"/>
    <n v="12056"/>
    <n v="1"/>
    <n v="1"/>
    <n v="0"/>
    <n v="0"/>
    <n v="0"/>
    <n v="0"/>
    <x v="2"/>
  </r>
  <r>
    <x v="0"/>
    <m/>
    <s v="F220009785"/>
    <s v="許秀美"/>
    <s v="AM"/>
    <n v="0"/>
    <n v="0"/>
    <n v="5"/>
    <n v="13281"/>
    <n v="1"/>
    <n v="0"/>
    <n v="0"/>
    <m/>
    <n v="0"/>
    <m/>
    <x v="0"/>
  </r>
  <r>
    <x v="0"/>
    <m/>
    <s v="J222798162"/>
    <s v="黃意蓉"/>
    <s v="CA"/>
    <n v="0"/>
    <n v="0"/>
    <n v="0"/>
    <n v="0"/>
    <n v="0"/>
    <n v="0"/>
    <n v="0"/>
    <n v="1"/>
    <n v="0"/>
    <m/>
    <x v="0"/>
  </r>
  <r>
    <x v="0"/>
    <m/>
    <s v="A120681244"/>
    <s v="黃正宗"/>
    <s v="CA"/>
    <n v="0"/>
    <n v="0"/>
    <n v="0"/>
    <n v="0"/>
    <n v="0"/>
    <n v="0"/>
    <n v="0"/>
    <n v="0"/>
    <n v="0"/>
    <m/>
    <x v="0"/>
  </r>
  <r>
    <x v="0"/>
    <m/>
    <s v="P220329092"/>
    <s v="沈秀容"/>
    <s v="CA"/>
    <n v="0"/>
    <n v="0"/>
    <n v="0"/>
    <n v="0"/>
    <n v="0"/>
    <n v="0"/>
    <n v="0"/>
    <n v="0"/>
    <n v="0"/>
    <m/>
    <x v="0"/>
  </r>
  <r>
    <x v="0"/>
    <s v="F220009785"/>
    <s v="AM"/>
    <s v="許秀美"/>
    <n v="4"/>
    <n v="0"/>
    <n v="0"/>
    <n v="5"/>
    <n v="13281"/>
    <n v="1"/>
    <n v="0"/>
    <n v="0"/>
    <n v="1"/>
    <n v="0"/>
    <n v="0"/>
    <x v="2"/>
  </r>
  <r>
    <x v="0"/>
    <m/>
    <s v="T221211422"/>
    <s v="李秀棠"/>
    <s v="UM"/>
    <n v="0"/>
    <n v="0"/>
    <n v="0"/>
    <n v="0"/>
    <n v="0"/>
    <n v="0"/>
    <n v="0"/>
    <m/>
    <n v="0"/>
    <m/>
    <x v="0"/>
  </r>
  <r>
    <x v="0"/>
    <m/>
    <s v="F128195624"/>
    <s v="李紀葳"/>
    <s v="CA"/>
    <n v="0"/>
    <n v="0"/>
    <n v="0"/>
    <n v="0"/>
    <n v="0"/>
    <n v="0"/>
    <n v="0"/>
    <n v="0"/>
    <n v="0"/>
    <m/>
    <x v="0"/>
  </r>
  <r>
    <x v="0"/>
    <s v="T221211422"/>
    <s v="UM"/>
    <s v="李秀棠"/>
    <n v="2"/>
    <n v="0"/>
    <n v="0"/>
    <n v="0"/>
    <n v="0"/>
    <n v="0"/>
    <n v="0"/>
    <n v="0"/>
    <n v="0"/>
    <n v="0"/>
    <n v="0"/>
    <x v="5"/>
  </r>
  <r>
    <x v="0"/>
    <m/>
    <m/>
    <m/>
    <n v="29"/>
    <n v="0"/>
    <n v="0"/>
    <n v="14"/>
    <n v="54056"/>
    <n v="5"/>
    <n v="2"/>
    <n v="0"/>
    <n v="1"/>
    <n v="0"/>
    <n v="0"/>
    <x v="0"/>
  </r>
  <r>
    <x v="1"/>
    <m/>
    <s v="J121266132"/>
    <s v="李吳宅"/>
    <s v="DM"/>
    <n v="0"/>
    <n v="0"/>
    <n v="0"/>
    <n v="0"/>
    <n v="0"/>
    <n v="0"/>
    <n v="0"/>
    <m/>
    <n v="0"/>
    <m/>
    <x v="0"/>
  </r>
  <r>
    <x v="1"/>
    <m/>
    <s v="J222675851"/>
    <s v="張怡卿"/>
    <s v="CA"/>
    <n v="0"/>
    <n v="0"/>
    <n v="0"/>
    <n v="0"/>
    <n v="0"/>
    <n v="0"/>
    <n v="0"/>
    <n v="0"/>
    <n v="0"/>
    <m/>
    <x v="0"/>
  </r>
  <r>
    <x v="1"/>
    <m/>
    <s v="J222570253"/>
    <s v="陳語璇"/>
    <s v="CA"/>
    <n v="0"/>
    <n v="0"/>
    <n v="0"/>
    <n v="0"/>
    <n v="0"/>
    <n v="0"/>
    <n v="0"/>
    <n v="0"/>
    <n v="0"/>
    <m/>
    <x v="0"/>
  </r>
  <r>
    <x v="1"/>
    <m/>
    <s v="J121259477"/>
    <s v="許焉松"/>
    <s v="CA"/>
    <n v="0"/>
    <n v="0"/>
    <n v="0"/>
    <n v="0"/>
    <n v="0"/>
    <n v="0"/>
    <n v="0"/>
    <n v="0"/>
    <n v="0"/>
    <m/>
    <x v="0"/>
  </r>
  <r>
    <x v="1"/>
    <s v="J121266132"/>
    <s v="DM"/>
    <s v="李吳宅"/>
    <n v="4"/>
    <n v="0"/>
    <n v="0"/>
    <n v="0"/>
    <n v="0"/>
    <n v="0"/>
    <n v="0"/>
    <n v="0"/>
    <n v="0"/>
    <n v="0"/>
    <n v="0"/>
    <x v="1"/>
  </r>
  <r>
    <x v="1"/>
    <m/>
    <s v="N122258593"/>
    <s v="胡錫裕"/>
    <s v="SP"/>
    <n v="0"/>
    <n v="0"/>
    <n v="5"/>
    <n v="22786"/>
    <n v="1"/>
    <n v="1"/>
    <n v="0"/>
    <m/>
    <n v="0"/>
    <m/>
    <x v="0"/>
  </r>
  <r>
    <x v="1"/>
    <m/>
    <s v="O200015383"/>
    <s v="胡玲玲"/>
    <s v="CA"/>
    <n v="0"/>
    <n v="0"/>
    <n v="0"/>
    <n v="0"/>
    <n v="0"/>
    <n v="0"/>
    <n v="0"/>
    <n v="1"/>
    <n v="0"/>
    <m/>
    <x v="0"/>
  </r>
  <r>
    <x v="1"/>
    <m/>
    <s v="N122258575"/>
    <s v="胡錫賢"/>
    <s v="CA"/>
    <n v="0"/>
    <n v="0"/>
    <n v="0"/>
    <n v="0"/>
    <n v="0"/>
    <n v="0"/>
    <n v="0"/>
    <n v="1"/>
    <n v="0"/>
    <m/>
    <x v="0"/>
  </r>
  <r>
    <x v="1"/>
    <s v="N122258593"/>
    <s v="SP"/>
    <s v="胡錫裕"/>
    <n v="3"/>
    <n v="0"/>
    <n v="0"/>
    <n v="5"/>
    <n v="22786"/>
    <n v="1"/>
    <n v="1"/>
    <n v="0"/>
    <n v="2"/>
    <n v="0"/>
    <n v="0"/>
    <x v="3"/>
  </r>
  <r>
    <x v="1"/>
    <m/>
    <s v="J221042901"/>
    <s v="陳寶玉"/>
    <s v="UM"/>
    <n v="0"/>
    <n v="0"/>
    <n v="0"/>
    <n v="0"/>
    <n v="0"/>
    <n v="0"/>
    <n v="0"/>
    <m/>
    <n v="0"/>
    <m/>
    <x v="0"/>
  </r>
  <r>
    <x v="1"/>
    <m/>
    <s v="H221468280"/>
    <s v="陳慧純"/>
    <s v="CA"/>
    <n v="0"/>
    <n v="0"/>
    <n v="0"/>
    <n v="0"/>
    <n v="0"/>
    <n v="0"/>
    <n v="0"/>
    <n v="1"/>
    <n v="0"/>
    <m/>
    <x v="0"/>
  </r>
  <r>
    <x v="1"/>
    <m/>
    <s v="J220026654"/>
    <s v="薛傳倩"/>
    <s v="CA"/>
    <n v="0"/>
    <n v="0"/>
    <n v="0"/>
    <n v="0"/>
    <n v="0"/>
    <n v="0"/>
    <n v="0"/>
    <n v="0"/>
    <n v="0"/>
    <m/>
    <x v="0"/>
  </r>
  <r>
    <x v="1"/>
    <s v="J221042901"/>
    <s v="UM"/>
    <s v="陳寶玉"/>
    <n v="3"/>
    <n v="0"/>
    <n v="0"/>
    <n v="0"/>
    <n v="0"/>
    <n v="0"/>
    <n v="0"/>
    <n v="0"/>
    <n v="1"/>
    <n v="0"/>
    <n v="0"/>
    <x v="5"/>
  </r>
  <r>
    <x v="1"/>
    <m/>
    <s v="J222018598"/>
    <s v="黃淑慧"/>
    <s v="SP"/>
    <n v="0"/>
    <n v="0"/>
    <n v="0"/>
    <n v="0"/>
    <n v="0"/>
    <n v="0"/>
    <n v="0"/>
    <m/>
    <n v="0"/>
    <m/>
    <x v="0"/>
  </r>
  <r>
    <x v="1"/>
    <m/>
    <s v="J223088558"/>
    <s v="許芯瑜"/>
    <s v="CA"/>
    <n v="0"/>
    <n v="0"/>
    <n v="0"/>
    <n v="0"/>
    <n v="0"/>
    <n v="0"/>
    <n v="0"/>
    <n v="1"/>
    <n v="0"/>
    <m/>
    <x v="0"/>
  </r>
  <r>
    <x v="1"/>
    <s v="J222018598"/>
    <s v="SP"/>
    <s v="黃淑慧"/>
    <n v="2"/>
    <n v="0"/>
    <n v="0"/>
    <n v="0"/>
    <n v="0"/>
    <n v="0"/>
    <n v="0"/>
    <n v="0"/>
    <n v="1"/>
    <n v="0"/>
    <n v="0"/>
    <x v="3"/>
  </r>
  <r>
    <x v="1"/>
    <m/>
    <s v="J122270489"/>
    <s v="李吳彥"/>
    <s v="UM"/>
    <n v="0"/>
    <n v="0"/>
    <n v="0"/>
    <n v="0"/>
    <n v="0"/>
    <n v="0"/>
    <n v="0"/>
    <m/>
    <n v="0"/>
    <m/>
    <x v="0"/>
  </r>
  <r>
    <x v="1"/>
    <m/>
    <s v="H220843369"/>
    <s v="許秀鳯"/>
    <s v="CA"/>
    <n v="0"/>
    <n v="0"/>
    <n v="0"/>
    <n v="0"/>
    <n v="0"/>
    <n v="0"/>
    <n v="0"/>
    <n v="0"/>
    <n v="0"/>
    <m/>
    <x v="0"/>
  </r>
  <r>
    <x v="1"/>
    <m/>
    <s v="H224277870"/>
    <s v="戴藝玟"/>
    <s v="CA"/>
    <n v="0"/>
    <n v="0"/>
    <n v="0"/>
    <n v="0"/>
    <n v="0"/>
    <n v="0"/>
    <n v="0"/>
    <n v="1"/>
    <n v="0"/>
    <m/>
    <x v="0"/>
  </r>
  <r>
    <x v="1"/>
    <m/>
    <s v="L223162792"/>
    <s v="卓育如"/>
    <s v="CA"/>
    <n v="0"/>
    <n v="0"/>
    <n v="1.5"/>
    <n v="116258"/>
    <n v="1"/>
    <n v="1"/>
    <n v="1"/>
    <n v="0"/>
    <n v="1"/>
    <m/>
    <x v="0"/>
  </r>
  <r>
    <x v="1"/>
    <m/>
    <s v="J222676214"/>
    <s v="李羽彤"/>
    <s v="CA"/>
    <n v="0"/>
    <n v="0"/>
    <n v="0"/>
    <n v="0"/>
    <n v="0"/>
    <n v="0"/>
    <n v="0"/>
    <n v="1"/>
    <n v="0"/>
    <m/>
    <x v="0"/>
  </r>
  <r>
    <x v="1"/>
    <s v="J122270489"/>
    <s v="UM"/>
    <s v="李吳彥"/>
    <n v="5"/>
    <n v="0"/>
    <n v="0"/>
    <n v="1.5"/>
    <n v="116258"/>
    <n v="1"/>
    <n v="1"/>
    <n v="1"/>
    <n v="2"/>
    <n v="1"/>
    <n v="0"/>
    <x v="5"/>
  </r>
  <r>
    <x v="1"/>
    <m/>
    <s v="J122267151"/>
    <s v="蔡糧安"/>
    <s v="SP"/>
    <n v="0"/>
    <n v="0"/>
    <n v="0"/>
    <n v="0"/>
    <n v="0"/>
    <n v="0"/>
    <n v="0"/>
    <m/>
    <n v="0"/>
    <m/>
    <x v="0"/>
  </r>
  <r>
    <x v="1"/>
    <m/>
    <s v="F130341029"/>
    <s v="林廷昱"/>
    <s v="CA"/>
    <n v="0"/>
    <n v="0"/>
    <n v="1"/>
    <n v="2922"/>
    <n v="1"/>
    <n v="0"/>
    <n v="0"/>
    <n v="1"/>
    <n v="0"/>
    <m/>
    <x v="0"/>
  </r>
  <r>
    <x v="1"/>
    <s v="J122267151"/>
    <s v="SP"/>
    <s v="蔡糧安"/>
    <n v="2"/>
    <n v="0"/>
    <n v="0"/>
    <n v="1"/>
    <n v="2922"/>
    <n v="1"/>
    <n v="0"/>
    <n v="0"/>
    <n v="1"/>
    <n v="0"/>
    <n v="0"/>
    <x v="3"/>
  </r>
  <r>
    <x v="1"/>
    <m/>
    <s v="J122796415"/>
    <s v="李吳諄"/>
    <s v="SP"/>
    <n v="0"/>
    <n v="0"/>
    <n v="0.5"/>
    <n v="164018"/>
    <n v="1"/>
    <n v="1"/>
    <n v="1"/>
    <m/>
    <n v="1"/>
    <m/>
    <x v="0"/>
  </r>
  <r>
    <x v="1"/>
    <m/>
    <s v="F122211629"/>
    <s v="楊重九"/>
    <s v="CA"/>
    <n v="0"/>
    <n v="0"/>
    <n v="1"/>
    <n v="10943"/>
    <n v="1"/>
    <n v="1"/>
    <n v="0"/>
    <n v="0"/>
    <n v="0"/>
    <m/>
    <x v="0"/>
  </r>
  <r>
    <x v="1"/>
    <s v="J122796415"/>
    <s v="SP"/>
    <s v="李吳諄"/>
    <n v="2"/>
    <n v="0"/>
    <n v="0"/>
    <n v="1.5"/>
    <n v="174961"/>
    <n v="2"/>
    <n v="2"/>
    <n v="1"/>
    <n v="0"/>
    <n v="1"/>
    <n v="1"/>
    <x v="3"/>
  </r>
  <r>
    <x v="1"/>
    <m/>
    <m/>
    <m/>
    <n v="21"/>
    <n v="0"/>
    <n v="0"/>
    <n v="9"/>
    <n v="316927"/>
    <n v="5"/>
    <n v="4"/>
    <n v="2"/>
    <n v="7"/>
    <n v="2"/>
    <n v="1"/>
    <x v="0"/>
  </r>
  <r>
    <x v="2"/>
    <m/>
    <s v="J220505776"/>
    <s v="鄭素珠"/>
    <s v="DM"/>
    <n v="0"/>
    <n v="0"/>
    <n v="1"/>
    <n v="37534"/>
    <n v="1"/>
    <n v="1"/>
    <n v="1"/>
    <m/>
    <n v="1"/>
    <m/>
    <x v="0"/>
  </r>
  <r>
    <x v="2"/>
    <m/>
    <s v="O200095961"/>
    <s v="吳雯舒"/>
    <s v="CA"/>
    <n v="0"/>
    <n v="0"/>
    <n v="0"/>
    <n v="0"/>
    <n v="0"/>
    <n v="0"/>
    <n v="0"/>
    <n v="1"/>
    <n v="0"/>
    <m/>
    <x v="0"/>
  </r>
  <r>
    <x v="2"/>
    <s v="J220505776"/>
    <s v="DM"/>
    <s v="鄭素珠"/>
    <n v="2"/>
    <n v="0"/>
    <n v="0"/>
    <n v="1"/>
    <n v="37534"/>
    <n v="1"/>
    <n v="1"/>
    <n v="1"/>
    <n v="1"/>
    <n v="1"/>
    <n v="0"/>
    <x v="1"/>
  </r>
  <r>
    <x v="2"/>
    <m/>
    <s v="J222570691"/>
    <s v="張靜宜"/>
    <s v="SP"/>
    <n v="0"/>
    <n v="0"/>
    <n v="0"/>
    <n v="0"/>
    <n v="0"/>
    <n v="0"/>
    <n v="0"/>
    <m/>
    <n v="0"/>
    <m/>
    <x v="0"/>
  </r>
  <r>
    <x v="2"/>
    <m/>
    <s v="J122679099"/>
    <s v="徐榮祖"/>
    <s v="CA"/>
    <n v="0"/>
    <n v="0"/>
    <n v="0"/>
    <n v="0"/>
    <n v="0"/>
    <n v="0"/>
    <n v="0"/>
    <n v="0"/>
    <n v="0"/>
    <m/>
    <x v="0"/>
  </r>
  <r>
    <x v="2"/>
    <s v="J222570691"/>
    <s v="SP"/>
    <s v="張靜宜"/>
    <n v="2"/>
    <n v="0"/>
    <n v="0"/>
    <n v="0"/>
    <n v="0"/>
    <n v="0"/>
    <n v="0"/>
    <n v="0"/>
    <n v="0"/>
    <n v="0"/>
    <n v="0"/>
    <x v="3"/>
  </r>
  <r>
    <x v="2"/>
    <m/>
    <s v="J220592439"/>
    <s v="徐淑雯"/>
    <s v="SP"/>
    <n v="0"/>
    <n v="0"/>
    <n v="0"/>
    <n v="0"/>
    <n v="0"/>
    <n v="0"/>
    <n v="0"/>
    <m/>
    <n v="0"/>
    <m/>
    <x v="0"/>
  </r>
  <r>
    <x v="2"/>
    <m/>
    <s v="O200049110"/>
    <s v="張芷翎"/>
    <s v="CA"/>
    <n v="0"/>
    <n v="0"/>
    <n v="0"/>
    <n v="0"/>
    <n v="0"/>
    <n v="0"/>
    <n v="0"/>
    <n v="0"/>
    <n v="0"/>
    <m/>
    <x v="0"/>
  </r>
  <r>
    <x v="2"/>
    <s v="J220592439"/>
    <s v="SP"/>
    <s v="徐淑雯"/>
    <n v="2"/>
    <n v="0"/>
    <n v="0"/>
    <n v="0"/>
    <n v="0"/>
    <n v="0"/>
    <n v="0"/>
    <n v="0"/>
    <n v="0"/>
    <n v="0"/>
    <n v="0"/>
    <x v="3"/>
  </r>
  <r>
    <x v="2"/>
    <m/>
    <s v="J220505712"/>
    <s v="鄭瑞華"/>
    <s v="SP"/>
    <n v="0"/>
    <n v="0"/>
    <n v="0"/>
    <n v="0"/>
    <n v="0"/>
    <n v="0"/>
    <n v="0"/>
    <m/>
    <n v="0"/>
    <m/>
    <x v="0"/>
  </r>
  <r>
    <x v="2"/>
    <m/>
    <s v="J222642174"/>
    <s v="曾煒玲"/>
    <s v="CA"/>
    <n v="0"/>
    <n v="0"/>
    <n v="3"/>
    <n v="12247"/>
    <n v="1"/>
    <n v="1"/>
    <n v="0"/>
    <n v="0"/>
    <n v="0"/>
    <m/>
    <x v="0"/>
  </r>
  <r>
    <x v="2"/>
    <s v="J220505712"/>
    <s v="SP"/>
    <s v="鄭瑞華"/>
    <n v="2"/>
    <n v="0"/>
    <n v="0"/>
    <n v="3"/>
    <n v="12247"/>
    <n v="1"/>
    <n v="1"/>
    <n v="0"/>
    <n v="0"/>
    <n v="0"/>
    <n v="0"/>
    <x v="3"/>
  </r>
  <r>
    <x v="2"/>
    <m/>
    <s v="J122210134"/>
    <s v="陳建文"/>
    <s v="UM"/>
    <n v="0"/>
    <n v="0"/>
    <n v="0"/>
    <n v="0"/>
    <n v="0"/>
    <n v="0"/>
    <n v="0"/>
    <m/>
    <n v="0"/>
    <m/>
    <x v="0"/>
  </r>
  <r>
    <x v="2"/>
    <m/>
    <s v="H223742127"/>
    <s v="陳思穎"/>
    <s v="CA"/>
    <n v="0"/>
    <n v="0"/>
    <n v="0"/>
    <n v="0"/>
    <n v="0"/>
    <n v="0"/>
    <n v="0"/>
    <n v="0"/>
    <n v="0"/>
    <m/>
    <x v="0"/>
  </r>
  <r>
    <x v="2"/>
    <s v="J122210134"/>
    <s v="UM"/>
    <s v="陳建文"/>
    <n v="2"/>
    <n v="0"/>
    <n v="0"/>
    <n v="0"/>
    <n v="0"/>
    <n v="0"/>
    <n v="0"/>
    <n v="0"/>
    <n v="0"/>
    <n v="0"/>
    <n v="0"/>
    <x v="5"/>
  </r>
  <r>
    <x v="2"/>
    <m/>
    <s v="J122009480"/>
    <s v="田英信"/>
    <s v="UM"/>
    <n v="0"/>
    <n v="0"/>
    <n v="2"/>
    <n v="108094"/>
    <n v="1"/>
    <n v="1"/>
    <n v="1"/>
    <m/>
    <n v="1"/>
    <m/>
    <x v="0"/>
  </r>
  <r>
    <x v="2"/>
    <m/>
    <s v="J123229682"/>
    <s v="張廷緯"/>
    <s v="CA"/>
    <n v="0"/>
    <n v="0"/>
    <n v="1"/>
    <n v="9183"/>
    <n v="1"/>
    <n v="0"/>
    <n v="0"/>
    <n v="1"/>
    <n v="0"/>
    <m/>
    <x v="0"/>
  </r>
  <r>
    <x v="2"/>
    <s v="J122009480"/>
    <s v="UM"/>
    <s v="田英信"/>
    <n v="2"/>
    <n v="0"/>
    <n v="0"/>
    <n v="3"/>
    <n v="117277"/>
    <n v="2"/>
    <n v="1"/>
    <n v="1"/>
    <n v="1"/>
    <n v="1"/>
    <n v="0"/>
    <x v="5"/>
  </r>
  <r>
    <x v="2"/>
    <m/>
    <s v="F125877398"/>
    <s v="李易儒"/>
    <s v="AM"/>
    <n v="0"/>
    <n v="0"/>
    <n v="2"/>
    <n v="22106"/>
    <n v="1"/>
    <n v="1"/>
    <n v="0"/>
    <m/>
    <n v="0"/>
    <m/>
    <x v="0"/>
  </r>
  <r>
    <x v="2"/>
    <m/>
    <s v="O200234799"/>
    <s v="張琦瑄"/>
    <s v="CA"/>
    <n v="0"/>
    <n v="0"/>
    <n v="2"/>
    <n v="7200"/>
    <n v="1"/>
    <n v="0"/>
    <n v="0"/>
    <n v="0"/>
    <n v="0"/>
    <m/>
    <x v="0"/>
  </r>
  <r>
    <x v="2"/>
    <s v="F125877398"/>
    <s v="AM"/>
    <s v="李易儒"/>
    <n v="2"/>
    <n v="0"/>
    <n v="0"/>
    <n v="4"/>
    <n v="29306"/>
    <n v="2"/>
    <n v="1"/>
    <n v="0"/>
    <n v="0"/>
    <n v="0"/>
    <n v="0"/>
    <x v="2"/>
  </r>
  <r>
    <x v="2"/>
    <m/>
    <s v="J122694023"/>
    <s v="徐晨碩"/>
    <s v="SP"/>
    <n v="0"/>
    <n v="0"/>
    <n v="1"/>
    <n v="0"/>
    <n v="1"/>
    <n v="0"/>
    <n v="0"/>
    <m/>
    <n v="0"/>
    <m/>
    <x v="0"/>
  </r>
  <r>
    <x v="2"/>
    <m/>
    <s v="A227932755"/>
    <s v="吳沛蓁"/>
    <s v="CA"/>
    <n v="0"/>
    <n v="0"/>
    <n v="0"/>
    <n v="0"/>
    <n v="0"/>
    <n v="0"/>
    <n v="0"/>
    <n v="1"/>
    <n v="0"/>
    <m/>
    <x v="0"/>
  </r>
  <r>
    <x v="2"/>
    <s v="J122694023"/>
    <s v="SP"/>
    <s v="徐晨碩"/>
    <n v="2"/>
    <n v="0"/>
    <n v="0"/>
    <n v="1"/>
    <n v="0"/>
    <n v="1"/>
    <n v="0"/>
    <n v="0"/>
    <n v="1"/>
    <n v="0"/>
    <n v="0"/>
    <x v="3"/>
  </r>
  <r>
    <x v="2"/>
    <m/>
    <s v="K122003532"/>
    <s v="林哲維"/>
    <s v="AM"/>
    <n v="0"/>
    <n v="0"/>
    <n v="9"/>
    <n v="40328"/>
    <n v="1"/>
    <n v="1"/>
    <n v="1"/>
    <m/>
    <n v="1"/>
    <m/>
    <x v="0"/>
  </r>
  <r>
    <x v="2"/>
    <m/>
    <s v="Q223329568"/>
    <s v="鍾慧君"/>
    <s v="CA"/>
    <n v="0"/>
    <n v="65"/>
    <n v="0"/>
    <n v="65"/>
    <n v="0"/>
    <n v="0"/>
    <n v="0"/>
    <n v="0"/>
    <n v="0"/>
    <m/>
    <x v="0"/>
  </r>
  <r>
    <x v="2"/>
    <s v="K122003532"/>
    <s v="AM"/>
    <s v="林哲維"/>
    <n v="2"/>
    <n v="0"/>
    <n v="65"/>
    <n v="9"/>
    <n v="40393"/>
    <n v="1"/>
    <n v="1"/>
    <n v="1"/>
    <n v="0"/>
    <n v="1"/>
    <n v="0"/>
    <x v="2"/>
  </r>
  <r>
    <x v="2"/>
    <m/>
    <s v="F225399024"/>
    <s v="林彥伶"/>
    <s v="SP"/>
    <n v="0"/>
    <n v="0"/>
    <n v="4"/>
    <n v="68743"/>
    <n v="1"/>
    <n v="1"/>
    <n v="1"/>
    <m/>
    <n v="1"/>
    <m/>
    <x v="0"/>
  </r>
  <r>
    <x v="2"/>
    <m/>
    <s v="V220841713"/>
    <s v="魏均如"/>
    <s v="CA"/>
    <n v="1"/>
    <n v="15286"/>
    <n v="3"/>
    <n v="42639"/>
    <n v="1"/>
    <n v="1"/>
    <n v="1"/>
    <n v="0"/>
    <n v="1"/>
    <m/>
    <x v="0"/>
  </r>
  <r>
    <x v="2"/>
    <s v="F225399024"/>
    <s v="SP"/>
    <s v="林彥伶"/>
    <n v="2"/>
    <n v="1"/>
    <n v="15286"/>
    <n v="7"/>
    <n v="111382"/>
    <n v="2"/>
    <n v="2"/>
    <n v="2"/>
    <n v="0"/>
    <n v="2"/>
    <n v="1"/>
    <x v="3"/>
  </r>
  <r>
    <x v="2"/>
    <m/>
    <s v="J122670621"/>
    <s v="劉宴銘"/>
    <s v="UM"/>
    <n v="0"/>
    <n v="0"/>
    <n v="0"/>
    <n v="0"/>
    <n v="0"/>
    <n v="0"/>
    <n v="0"/>
    <m/>
    <n v="0"/>
    <m/>
    <x v="0"/>
  </r>
  <r>
    <x v="2"/>
    <m/>
    <s v="J122853139"/>
    <s v="彭程俞"/>
    <s v="CA"/>
    <n v="0"/>
    <n v="0"/>
    <n v="0"/>
    <n v="0"/>
    <n v="0"/>
    <n v="0"/>
    <n v="0"/>
    <n v="0"/>
    <n v="0"/>
    <m/>
    <x v="0"/>
  </r>
  <r>
    <x v="2"/>
    <m/>
    <s v="J122615522"/>
    <s v="謝翔宇"/>
    <s v="CA"/>
    <n v="0"/>
    <n v="0"/>
    <n v="1"/>
    <n v="3600"/>
    <n v="1"/>
    <n v="0"/>
    <n v="0"/>
    <n v="0"/>
    <n v="0"/>
    <m/>
    <x v="0"/>
  </r>
  <r>
    <x v="2"/>
    <m/>
    <s v="H224498959"/>
    <s v="呂靖絃"/>
    <s v="CA"/>
    <n v="0"/>
    <n v="0"/>
    <n v="0"/>
    <n v="0"/>
    <n v="0"/>
    <n v="0"/>
    <n v="0"/>
    <n v="0"/>
    <n v="0"/>
    <m/>
    <x v="0"/>
  </r>
  <r>
    <x v="2"/>
    <m/>
    <s v="J122641273"/>
    <s v="曾威儒"/>
    <s v="CA"/>
    <n v="0"/>
    <n v="0"/>
    <n v="5"/>
    <n v="41301"/>
    <n v="1"/>
    <n v="1"/>
    <n v="1"/>
    <n v="0"/>
    <n v="1"/>
    <m/>
    <x v="0"/>
  </r>
  <r>
    <x v="2"/>
    <m/>
    <s v="H223030257"/>
    <s v="呂雅瑄"/>
    <s v="CA"/>
    <n v="0"/>
    <n v="0"/>
    <n v="7"/>
    <n v="73305"/>
    <n v="1"/>
    <n v="1"/>
    <n v="1"/>
    <n v="0"/>
    <n v="1"/>
    <m/>
    <x v="0"/>
  </r>
  <r>
    <x v="2"/>
    <m/>
    <s v="A225920695"/>
    <s v="魏妤倢"/>
    <s v="CA"/>
    <n v="0"/>
    <n v="0"/>
    <n v="4"/>
    <n v="21283"/>
    <n v="1"/>
    <n v="1"/>
    <n v="0"/>
    <n v="0"/>
    <n v="0"/>
    <m/>
    <x v="0"/>
  </r>
  <r>
    <x v="2"/>
    <s v="J122670621"/>
    <s v="UM"/>
    <s v="劉宴銘"/>
    <n v="7"/>
    <n v="0"/>
    <n v="0"/>
    <n v="17"/>
    <n v="139489"/>
    <n v="4"/>
    <n v="3"/>
    <n v="2"/>
    <n v="0"/>
    <n v="2"/>
    <n v="0"/>
    <x v="5"/>
  </r>
  <r>
    <x v="2"/>
    <m/>
    <s v="J222911629"/>
    <s v="嚴昱容"/>
    <s v="SP"/>
    <n v="0"/>
    <n v="0"/>
    <n v="0"/>
    <n v="0"/>
    <n v="0"/>
    <n v="0"/>
    <n v="0"/>
    <m/>
    <n v="0"/>
    <m/>
    <x v="0"/>
  </r>
  <r>
    <x v="2"/>
    <s v="J222911629"/>
    <s v="SP"/>
    <s v="嚴昱容"/>
    <n v="1"/>
    <n v="0"/>
    <n v="0"/>
    <n v="0"/>
    <n v="0"/>
    <n v="0"/>
    <n v="0"/>
    <n v="0"/>
    <n v="0"/>
    <n v="0"/>
    <n v="0"/>
    <x v="3"/>
  </r>
  <r>
    <x v="2"/>
    <m/>
    <s v="J122587372"/>
    <s v="朱偉均"/>
    <s v="AM"/>
    <n v="0"/>
    <n v="0"/>
    <n v="0"/>
    <n v="0"/>
    <n v="0"/>
    <n v="0"/>
    <n v="0"/>
    <m/>
    <n v="0"/>
    <m/>
    <x v="0"/>
  </r>
  <r>
    <x v="2"/>
    <m/>
    <s v="F229025383"/>
    <s v="張嘉妘"/>
    <s v="CA"/>
    <n v="0"/>
    <n v="0"/>
    <n v="1"/>
    <n v="9471"/>
    <n v="1"/>
    <n v="0"/>
    <n v="0"/>
    <n v="0"/>
    <n v="0"/>
    <m/>
    <x v="0"/>
  </r>
  <r>
    <x v="2"/>
    <s v="J122587372"/>
    <s v="AM"/>
    <s v="朱偉均"/>
    <n v="2"/>
    <n v="0"/>
    <n v="0"/>
    <n v="1"/>
    <n v="9471"/>
    <n v="1"/>
    <n v="0"/>
    <n v="0"/>
    <n v="0"/>
    <n v="0"/>
    <n v="0"/>
    <x v="2"/>
  </r>
  <r>
    <x v="2"/>
    <m/>
    <s v="K122575122"/>
    <s v="林俊尹"/>
    <s v="AM"/>
    <n v="0"/>
    <n v="0"/>
    <n v="0"/>
    <n v="0"/>
    <n v="0"/>
    <n v="0"/>
    <n v="0"/>
    <m/>
    <n v="0"/>
    <m/>
    <x v="0"/>
  </r>
  <r>
    <x v="2"/>
    <m/>
    <s v="J123081253"/>
    <s v="劉紹宇"/>
    <s v="CA"/>
    <n v="0"/>
    <n v="0"/>
    <n v="0"/>
    <n v="0"/>
    <n v="0"/>
    <n v="0"/>
    <n v="0"/>
    <n v="1"/>
    <n v="0"/>
    <m/>
    <x v="0"/>
  </r>
  <r>
    <x v="2"/>
    <m/>
    <s v="J222964620"/>
    <s v="施翎沅"/>
    <s v="CA"/>
    <n v="0"/>
    <n v="0"/>
    <n v="1"/>
    <n v="33600"/>
    <n v="1"/>
    <n v="1"/>
    <n v="1"/>
    <n v="1"/>
    <n v="1"/>
    <m/>
    <x v="0"/>
  </r>
  <r>
    <x v="2"/>
    <s v="K122575122"/>
    <s v="AM"/>
    <s v="林俊尹"/>
    <n v="3"/>
    <n v="0"/>
    <n v="0"/>
    <n v="1"/>
    <n v="33600"/>
    <n v="1"/>
    <n v="1"/>
    <n v="1"/>
    <n v="2"/>
    <n v="1"/>
    <n v="0"/>
    <x v="2"/>
  </r>
  <r>
    <x v="2"/>
    <m/>
    <s v="J122631768"/>
    <s v="張堂哲"/>
    <s v="UM"/>
    <n v="0"/>
    <n v="0"/>
    <n v="3"/>
    <n v="18490"/>
    <n v="1"/>
    <n v="0"/>
    <n v="0"/>
    <m/>
    <n v="0"/>
    <m/>
    <x v="0"/>
  </r>
  <r>
    <x v="2"/>
    <m/>
    <s v="J123160857"/>
    <s v="高玉錦"/>
    <s v="CA"/>
    <n v="0"/>
    <n v="0"/>
    <n v="3"/>
    <n v="38010"/>
    <n v="1"/>
    <n v="1"/>
    <n v="1"/>
    <n v="1"/>
    <n v="1"/>
    <m/>
    <x v="0"/>
  </r>
  <r>
    <x v="2"/>
    <m/>
    <s v="F128260984"/>
    <s v="戴良佑(育停)"/>
    <m/>
    <n v="0"/>
    <n v="0"/>
    <n v="0"/>
    <n v="0"/>
    <m/>
    <m/>
    <m/>
    <m/>
    <m/>
    <m/>
    <x v="0"/>
  </r>
  <r>
    <x v="2"/>
    <m/>
    <s v="Q223977055"/>
    <s v="葉庭妤"/>
    <s v="CA"/>
    <n v="0"/>
    <n v="0"/>
    <n v="0"/>
    <n v="0"/>
    <n v="0"/>
    <n v="0"/>
    <n v="0"/>
    <n v="1"/>
    <n v="0"/>
    <m/>
    <x v="0"/>
  </r>
  <r>
    <x v="2"/>
    <s v="J122631768"/>
    <s v="UM"/>
    <s v="張堂哲"/>
    <n v="3"/>
    <n v="0"/>
    <n v="0"/>
    <n v="6"/>
    <n v="56500"/>
    <n v="2"/>
    <n v="1"/>
    <n v="1"/>
    <n v="2"/>
    <n v="1"/>
    <n v="0"/>
    <x v="5"/>
  </r>
  <r>
    <x v="2"/>
    <m/>
    <s v="L125584212"/>
    <s v="王煜傑"/>
    <s v="AM"/>
    <n v="0"/>
    <n v="0"/>
    <n v="0"/>
    <n v="0"/>
    <n v="0"/>
    <n v="0"/>
    <n v="0"/>
    <m/>
    <n v="0"/>
    <m/>
    <x v="0"/>
  </r>
  <r>
    <x v="2"/>
    <m/>
    <s v="O200635607"/>
    <s v="陳芸暄"/>
    <s v="CA"/>
    <n v="0"/>
    <n v="0"/>
    <n v="0"/>
    <n v="0"/>
    <n v="0"/>
    <n v="0"/>
    <n v="0"/>
    <n v="1"/>
    <n v="0"/>
    <m/>
    <x v="0"/>
  </r>
  <r>
    <x v="2"/>
    <m/>
    <s v="L125547513"/>
    <s v="薛華傑"/>
    <s v="CA"/>
    <n v="0"/>
    <n v="0"/>
    <n v="0"/>
    <n v="0"/>
    <n v="0"/>
    <n v="0"/>
    <n v="0"/>
    <n v="0"/>
    <n v="0"/>
    <m/>
    <x v="0"/>
  </r>
  <r>
    <x v="2"/>
    <s v="L125584212"/>
    <s v="AM"/>
    <s v="王煜傑"/>
    <n v="3"/>
    <n v="0"/>
    <n v="0"/>
    <n v="0"/>
    <n v="0"/>
    <n v="0"/>
    <n v="0"/>
    <n v="0"/>
    <n v="1"/>
    <n v="0"/>
    <n v="0"/>
    <x v="2"/>
  </r>
  <r>
    <x v="2"/>
    <m/>
    <s v="F229138170"/>
    <s v="黃洛雲"/>
    <s v="SP"/>
    <n v="0"/>
    <n v="0"/>
    <n v="0"/>
    <n v="0"/>
    <n v="0"/>
    <n v="0"/>
    <n v="0"/>
    <m/>
    <n v="0"/>
    <m/>
    <x v="0"/>
  </r>
  <r>
    <x v="2"/>
    <s v="F229138170"/>
    <s v="SP"/>
    <s v="黃洛雲"/>
    <n v="1"/>
    <n v="0"/>
    <n v="0"/>
    <n v="0"/>
    <n v="0"/>
    <n v="0"/>
    <n v="0"/>
    <n v="0"/>
    <n v="0"/>
    <n v="0"/>
    <n v="0"/>
    <x v="3"/>
  </r>
  <r>
    <x v="2"/>
    <m/>
    <m/>
    <m/>
    <n v="40"/>
    <n v="1"/>
    <n v="15351"/>
    <n v="53"/>
    <n v="587199"/>
    <n v="18"/>
    <n v="12"/>
    <n v="9"/>
    <n v="8"/>
    <n v="9"/>
    <n v="1"/>
    <x v="0"/>
  </r>
  <r>
    <x v="3"/>
    <m/>
    <s v="J120131283"/>
    <s v="范德亮"/>
    <s v="VRM"/>
    <n v="0"/>
    <n v="0"/>
    <n v="0"/>
    <n v="0"/>
    <n v="0"/>
    <n v="0"/>
    <n v="0"/>
    <m/>
    <n v="0"/>
    <m/>
    <x v="0"/>
  </r>
  <r>
    <x v="3"/>
    <m/>
    <s v="U220743355"/>
    <s v="黃月春"/>
    <s v="CA"/>
    <n v="0"/>
    <n v="0"/>
    <n v="0"/>
    <n v="0"/>
    <n v="0"/>
    <n v="0"/>
    <n v="0"/>
    <n v="0"/>
    <n v="0"/>
    <m/>
    <x v="0"/>
  </r>
  <r>
    <x v="3"/>
    <m/>
    <s v="F227353553"/>
    <s v="陳思妤(育停)"/>
    <m/>
    <n v="0"/>
    <n v="0"/>
    <n v="0"/>
    <n v="0"/>
    <m/>
    <m/>
    <m/>
    <m/>
    <m/>
    <m/>
    <x v="0"/>
  </r>
  <r>
    <x v="3"/>
    <s v="J120131283"/>
    <s v="VRM"/>
    <s v="范德亮"/>
    <n v="2"/>
    <n v="0"/>
    <n v="0"/>
    <n v="0"/>
    <n v="0"/>
    <n v="0"/>
    <n v="0"/>
    <n v="0"/>
    <n v="0"/>
    <n v="0"/>
    <n v="0"/>
    <x v="6"/>
  </r>
  <r>
    <x v="3"/>
    <m/>
    <s v="F223353244"/>
    <s v="李涵渝"/>
    <s v="UM"/>
    <n v="0"/>
    <n v="0"/>
    <n v="0"/>
    <n v="0"/>
    <n v="0"/>
    <n v="0"/>
    <n v="0"/>
    <m/>
    <n v="0"/>
    <m/>
    <x v="0"/>
  </r>
  <r>
    <x v="3"/>
    <s v="F223353244"/>
    <s v="UM"/>
    <s v="李涵渝"/>
    <n v="1"/>
    <n v="0"/>
    <n v="0"/>
    <n v="0"/>
    <n v="0"/>
    <n v="0"/>
    <n v="0"/>
    <n v="0"/>
    <n v="0"/>
    <n v="0"/>
    <n v="0"/>
    <x v="5"/>
  </r>
  <r>
    <x v="3"/>
    <m/>
    <s v="T221382186"/>
    <s v="楊素貞"/>
    <s v="SP"/>
    <n v="4"/>
    <n v="18474"/>
    <n v="5"/>
    <n v="82386"/>
    <n v="1"/>
    <n v="1"/>
    <n v="1"/>
    <m/>
    <n v="1"/>
    <m/>
    <x v="0"/>
  </r>
  <r>
    <x v="3"/>
    <m/>
    <s v="J222923781"/>
    <s v="甘珮筠"/>
    <s v="CA"/>
    <n v="0"/>
    <n v="0"/>
    <n v="0"/>
    <n v="0"/>
    <n v="0"/>
    <n v="0"/>
    <n v="0"/>
    <n v="0"/>
    <n v="0"/>
    <m/>
    <x v="0"/>
  </r>
  <r>
    <x v="3"/>
    <m/>
    <s v="A222377110"/>
    <s v="楊雅如"/>
    <s v="CA"/>
    <n v="0"/>
    <n v="0"/>
    <n v="0"/>
    <n v="0"/>
    <n v="0"/>
    <n v="0"/>
    <n v="0"/>
    <n v="0"/>
    <n v="0"/>
    <m/>
    <x v="0"/>
  </r>
  <r>
    <x v="3"/>
    <s v="T221382186"/>
    <s v="SP"/>
    <s v="楊素貞"/>
    <n v="3"/>
    <n v="4"/>
    <n v="18474"/>
    <n v="5"/>
    <n v="82386"/>
    <n v="1"/>
    <n v="1"/>
    <n v="1"/>
    <n v="0"/>
    <n v="1"/>
    <n v="1"/>
    <x v="3"/>
  </r>
  <r>
    <x v="3"/>
    <m/>
    <s v="F227252462"/>
    <s v="陳宥縈"/>
    <s v="AM"/>
    <n v="0"/>
    <n v="0"/>
    <n v="0"/>
    <n v="0"/>
    <n v="0"/>
    <n v="0"/>
    <n v="0"/>
    <m/>
    <n v="0"/>
    <m/>
    <x v="0"/>
  </r>
  <r>
    <x v="3"/>
    <m/>
    <s v="O100155602"/>
    <s v="盧志維"/>
    <s v="CA"/>
    <n v="0"/>
    <n v="0"/>
    <n v="0"/>
    <n v="0"/>
    <n v="0"/>
    <n v="0"/>
    <n v="0"/>
    <n v="1"/>
    <n v="0"/>
    <m/>
    <x v="0"/>
  </r>
  <r>
    <x v="3"/>
    <m/>
    <s v="S224941659"/>
    <s v="陳品茜"/>
    <s v="CA"/>
    <n v="0"/>
    <n v="0"/>
    <n v="3"/>
    <n v="44173"/>
    <n v="1"/>
    <n v="1"/>
    <n v="1"/>
    <n v="1"/>
    <n v="1"/>
    <m/>
    <x v="0"/>
  </r>
  <r>
    <x v="3"/>
    <m/>
    <s v="O100154212"/>
    <s v="張家維"/>
    <s v="CA"/>
    <n v="0"/>
    <n v="0"/>
    <n v="3"/>
    <n v="406680"/>
    <n v="1"/>
    <n v="1"/>
    <n v="1"/>
    <n v="0"/>
    <n v="1"/>
    <m/>
    <x v="0"/>
  </r>
  <r>
    <x v="3"/>
    <m/>
    <s v="O100193246"/>
    <s v="黃炫翔"/>
    <s v="CA"/>
    <n v="0"/>
    <n v="0"/>
    <n v="1"/>
    <n v="72473"/>
    <n v="1"/>
    <n v="1"/>
    <n v="1"/>
    <n v="0"/>
    <n v="1"/>
    <m/>
    <x v="0"/>
  </r>
  <r>
    <x v="3"/>
    <s v="F227252462"/>
    <s v="AM"/>
    <s v="陳宥縈"/>
    <n v="5"/>
    <n v="0"/>
    <n v="0"/>
    <n v="7"/>
    <n v="523326"/>
    <n v="3"/>
    <n v="3"/>
    <n v="3"/>
    <n v="2"/>
    <n v="3"/>
    <n v="1"/>
    <x v="2"/>
  </r>
  <r>
    <x v="3"/>
    <m/>
    <s v="P123238925"/>
    <s v="曾冠瑋"/>
    <s v="MS"/>
    <n v="0"/>
    <n v="0"/>
    <n v="3"/>
    <n v="38079"/>
    <n v="1"/>
    <n v="1"/>
    <n v="1"/>
    <m/>
    <n v="1"/>
    <m/>
    <x v="0"/>
  </r>
  <r>
    <x v="3"/>
    <s v="P123238925"/>
    <s v="MS"/>
    <s v="曾冠瑋"/>
    <n v="1"/>
    <n v="0"/>
    <n v="0"/>
    <n v="3"/>
    <n v="38079"/>
    <n v="1"/>
    <n v="1"/>
    <n v="1"/>
    <n v="0"/>
    <n v="1"/>
    <n v="0"/>
    <x v="4"/>
  </r>
  <r>
    <x v="3"/>
    <m/>
    <s v="F227812780"/>
    <s v="周凱雯"/>
    <s v="UM"/>
    <n v="0"/>
    <n v="0"/>
    <n v="0"/>
    <n v="0"/>
    <n v="0"/>
    <n v="0"/>
    <n v="0"/>
    <m/>
    <n v="0"/>
    <m/>
    <x v="0"/>
  </r>
  <r>
    <x v="3"/>
    <m/>
    <s v="O100517308"/>
    <s v="張庭瑋"/>
    <s v="CA"/>
    <n v="1"/>
    <n v="21508"/>
    <n v="2"/>
    <n v="37002"/>
    <n v="1"/>
    <n v="1"/>
    <n v="1"/>
    <n v="0"/>
    <n v="1"/>
    <m/>
    <x v="0"/>
  </r>
  <r>
    <x v="3"/>
    <s v="F227812780"/>
    <s v="UM"/>
    <s v="周凱雯"/>
    <n v="2"/>
    <n v="1"/>
    <n v="21508"/>
    <n v="2"/>
    <n v="37002"/>
    <n v="1"/>
    <n v="1"/>
    <n v="1"/>
    <n v="0"/>
    <n v="1"/>
    <n v="0"/>
    <x v="5"/>
  </r>
  <r>
    <x v="3"/>
    <m/>
    <s v="A225999127"/>
    <s v="解語"/>
    <s v="SP"/>
    <n v="1"/>
    <n v="6390"/>
    <n v="6"/>
    <n v="35978"/>
    <n v="1"/>
    <n v="1"/>
    <n v="1"/>
    <m/>
    <n v="1"/>
    <m/>
    <x v="0"/>
  </r>
  <r>
    <x v="3"/>
    <s v="A225999127"/>
    <s v="SP"/>
    <s v="解語"/>
    <n v="1"/>
    <n v="1"/>
    <n v="6390"/>
    <n v="6"/>
    <n v="35978"/>
    <n v="1"/>
    <n v="1"/>
    <n v="1"/>
    <n v="0"/>
    <n v="1"/>
    <n v="0"/>
    <x v="3"/>
  </r>
  <r>
    <x v="3"/>
    <m/>
    <s v="J220188604"/>
    <s v="傅秀鳳"/>
    <s v="UM"/>
    <n v="0"/>
    <n v="0"/>
    <n v="0"/>
    <n v="0"/>
    <n v="0"/>
    <n v="0"/>
    <n v="0"/>
    <m/>
    <n v="0"/>
    <m/>
    <x v="0"/>
  </r>
  <r>
    <x v="3"/>
    <m/>
    <s v="J221644076"/>
    <s v="黃雅惠"/>
    <s v="CA"/>
    <n v="0"/>
    <n v="0"/>
    <n v="3"/>
    <n v="30000"/>
    <n v="1"/>
    <n v="1"/>
    <n v="1"/>
    <n v="0"/>
    <n v="1"/>
    <m/>
    <x v="0"/>
  </r>
  <r>
    <x v="3"/>
    <s v="J220188604"/>
    <s v="UM"/>
    <s v="傅秀鳳"/>
    <n v="2"/>
    <n v="0"/>
    <n v="0"/>
    <n v="3"/>
    <n v="30000"/>
    <n v="1"/>
    <n v="1"/>
    <n v="1"/>
    <n v="0"/>
    <n v="1"/>
    <n v="0"/>
    <x v="5"/>
  </r>
  <r>
    <x v="3"/>
    <m/>
    <s v="H123796865"/>
    <s v="范逸軍"/>
    <s v="UM"/>
    <n v="0"/>
    <n v="0"/>
    <n v="0"/>
    <n v="0"/>
    <n v="0"/>
    <n v="0"/>
    <n v="0"/>
    <m/>
    <n v="0"/>
    <m/>
    <x v="0"/>
  </r>
  <r>
    <x v="3"/>
    <m/>
    <s v="J222709174"/>
    <s v="吳昀姿"/>
    <s v="CA"/>
    <n v="0"/>
    <n v="0"/>
    <n v="0"/>
    <n v="0"/>
    <n v="0"/>
    <n v="0"/>
    <n v="0"/>
    <n v="0"/>
    <n v="0"/>
    <m/>
    <x v="0"/>
  </r>
  <r>
    <x v="3"/>
    <m/>
    <s v="J290022586"/>
    <s v="曾純春"/>
    <s v="CA"/>
    <n v="0"/>
    <n v="0"/>
    <n v="0"/>
    <n v="0"/>
    <n v="0"/>
    <n v="0"/>
    <n v="0"/>
    <n v="0"/>
    <n v="0"/>
    <m/>
    <x v="0"/>
  </r>
  <r>
    <x v="3"/>
    <m/>
    <s v="J221843051"/>
    <s v="湯雅棉"/>
    <s v="CA"/>
    <n v="0"/>
    <n v="0"/>
    <n v="0"/>
    <n v="0"/>
    <n v="0"/>
    <n v="0"/>
    <n v="0"/>
    <n v="0"/>
    <n v="0"/>
    <m/>
    <x v="0"/>
  </r>
  <r>
    <x v="3"/>
    <m/>
    <s v="K122920912"/>
    <s v="古乙恩"/>
    <s v="CA"/>
    <n v="0"/>
    <n v="0"/>
    <n v="0"/>
    <n v="0"/>
    <n v="0"/>
    <n v="0"/>
    <n v="0"/>
    <n v="0"/>
    <n v="0"/>
    <m/>
    <x v="0"/>
  </r>
  <r>
    <x v="3"/>
    <s v="H123796865"/>
    <s v="UM"/>
    <s v="范逸軍"/>
    <n v="5"/>
    <n v="0"/>
    <n v="0"/>
    <n v="0"/>
    <n v="0"/>
    <n v="0"/>
    <n v="0"/>
    <n v="0"/>
    <n v="0"/>
    <n v="0"/>
    <n v="0"/>
    <x v="5"/>
  </r>
  <r>
    <x v="3"/>
    <m/>
    <s v="O100289014"/>
    <s v="范逸青"/>
    <s v="UM"/>
    <n v="1"/>
    <n v="9730"/>
    <n v="1"/>
    <n v="9730"/>
    <n v="1"/>
    <n v="0"/>
    <n v="0"/>
    <m/>
    <n v="0"/>
    <m/>
    <x v="0"/>
  </r>
  <r>
    <x v="3"/>
    <m/>
    <s v="J221388582"/>
    <s v="陳秋蓉"/>
    <s v="CA"/>
    <n v="0"/>
    <n v="0"/>
    <n v="0"/>
    <n v="0"/>
    <n v="0"/>
    <n v="0"/>
    <n v="0"/>
    <n v="0"/>
    <n v="0"/>
    <m/>
    <x v="0"/>
  </r>
  <r>
    <x v="3"/>
    <m/>
    <s v="J222357769"/>
    <s v="傅孟真"/>
    <s v="CA"/>
    <n v="2"/>
    <n v="5286"/>
    <n v="2"/>
    <n v="5286"/>
    <n v="1"/>
    <n v="0"/>
    <n v="0"/>
    <n v="0"/>
    <n v="0"/>
    <m/>
    <x v="0"/>
  </r>
  <r>
    <x v="3"/>
    <s v="O100289014"/>
    <s v="UM"/>
    <s v="范逸青"/>
    <n v="3"/>
    <n v="3"/>
    <n v="15016"/>
    <n v="3"/>
    <n v="15016"/>
    <n v="2"/>
    <n v="0"/>
    <n v="0"/>
    <n v="0"/>
    <n v="0"/>
    <n v="0"/>
    <x v="5"/>
  </r>
  <r>
    <x v="3"/>
    <m/>
    <s v="O200454817"/>
    <s v="陳嘉佩"/>
    <s v="SP"/>
    <n v="0"/>
    <n v="0"/>
    <n v="1"/>
    <n v="15544"/>
    <n v="1"/>
    <n v="0"/>
    <n v="0"/>
    <m/>
    <n v="0"/>
    <m/>
    <x v="0"/>
  </r>
  <r>
    <x v="3"/>
    <s v="O200454817"/>
    <s v="SP"/>
    <s v="陳嘉佩"/>
    <n v="1"/>
    <n v="0"/>
    <n v="0"/>
    <n v="1"/>
    <n v="15544"/>
    <n v="1"/>
    <n v="0"/>
    <n v="0"/>
    <n v="0"/>
    <n v="0"/>
    <n v="0"/>
    <x v="3"/>
  </r>
  <r>
    <x v="3"/>
    <m/>
    <s v="N124348787"/>
    <s v="林昭仰"/>
    <s v="UM"/>
    <n v="0"/>
    <n v="0"/>
    <n v="2"/>
    <n v="12816"/>
    <n v="1"/>
    <n v="0"/>
    <n v="0"/>
    <m/>
    <n v="0"/>
    <m/>
    <x v="0"/>
  </r>
  <r>
    <x v="3"/>
    <m/>
    <s v="J222643439"/>
    <s v="朱妤珺"/>
    <s v="CA"/>
    <n v="0"/>
    <n v="0"/>
    <n v="0"/>
    <n v="0"/>
    <n v="0"/>
    <n v="0"/>
    <n v="0"/>
    <n v="0"/>
    <n v="0"/>
    <m/>
    <x v="0"/>
  </r>
  <r>
    <x v="3"/>
    <m/>
    <s v="J122467875"/>
    <s v="陳彥樺"/>
    <s v="CA"/>
    <n v="0"/>
    <n v="0"/>
    <n v="0"/>
    <n v="0"/>
    <n v="0"/>
    <n v="0"/>
    <n v="0"/>
    <n v="0"/>
    <n v="0"/>
    <m/>
    <x v="0"/>
  </r>
  <r>
    <x v="3"/>
    <m/>
    <s v="J222604772"/>
    <s v="吳玲儒"/>
    <s v="CA"/>
    <n v="0"/>
    <n v="0"/>
    <n v="0"/>
    <n v="0"/>
    <n v="0"/>
    <n v="0"/>
    <n v="0"/>
    <n v="0"/>
    <n v="0"/>
    <m/>
    <x v="0"/>
  </r>
  <r>
    <x v="3"/>
    <s v="N124348787"/>
    <s v="UM"/>
    <s v="林昭仰"/>
    <n v="4"/>
    <n v="0"/>
    <n v="0"/>
    <n v="2"/>
    <n v="12816"/>
    <n v="1"/>
    <n v="0"/>
    <n v="0"/>
    <n v="0"/>
    <n v="0"/>
    <n v="0"/>
    <x v="5"/>
  </r>
  <r>
    <x v="3"/>
    <m/>
    <s v="U121499194"/>
    <s v="黃羅健華"/>
    <s v="SP"/>
    <n v="0"/>
    <n v="0"/>
    <n v="2"/>
    <n v="7985"/>
    <n v="1"/>
    <n v="0"/>
    <n v="0"/>
    <m/>
    <n v="0"/>
    <m/>
    <x v="0"/>
  </r>
  <r>
    <x v="3"/>
    <m/>
    <s v="U221572109"/>
    <s v="張蓉庭"/>
    <s v="CA"/>
    <n v="0"/>
    <n v="0"/>
    <n v="0"/>
    <n v="0"/>
    <n v="0"/>
    <n v="0"/>
    <n v="0"/>
    <n v="1"/>
    <n v="0"/>
    <m/>
    <x v="0"/>
  </r>
  <r>
    <x v="3"/>
    <m/>
    <s v="A227756264"/>
    <s v="郭家寧"/>
    <s v="CA"/>
    <n v="0"/>
    <n v="0"/>
    <n v="0"/>
    <n v="0"/>
    <n v="0"/>
    <n v="0"/>
    <n v="0"/>
    <n v="1"/>
    <n v="0"/>
    <m/>
    <x v="0"/>
  </r>
  <r>
    <x v="3"/>
    <m/>
    <s v="J222732833"/>
    <s v="姜佩伶"/>
    <s v="CA"/>
    <n v="2"/>
    <n v="8519"/>
    <n v="2"/>
    <n v="8519"/>
    <n v="1"/>
    <n v="0"/>
    <n v="0"/>
    <n v="0"/>
    <n v="0"/>
    <m/>
    <x v="0"/>
  </r>
  <r>
    <x v="3"/>
    <m/>
    <s v="K122410019"/>
    <s v="練崇智"/>
    <s v="CA"/>
    <n v="0"/>
    <n v="0"/>
    <n v="0"/>
    <n v="0"/>
    <n v="0"/>
    <n v="0"/>
    <n v="0"/>
    <n v="0"/>
    <n v="0"/>
    <m/>
    <x v="0"/>
  </r>
  <r>
    <x v="3"/>
    <s v="U121499194"/>
    <s v="SP"/>
    <s v="黃羅健華"/>
    <n v="5"/>
    <n v="2"/>
    <n v="8519"/>
    <n v="4"/>
    <n v="16504"/>
    <n v="2"/>
    <n v="0"/>
    <n v="0"/>
    <n v="2"/>
    <n v="0"/>
    <n v="0"/>
    <x v="3"/>
  </r>
  <r>
    <x v="3"/>
    <m/>
    <s v="A223252096"/>
    <s v="林月美"/>
    <s v="SP"/>
    <n v="0"/>
    <n v="0"/>
    <n v="2"/>
    <n v="146128"/>
    <n v="1"/>
    <n v="1"/>
    <n v="1"/>
    <m/>
    <n v="1"/>
    <m/>
    <x v="0"/>
  </r>
  <r>
    <x v="3"/>
    <m/>
    <s v="B120427938"/>
    <s v="賴均諒"/>
    <s v="CA"/>
    <n v="0"/>
    <n v="0"/>
    <n v="0"/>
    <n v="0"/>
    <n v="0"/>
    <n v="0"/>
    <n v="0"/>
    <n v="0"/>
    <n v="0"/>
    <m/>
    <x v="0"/>
  </r>
  <r>
    <x v="3"/>
    <s v="A223252096"/>
    <s v="SP"/>
    <s v="林月美"/>
    <n v="2"/>
    <n v="0"/>
    <n v="0"/>
    <n v="2"/>
    <n v="146128"/>
    <n v="1"/>
    <n v="1"/>
    <n v="1"/>
    <n v="0"/>
    <n v="1"/>
    <n v="1"/>
    <x v="3"/>
  </r>
  <r>
    <x v="3"/>
    <m/>
    <s v="J220598271"/>
    <s v="邱鏸斳"/>
    <s v="AM"/>
    <n v="0"/>
    <n v="0"/>
    <n v="0"/>
    <n v="0"/>
    <n v="0"/>
    <n v="0"/>
    <n v="0"/>
    <m/>
    <n v="0"/>
    <m/>
    <x v="0"/>
  </r>
  <r>
    <x v="3"/>
    <m/>
    <s v="J222019166"/>
    <s v="蔡玉菁"/>
    <s v="CA"/>
    <n v="2"/>
    <n v="38163"/>
    <n v="2"/>
    <n v="38163"/>
    <n v="1"/>
    <n v="1"/>
    <n v="1"/>
    <n v="0"/>
    <n v="1"/>
    <m/>
    <x v="0"/>
  </r>
  <r>
    <x v="3"/>
    <s v="J220598271"/>
    <s v="AM"/>
    <s v="邱鏸斳"/>
    <n v="2"/>
    <n v="2"/>
    <n v="38163"/>
    <n v="2"/>
    <n v="38163"/>
    <n v="1"/>
    <n v="1"/>
    <n v="1"/>
    <n v="0"/>
    <n v="1"/>
    <n v="0"/>
    <x v="2"/>
  </r>
  <r>
    <x v="3"/>
    <m/>
    <s v="J120447955"/>
    <s v="郭鴻志"/>
    <s v="UM"/>
    <n v="0"/>
    <n v="0"/>
    <n v="1"/>
    <n v="496"/>
    <n v="1"/>
    <n v="0"/>
    <n v="0"/>
    <m/>
    <n v="0"/>
    <m/>
    <x v="0"/>
  </r>
  <r>
    <x v="3"/>
    <m/>
    <s v="O200319715"/>
    <s v="郭庭甄(育停)"/>
    <m/>
    <n v="0"/>
    <n v="0"/>
    <n v="0"/>
    <n v="0"/>
    <m/>
    <m/>
    <m/>
    <m/>
    <m/>
    <m/>
    <x v="0"/>
  </r>
  <r>
    <x v="3"/>
    <s v="J120447955"/>
    <s v="UM"/>
    <s v="郭鴻志"/>
    <n v="1"/>
    <n v="0"/>
    <n v="0"/>
    <n v="1"/>
    <n v="496"/>
    <n v="1"/>
    <n v="0"/>
    <n v="0"/>
    <n v="0"/>
    <n v="0"/>
    <n v="0"/>
    <x v="5"/>
  </r>
  <r>
    <x v="3"/>
    <m/>
    <s v="K221636986"/>
    <s v="陳銘儀"/>
    <s v="SP"/>
    <n v="0"/>
    <n v="0"/>
    <n v="0"/>
    <n v="0"/>
    <n v="0"/>
    <n v="0"/>
    <n v="0"/>
    <m/>
    <n v="0"/>
    <m/>
    <x v="0"/>
  </r>
  <r>
    <x v="3"/>
    <m/>
    <s v="M121350686"/>
    <s v="欉啓億"/>
    <s v="CA"/>
    <n v="0"/>
    <n v="0"/>
    <n v="2"/>
    <n v="23352"/>
    <n v="1"/>
    <n v="1"/>
    <n v="0"/>
    <n v="0"/>
    <n v="0"/>
    <m/>
    <x v="0"/>
  </r>
  <r>
    <x v="3"/>
    <s v="K221636986"/>
    <s v="SP"/>
    <s v="陳銘儀"/>
    <n v="2"/>
    <n v="0"/>
    <n v="0"/>
    <n v="2"/>
    <n v="23352"/>
    <n v="1"/>
    <n v="1"/>
    <n v="0"/>
    <n v="0"/>
    <n v="0"/>
    <n v="0"/>
    <x v="3"/>
  </r>
  <r>
    <x v="3"/>
    <m/>
    <s v="J122351176"/>
    <s v="曾紀瑋"/>
    <s v="UM"/>
    <n v="0"/>
    <n v="0"/>
    <n v="0"/>
    <n v="0"/>
    <n v="0"/>
    <n v="0"/>
    <n v="0"/>
    <m/>
    <n v="0"/>
    <m/>
    <x v="0"/>
  </r>
  <r>
    <x v="3"/>
    <m/>
    <s v="K222260191"/>
    <s v="徐語瑄"/>
    <s v="CA"/>
    <n v="0"/>
    <n v="0"/>
    <n v="1"/>
    <n v="129954"/>
    <n v="1"/>
    <n v="1"/>
    <n v="1"/>
    <n v="0"/>
    <n v="1"/>
    <m/>
    <x v="0"/>
  </r>
  <r>
    <x v="3"/>
    <m/>
    <s v="H123393202"/>
    <s v="黃琮峻"/>
    <s v="CA"/>
    <n v="0"/>
    <n v="0"/>
    <n v="1"/>
    <n v="4800"/>
    <n v="1"/>
    <n v="0"/>
    <n v="0"/>
    <n v="0"/>
    <n v="0"/>
    <m/>
    <x v="0"/>
  </r>
  <r>
    <x v="3"/>
    <s v="J122351176"/>
    <s v="UM"/>
    <s v="曾紀瑋"/>
    <n v="3"/>
    <n v="0"/>
    <n v="0"/>
    <n v="2"/>
    <n v="134754"/>
    <n v="2"/>
    <n v="1"/>
    <n v="1"/>
    <n v="0"/>
    <n v="1"/>
    <n v="0"/>
    <x v="5"/>
  </r>
  <r>
    <x v="3"/>
    <m/>
    <s v="I100029160"/>
    <s v="江偉宏"/>
    <s v="SP"/>
    <n v="0"/>
    <n v="0"/>
    <n v="0.5"/>
    <n v="5582"/>
    <n v="1"/>
    <n v="0"/>
    <n v="0"/>
    <m/>
    <n v="0"/>
    <m/>
    <x v="0"/>
  </r>
  <r>
    <x v="3"/>
    <m/>
    <s v="F226955731"/>
    <s v="黃筱桓"/>
    <s v="CA"/>
    <n v="0"/>
    <n v="0"/>
    <n v="3.5"/>
    <n v="41979"/>
    <n v="1"/>
    <n v="1"/>
    <n v="1"/>
    <n v="1"/>
    <n v="1"/>
    <m/>
    <x v="0"/>
  </r>
  <r>
    <x v="3"/>
    <s v="I100029160"/>
    <s v="SP"/>
    <s v="曾紀瑋"/>
    <n v="2"/>
    <n v="0"/>
    <n v="0"/>
    <n v="4"/>
    <n v="47561"/>
    <n v="2"/>
    <n v="1"/>
    <n v="1"/>
    <n v="1"/>
    <n v="1"/>
    <n v="1"/>
    <x v="3"/>
  </r>
  <r>
    <x v="3"/>
    <m/>
    <s v="J122349658"/>
    <s v="李永瀚"/>
    <s v="UM"/>
    <n v="2"/>
    <n v="26190"/>
    <n v="6"/>
    <n v="57107"/>
    <n v="1"/>
    <n v="1"/>
    <n v="1"/>
    <m/>
    <n v="1"/>
    <m/>
    <x v="0"/>
  </r>
  <r>
    <x v="3"/>
    <m/>
    <s v="J122241700"/>
    <s v="蔡鳳勻"/>
    <s v="CA"/>
    <n v="0"/>
    <n v="0"/>
    <n v="0"/>
    <n v="0"/>
    <n v="0"/>
    <n v="0"/>
    <n v="0"/>
    <n v="0"/>
    <n v="0"/>
    <m/>
    <x v="0"/>
  </r>
  <r>
    <x v="3"/>
    <s v="J122349658"/>
    <s v="UM"/>
    <s v="李永瀚"/>
    <n v="2"/>
    <n v="2"/>
    <n v="26190"/>
    <n v="6"/>
    <n v="57107"/>
    <n v="1"/>
    <n v="1"/>
    <n v="1"/>
    <n v="0"/>
    <n v="1"/>
    <n v="0"/>
    <x v="5"/>
  </r>
  <r>
    <x v="3"/>
    <m/>
    <s v="L123681076"/>
    <s v="蔣仕崇"/>
    <s v="UM"/>
    <n v="0"/>
    <n v="0"/>
    <n v="0"/>
    <n v="0"/>
    <n v="0"/>
    <n v="0"/>
    <n v="0"/>
    <m/>
    <n v="0"/>
    <m/>
    <x v="0"/>
  </r>
  <r>
    <x v="3"/>
    <m/>
    <s v="L222759442"/>
    <s v="吳尚怡"/>
    <s v="CA"/>
    <n v="0"/>
    <n v="0"/>
    <n v="7"/>
    <n v="105538"/>
    <n v="1"/>
    <n v="1"/>
    <n v="1"/>
    <n v="0"/>
    <n v="1"/>
    <m/>
    <x v="0"/>
  </r>
  <r>
    <x v="3"/>
    <s v="L123681076"/>
    <s v="UM"/>
    <s v="蔣仕崇"/>
    <n v="2"/>
    <n v="0"/>
    <n v="0"/>
    <n v="7"/>
    <n v="105538"/>
    <n v="1"/>
    <n v="1"/>
    <n v="1"/>
    <n v="0"/>
    <n v="1"/>
    <n v="0"/>
    <x v="5"/>
  </r>
  <r>
    <x v="3"/>
    <m/>
    <s v="J122699117"/>
    <s v="吳聲鴻"/>
    <s v="SP"/>
    <n v="0"/>
    <n v="0"/>
    <n v="0"/>
    <n v="0"/>
    <n v="0"/>
    <n v="0"/>
    <n v="0"/>
    <m/>
    <n v="0"/>
    <m/>
    <x v="0"/>
  </r>
  <r>
    <x v="3"/>
    <m/>
    <s v="J222840652"/>
    <s v="曾絜筠"/>
    <s v="CA"/>
    <n v="0"/>
    <n v="0"/>
    <n v="3"/>
    <n v="30534"/>
    <n v="1"/>
    <n v="1"/>
    <n v="1"/>
    <n v="0"/>
    <n v="1"/>
    <m/>
    <x v="0"/>
  </r>
  <r>
    <x v="3"/>
    <s v="J122699117"/>
    <s v="SP"/>
    <s v="吳聲鴻"/>
    <n v="2"/>
    <n v="0"/>
    <n v="0"/>
    <n v="3"/>
    <n v="30534"/>
    <n v="1"/>
    <n v="1"/>
    <n v="1"/>
    <n v="0"/>
    <n v="1"/>
    <n v="1"/>
    <x v="3"/>
  </r>
  <r>
    <x v="3"/>
    <m/>
    <s v="J121707950"/>
    <s v="孔威權"/>
    <s v="SP"/>
    <n v="0"/>
    <n v="0"/>
    <n v="1"/>
    <n v="53910"/>
    <n v="1"/>
    <n v="1"/>
    <n v="1"/>
    <m/>
    <n v="1"/>
    <m/>
    <x v="0"/>
  </r>
  <r>
    <x v="3"/>
    <s v="J121707950"/>
    <s v="SP"/>
    <s v="孔威權"/>
    <n v="1"/>
    <n v="0"/>
    <n v="0"/>
    <n v="1"/>
    <n v="53910"/>
    <n v="1"/>
    <n v="1"/>
    <n v="1"/>
    <n v="0"/>
    <n v="1"/>
    <n v="0"/>
    <x v="3"/>
  </r>
  <r>
    <x v="3"/>
    <m/>
    <s v="J221232236"/>
    <s v="曾毓芳"/>
    <s v="UM"/>
    <n v="0"/>
    <n v="0"/>
    <n v="1"/>
    <n v="25440"/>
    <n v="1"/>
    <n v="1"/>
    <n v="1"/>
    <m/>
    <n v="1"/>
    <m/>
    <x v="0"/>
  </r>
  <r>
    <x v="3"/>
    <m/>
    <s v="J122830556"/>
    <s v="姜智凌"/>
    <s v="CA"/>
    <n v="0"/>
    <n v="0"/>
    <n v="0"/>
    <n v="0"/>
    <n v="0"/>
    <n v="0"/>
    <n v="0"/>
    <n v="0"/>
    <n v="0"/>
    <m/>
    <x v="0"/>
  </r>
  <r>
    <x v="3"/>
    <m/>
    <s v="J221323349"/>
    <s v="林水鮮"/>
    <s v="CA"/>
    <n v="0"/>
    <n v="0"/>
    <n v="0"/>
    <n v="0"/>
    <n v="0"/>
    <n v="0"/>
    <n v="0"/>
    <n v="0"/>
    <n v="0"/>
    <m/>
    <x v="0"/>
  </r>
  <r>
    <x v="3"/>
    <s v="J221232236"/>
    <s v="UM"/>
    <s v="曾毓芳"/>
    <n v="3"/>
    <n v="0"/>
    <n v="0"/>
    <n v="1"/>
    <n v="25440"/>
    <n v="1"/>
    <n v="1"/>
    <n v="1"/>
    <n v="0"/>
    <n v="1"/>
    <n v="0"/>
    <x v="5"/>
  </r>
  <r>
    <x v="3"/>
    <m/>
    <s v="J220547283"/>
    <s v="鄧美蓉"/>
    <s v="SP"/>
    <n v="0"/>
    <n v="0"/>
    <n v="1"/>
    <n v="90327"/>
    <n v="1"/>
    <n v="1"/>
    <n v="1"/>
    <m/>
    <n v="1"/>
    <m/>
    <x v="0"/>
  </r>
  <r>
    <x v="3"/>
    <s v="J220547283"/>
    <s v="SP"/>
    <s v="鄧美蓉"/>
    <n v="1"/>
    <n v="0"/>
    <n v="0"/>
    <n v="1"/>
    <n v="90327"/>
    <n v="1"/>
    <n v="1"/>
    <n v="1"/>
    <n v="0"/>
    <n v="1"/>
    <n v="0"/>
    <x v="3"/>
  </r>
  <r>
    <x v="3"/>
    <m/>
    <s v="O200291776"/>
    <s v="陳怡靜"/>
    <s v="SP"/>
    <n v="0"/>
    <n v="0"/>
    <n v="0"/>
    <n v="0"/>
    <n v="0"/>
    <n v="0"/>
    <n v="0"/>
    <m/>
    <n v="0"/>
    <m/>
    <x v="0"/>
  </r>
  <r>
    <x v="3"/>
    <m/>
    <s v="J222402054"/>
    <s v="龍惠如"/>
    <s v="CA"/>
    <n v="3"/>
    <n v="19677"/>
    <n v="5"/>
    <n v="26505"/>
    <n v="1"/>
    <n v="1"/>
    <n v="1"/>
    <n v="0"/>
    <n v="1"/>
    <m/>
    <x v="0"/>
  </r>
  <r>
    <x v="3"/>
    <s v="O200291776"/>
    <s v="SP"/>
    <s v="陳怡靜"/>
    <n v="2"/>
    <n v="3"/>
    <n v="19677"/>
    <n v="5"/>
    <n v="26505"/>
    <n v="1"/>
    <n v="1"/>
    <n v="1"/>
    <n v="0"/>
    <n v="1"/>
    <n v="1"/>
    <x v="3"/>
  </r>
  <r>
    <x v="3"/>
    <m/>
    <s v="K221865370"/>
    <s v="陳雨纖"/>
    <s v="SP"/>
    <n v="0"/>
    <n v="0"/>
    <n v="0"/>
    <n v="0"/>
    <n v="0"/>
    <n v="0"/>
    <n v="0"/>
    <m/>
    <n v="0"/>
    <m/>
    <x v="0"/>
  </r>
  <r>
    <x v="3"/>
    <m/>
    <s v="K222959013"/>
    <s v="饒蕎羽"/>
    <s v="CA"/>
    <n v="0"/>
    <n v="0"/>
    <n v="0"/>
    <n v="0"/>
    <n v="0"/>
    <n v="0"/>
    <n v="0"/>
    <n v="0"/>
    <n v="0"/>
    <m/>
    <x v="0"/>
  </r>
  <r>
    <x v="3"/>
    <m/>
    <s v="K123016122"/>
    <s v="蔡函軒"/>
    <s v="CA"/>
    <n v="0"/>
    <n v="0"/>
    <n v="0"/>
    <n v="0"/>
    <n v="0"/>
    <n v="0"/>
    <n v="0"/>
    <n v="0"/>
    <n v="0"/>
    <m/>
    <x v="0"/>
  </r>
  <r>
    <x v="3"/>
    <s v="K221865370"/>
    <s v="SP"/>
    <s v="陳雨纖"/>
    <n v="3"/>
    <n v="0"/>
    <n v="0"/>
    <n v="0"/>
    <n v="0"/>
    <n v="0"/>
    <n v="0"/>
    <n v="0"/>
    <n v="0"/>
    <n v="0"/>
    <n v="0"/>
    <x v="3"/>
  </r>
  <r>
    <x v="3"/>
    <m/>
    <s v="J220946311"/>
    <s v="蘇淑鳳"/>
    <s v="SP"/>
    <n v="0"/>
    <n v="0"/>
    <n v="2"/>
    <n v="19419"/>
    <n v="1"/>
    <n v="0"/>
    <n v="0"/>
    <m/>
    <n v="0"/>
    <m/>
    <x v="0"/>
  </r>
  <r>
    <x v="3"/>
    <s v="J220946311"/>
    <s v="SP"/>
    <s v="蘇淑鳳"/>
    <n v="1"/>
    <n v="0"/>
    <n v="0"/>
    <n v="2"/>
    <n v="19419"/>
    <n v="1"/>
    <n v="0"/>
    <n v="0"/>
    <n v="0"/>
    <n v="0"/>
    <n v="0"/>
    <x v="3"/>
  </r>
  <r>
    <x v="3"/>
    <m/>
    <s v="N223370090"/>
    <s v="王淑靜"/>
    <s v="SP"/>
    <n v="0"/>
    <n v="0"/>
    <n v="1"/>
    <n v="2000"/>
    <n v="1"/>
    <n v="0"/>
    <n v="0"/>
    <m/>
    <n v="0"/>
    <m/>
    <x v="0"/>
  </r>
  <r>
    <x v="3"/>
    <s v="N223370090"/>
    <s v="SP"/>
    <s v="王淑靜"/>
    <n v="1"/>
    <n v="0"/>
    <n v="0"/>
    <n v="1"/>
    <n v="2000"/>
    <n v="1"/>
    <n v="0"/>
    <n v="0"/>
    <n v="0"/>
    <n v="0"/>
    <n v="0"/>
    <x v="3"/>
  </r>
  <r>
    <x v="3"/>
    <m/>
    <s v="B120141415"/>
    <s v="侯賦雄"/>
    <s v="AM"/>
    <n v="0"/>
    <n v="0"/>
    <n v="0"/>
    <n v="0"/>
    <n v="0"/>
    <n v="0"/>
    <n v="0"/>
    <m/>
    <n v="0"/>
    <m/>
    <x v="0"/>
  </r>
  <r>
    <x v="3"/>
    <m/>
    <s v="J220885671"/>
    <s v="李雅婉"/>
    <s v="CA"/>
    <n v="0"/>
    <n v="0"/>
    <n v="0"/>
    <n v="0"/>
    <n v="0"/>
    <n v="0"/>
    <n v="0"/>
    <n v="0"/>
    <n v="0"/>
    <m/>
    <x v="0"/>
  </r>
  <r>
    <x v="3"/>
    <s v="B120141415"/>
    <s v="AM"/>
    <s v="侯賦雄"/>
    <n v="2"/>
    <n v="0"/>
    <n v="0"/>
    <n v="0"/>
    <n v="0"/>
    <n v="0"/>
    <n v="0"/>
    <n v="0"/>
    <n v="0"/>
    <n v="0"/>
    <n v="0"/>
    <x v="2"/>
  </r>
  <r>
    <x v="3"/>
    <m/>
    <s v="P220619724"/>
    <s v="楊心綾"/>
    <s v="UM"/>
    <n v="0"/>
    <n v="0"/>
    <n v="0"/>
    <n v="0"/>
    <n v="0"/>
    <n v="0"/>
    <n v="0"/>
    <m/>
    <n v="0"/>
    <m/>
    <x v="0"/>
  </r>
  <r>
    <x v="3"/>
    <m/>
    <s v="J120926728"/>
    <s v="莊曜銘"/>
    <s v="CA"/>
    <n v="0"/>
    <n v="0"/>
    <n v="2"/>
    <n v="17519"/>
    <n v="1"/>
    <n v="1"/>
    <n v="0"/>
    <n v="0"/>
    <n v="0"/>
    <m/>
    <x v="0"/>
  </r>
  <r>
    <x v="3"/>
    <m/>
    <s v="J220644090"/>
    <s v="彭美菁"/>
    <s v="CA"/>
    <n v="0"/>
    <n v="0"/>
    <n v="0"/>
    <n v="0"/>
    <n v="0"/>
    <n v="0"/>
    <n v="0"/>
    <n v="0"/>
    <n v="0"/>
    <m/>
    <x v="0"/>
  </r>
  <r>
    <x v="3"/>
    <m/>
    <s v="J122429133"/>
    <s v="馮士豪"/>
    <s v="CA"/>
    <n v="0"/>
    <n v="0"/>
    <n v="2"/>
    <n v="17519"/>
    <n v="1"/>
    <n v="1"/>
    <n v="0"/>
    <n v="0"/>
    <n v="0"/>
    <m/>
    <x v="0"/>
  </r>
  <r>
    <x v="3"/>
    <s v="P220619724"/>
    <s v="UM"/>
    <s v="楊心綾"/>
    <n v="4"/>
    <n v="0"/>
    <n v="0"/>
    <n v="4"/>
    <n v="35038"/>
    <n v="2"/>
    <n v="2"/>
    <n v="0"/>
    <n v="0"/>
    <n v="0"/>
    <n v="0"/>
    <x v="5"/>
  </r>
  <r>
    <x v="3"/>
    <m/>
    <s v="C220423442"/>
    <s v="郭鴻美"/>
    <s v="UM"/>
    <n v="0"/>
    <n v="0"/>
    <n v="0"/>
    <n v="0"/>
    <n v="0"/>
    <n v="0"/>
    <n v="0"/>
    <m/>
    <n v="0"/>
    <m/>
    <x v="0"/>
  </r>
  <r>
    <x v="3"/>
    <m/>
    <s v="O100276802"/>
    <s v="許佳鴻"/>
    <s v="CA"/>
    <n v="0"/>
    <n v="0"/>
    <n v="0"/>
    <n v="0"/>
    <n v="0"/>
    <n v="0"/>
    <n v="0"/>
    <n v="0"/>
    <n v="0"/>
    <m/>
    <x v="0"/>
  </r>
  <r>
    <x v="3"/>
    <m/>
    <s v="O100500670"/>
    <s v="許洧倫"/>
    <s v="CA"/>
    <n v="0"/>
    <n v="0"/>
    <n v="1"/>
    <n v="36000"/>
    <n v="1"/>
    <n v="1"/>
    <n v="1"/>
    <n v="0"/>
    <n v="1"/>
    <m/>
    <x v="0"/>
  </r>
  <r>
    <x v="3"/>
    <s v="C220423442"/>
    <s v="UM"/>
    <s v="郭鴻美"/>
    <n v="3"/>
    <n v="0"/>
    <n v="0"/>
    <n v="1"/>
    <n v="36000"/>
    <n v="1"/>
    <n v="1"/>
    <n v="1"/>
    <n v="0"/>
    <n v="1"/>
    <n v="0"/>
    <x v="5"/>
  </r>
  <r>
    <x v="3"/>
    <m/>
    <s v="J220825184"/>
    <s v="曾韻庭"/>
    <s v="MAM"/>
    <n v="0"/>
    <n v="0"/>
    <n v="1"/>
    <n v="91814"/>
    <n v="1"/>
    <n v="1"/>
    <n v="1"/>
    <m/>
    <n v="1"/>
    <m/>
    <x v="0"/>
  </r>
  <r>
    <x v="3"/>
    <s v="J220825184"/>
    <s v="MAM"/>
    <s v="曾韻庭"/>
    <n v="1"/>
    <n v="0"/>
    <n v="0"/>
    <n v="1"/>
    <n v="91814"/>
    <n v="1"/>
    <n v="1"/>
    <n v="1"/>
    <n v="0"/>
    <n v="1"/>
    <n v="0"/>
    <x v="7"/>
  </r>
  <r>
    <x v="3"/>
    <m/>
    <s v="L220553791"/>
    <s v="林雅莉"/>
    <s v="MM"/>
    <n v="1"/>
    <n v="19272"/>
    <n v="2"/>
    <n v="22319"/>
    <n v="1"/>
    <n v="1"/>
    <n v="0"/>
    <m/>
    <n v="0"/>
    <m/>
    <x v="0"/>
  </r>
  <r>
    <x v="3"/>
    <s v="L220553791"/>
    <s v="MM"/>
    <s v="林雅莉"/>
    <n v="1"/>
    <n v="1"/>
    <n v="19272"/>
    <n v="2"/>
    <n v="22319"/>
    <n v="1"/>
    <n v="1"/>
    <n v="0"/>
    <n v="0"/>
    <n v="0"/>
    <n v="0"/>
    <x v="8"/>
  </r>
  <r>
    <x v="3"/>
    <m/>
    <s v="J122453531"/>
    <s v="魏照漢"/>
    <s v="AM"/>
    <n v="0"/>
    <n v="0"/>
    <n v="0"/>
    <n v="0"/>
    <n v="0"/>
    <n v="0"/>
    <n v="0"/>
    <m/>
    <n v="0"/>
    <m/>
    <x v="0"/>
  </r>
  <r>
    <x v="3"/>
    <m/>
    <s v="J221927212"/>
    <s v="吳桂汶"/>
    <s v="CA"/>
    <n v="0"/>
    <n v="0"/>
    <n v="0"/>
    <n v="0"/>
    <n v="0"/>
    <n v="0"/>
    <n v="0"/>
    <n v="0"/>
    <n v="0"/>
    <m/>
    <x v="0"/>
  </r>
  <r>
    <x v="3"/>
    <m/>
    <s v="J221074994"/>
    <s v="戴春琴"/>
    <s v="CA"/>
    <n v="0"/>
    <n v="0"/>
    <n v="0"/>
    <n v="0"/>
    <n v="0"/>
    <n v="0"/>
    <n v="0"/>
    <n v="0"/>
    <n v="0"/>
    <m/>
    <x v="0"/>
  </r>
  <r>
    <x v="3"/>
    <s v="J122453531"/>
    <s v="AM"/>
    <s v="魏照漢"/>
    <n v="3"/>
    <n v="0"/>
    <n v="0"/>
    <n v="0"/>
    <n v="0"/>
    <n v="0"/>
    <n v="0"/>
    <n v="0"/>
    <n v="0"/>
    <n v="0"/>
    <n v="0"/>
    <x v="2"/>
  </r>
  <r>
    <x v="3"/>
    <m/>
    <s v="J222401682"/>
    <s v="魏羽姍"/>
    <s v="AM"/>
    <n v="0"/>
    <n v="0"/>
    <n v="1"/>
    <n v="9382"/>
    <n v="1"/>
    <n v="0"/>
    <n v="0"/>
    <m/>
    <n v="0"/>
    <m/>
    <x v="0"/>
  </r>
  <r>
    <x v="3"/>
    <m/>
    <s v="J220601031"/>
    <s v="詹並宜"/>
    <s v="CA"/>
    <n v="2"/>
    <n v="33179"/>
    <n v="2"/>
    <n v="33179"/>
    <n v="1"/>
    <n v="1"/>
    <n v="1"/>
    <n v="0"/>
    <n v="1"/>
    <m/>
    <x v="0"/>
  </r>
  <r>
    <x v="3"/>
    <s v="J222401682"/>
    <s v="AM"/>
    <s v="魏羽姍"/>
    <n v="2"/>
    <n v="2"/>
    <n v="33179"/>
    <n v="3"/>
    <n v="42561"/>
    <n v="2"/>
    <n v="1"/>
    <n v="1"/>
    <n v="0"/>
    <n v="1"/>
    <n v="0"/>
    <x v="2"/>
  </r>
  <r>
    <x v="3"/>
    <m/>
    <s v="J222594020"/>
    <s v="陳怡真"/>
    <s v="UM"/>
    <n v="0"/>
    <n v="0"/>
    <n v="0"/>
    <n v="0"/>
    <n v="0"/>
    <n v="0"/>
    <n v="0"/>
    <m/>
    <n v="0"/>
    <m/>
    <x v="0"/>
  </r>
  <r>
    <x v="3"/>
    <m/>
    <s v="J122780891"/>
    <s v="顏世偉"/>
    <s v="CA"/>
    <n v="0"/>
    <n v="0"/>
    <n v="3"/>
    <n v="23884"/>
    <n v="1"/>
    <n v="1"/>
    <n v="0"/>
    <n v="0"/>
    <n v="0"/>
    <m/>
    <x v="0"/>
  </r>
  <r>
    <x v="3"/>
    <m/>
    <s v="J222606874"/>
    <s v="陳怡珊"/>
    <s v="CA"/>
    <n v="0"/>
    <n v="0"/>
    <n v="0"/>
    <n v="0"/>
    <n v="0"/>
    <n v="0"/>
    <n v="0"/>
    <n v="0"/>
    <n v="0"/>
    <m/>
    <x v="0"/>
  </r>
  <r>
    <x v="3"/>
    <s v="J222594020"/>
    <s v="UM"/>
    <s v="陳怡真"/>
    <n v="3"/>
    <n v="0"/>
    <n v="0"/>
    <n v="3"/>
    <n v="23884"/>
    <n v="1"/>
    <n v="1"/>
    <n v="0"/>
    <n v="0"/>
    <n v="0"/>
    <n v="0"/>
    <x v="5"/>
  </r>
  <r>
    <x v="3"/>
    <m/>
    <s v="J222594039"/>
    <s v="陳怡芳"/>
    <s v="SP"/>
    <n v="0"/>
    <n v="0"/>
    <n v="0"/>
    <n v="0"/>
    <n v="0"/>
    <n v="0"/>
    <n v="0"/>
    <m/>
    <n v="0"/>
    <m/>
    <x v="0"/>
  </r>
  <r>
    <x v="3"/>
    <m/>
    <s v="J222576862"/>
    <s v="郭佩璇"/>
    <s v="CA"/>
    <n v="0"/>
    <n v="0"/>
    <n v="0"/>
    <n v="0"/>
    <n v="0"/>
    <n v="0"/>
    <n v="0"/>
    <n v="1"/>
    <n v="0"/>
    <m/>
    <x v="0"/>
  </r>
  <r>
    <x v="3"/>
    <s v="J222594039"/>
    <s v="SP"/>
    <s v="陳怡芳"/>
    <n v="2"/>
    <n v="0"/>
    <n v="0"/>
    <n v="0"/>
    <n v="0"/>
    <n v="0"/>
    <n v="0"/>
    <n v="0"/>
    <n v="1"/>
    <n v="0"/>
    <n v="0"/>
    <x v="3"/>
  </r>
  <r>
    <x v="3"/>
    <m/>
    <s v="H123946427"/>
    <s v="郭昭瑋"/>
    <s v="UM"/>
    <n v="0"/>
    <n v="0"/>
    <n v="0"/>
    <n v="0"/>
    <n v="0"/>
    <n v="0"/>
    <n v="0"/>
    <m/>
    <n v="0"/>
    <m/>
    <x v="0"/>
  </r>
  <r>
    <x v="3"/>
    <m/>
    <s v="H223776490"/>
    <s v="吳雯雯"/>
    <s v="CA"/>
    <n v="0"/>
    <n v="0"/>
    <n v="1"/>
    <n v="9440"/>
    <n v="1"/>
    <n v="0"/>
    <n v="0"/>
    <n v="0"/>
    <n v="0"/>
    <m/>
    <x v="0"/>
  </r>
  <r>
    <x v="3"/>
    <m/>
    <s v="A230712463"/>
    <s v="高婉齡"/>
    <s v="CA"/>
    <n v="1"/>
    <n v="8085"/>
    <n v="2"/>
    <n v="35347"/>
    <n v="1"/>
    <n v="1"/>
    <n v="1"/>
    <n v="1"/>
    <n v="1"/>
    <m/>
    <x v="0"/>
  </r>
  <r>
    <x v="3"/>
    <s v="H123946427"/>
    <s v="UM"/>
    <s v="郭昭瑋"/>
    <n v="3"/>
    <n v="1"/>
    <n v="8085"/>
    <n v="3"/>
    <n v="44787"/>
    <n v="2"/>
    <n v="1"/>
    <n v="1"/>
    <n v="1"/>
    <n v="1"/>
    <n v="0"/>
    <x v="5"/>
  </r>
  <r>
    <x v="3"/>
    <m/>
    <s v="H224087643"/>
    <s v="郭凱姍"/>
    <s v="AM"/>
    <n v="1"/>
    <n v="9944"/>
    <n v="3"/>
    <n v="83076"/>
    <n v="1"/>
    <n v="1"/>
    <n v="1"/>
    <m/>
    <n v="1"/>
    <m/>
    <x v="0"/>
  </r>
  <r>
    <x v="3"/>
    <m/>
    <s v="O100529540"/>
    <s v="謝承勳"/>
    <s v="CA"/>
    <n v="0"/>
    <n v="0"/>
    <n v="0"/>
    <n v="0"/>
    <n v="0"/>
    <n v="0"/>
    <n v="0"/>
    <n v="0"/>
    <n v="0"/>
    <m/>
    <x v="0"/>
  </r>
  <r>
    <x v="3"/>
    <s v="H224087643"/>
    <s v="AM"/>
    <s v="郭凱姍"/>
    <n v="2"/>
    <n v="1"/>
    <n v="9944"/>
    <n v="3"/>
    <n v="83076"/>
    <n v="1"/>
    <n v="1"/>
    <n v="1"/>
    <n v="0"/>
    <n v="1"/>
    <n v="0"/>
    <x v="2"/>
  </r>
  <r>
    <x v="3"/>
    <m/>
    <m/>
    <m/>
    <n v="91"/>
    <n v="23"/>
    <n v="224417"/>
    <n v="96"/>
    <n v="1987364"/>
    <n v="42"/>
    <n v="29"/>
    <n v="24"/>
    <n v="7"/>
    <n v="24"/>
    <n v="6"/>
    <x v="0"/>
  </r>
  <r>
    <x v="4"/>
    <m/>
    <s v="J120131292"/>
    <s v="范國良"/>
    <s v="DM"/>
    <n v="0"/>
    <n v="0"/>
    <n v="2"/>
    <n v="28886"/>
    <n v="1"/>
    <n v="1"/>
    <n v="1"/>
    <m/>
    <n v="1"/>
    <m/>
    <x v="0"/>
  </r>
  <r>
    <x v="4"/>
    <m/>
    <s v="J122537425"/>
    <s v="彭國書"/>
    <s v="CA"/>
    <n v="0"/>
    <n v="0"/>
    <n v="0"/>
    <n v="0"/>
    <n v="0"/>
    <n v="0"/>
    <n v="0"/>
    <n v="1"/>
    <n v="0"/>
    <m/>
    <x v="0"/>
  </r>
  <r>
    <x v="4"/>
    <m/>
    <s v="J222392348"/>
    <s v="林玠旻"/>
    <s v="CA"/>
    <n v="0"/>
    <n v="0"/>
    <n v="0"/>
    <n v="0"/>
    <n v="0"/>
    <n v="0"/>
    <n v="0"/>
    <n v="0"/>
    <n v="0"/>
    <m/>
    <x v="0"/>
  </r>
  <r>
    <x v="4"/>
    <m/>
    <s v="J120041855"/>
    <s v="傅啓遙"/>
    <s v="CA"/>
    <n v="0"/>
    <n v="0"/>
    <n v="0"/>
    <n v="0"/>
    <n v="0"/>
    <n v="0"/>
    <n v="0"/>
    <n v="0"/>
    <n v="0"/>
    <m/>
    <x v="0"/>
  </r>
  <r>
    <x v="4"/>
    <s v="J120131292"/>
    <s v="DM"/>
    <s v="范國良"/>
    <n v="4"/>
    <n v="0"/>
    <n v="0"/>
    <n v="2"/>
    <n v="28886"/>
    <n v="1"/>
    <n v="1"/>
    <n v="1"/>
    <n v="1"/>
    <n v="1"/>
    <n v="0"/>
    <x v="1"/>
  </r>
  <r>
    <x v="4"/>
    <m/>
    <s v="J221094656"/>
    <s v="楊錚錚"/>
    <s v="UM"/>
    <n v="0"/>
    <n v="0"/>
    <n v="0"/>
    <n v="0"/>
    <n v="0"/>
    <n v="0"/>
    <n v="0"/>
    <m/>
    <n v="0"/>
    <m/>
    <x v="0"/>
  </r>
  <r>
    <x v="4"/>
    <m/>
    <s v="Q221600935"/>
    <s v="陳美慧"/>
    <s v="CA"/>
    <n v="0"/>
    <n v="0"/>
    <n v="0"/>
    <n v="0"/>
    <n v="0"/>
    <n v="0"/>
    <n v="0"/>
    <n v="0"/>
    <n v="0"/>
    <m/>
    <x v="0"/>
  </r>
  <r>
    <x v="4"/>
    <m/>
    <s v="J220316948"/>
    <s v="曾佳琪"/>
    <s v="CA"/>
    <n v="0"/>
    <n v="0"/>
    <n v="1"/>
    <n v="26934"/>
    <n v="1"/>
    <n v="1"/>
    <n v="1"/>
    <n v="0"/>
    <n v="1"/>
    <m/>
    <x v="0"/>
  </r>
  <r>
    <x v="4"/>
    <s v="J221094656"/>
    <s v="UM"/>
    <s v="楊錚錚"/>
    <n v="3"/>
    <n v="0"/>
    <n v="0"/>
    <n v="1"/>
    <n v="26934"/>
    <n v="1"/>
    <n v="1"/>
    <n v="1"/>
    <n v="0"/>
    <n v="1"/>
    <n v="0"/>
    <x v="5"/>
  </r>
  <r>
    <x v="4"/>
    <m/>
    <s v="J220901143"/>
    <s v="曾碧霞"/>
    <s v="AM"/>
    <n v="0"/>
    <n v="0"/>
    <n v="1"/>
    <n v="71"/>
    <n v="1"/>
    <n v="0"/>
    <n v="0"/>
    <m/>
    <n v="0"/>
    <m/>
    <x v="0"/>
  </r>
  <r>
    <x v="4"/>
    <m/>
    <s v="A221213617"/>
    <s v="俞蓁廷"/>
    <s v="CA"/>
    <n v="0"/>
    <n v="0"/>
    <n v="0"/>
    <n v="0"/>
    <n v="0"/>
    <n v="0"/>
    <n v="0"/>
    <n v="0"/>
    <n v="0"/>
    <m/>
    <x v="0"/>
  </r>
  <r>
    <x v="4"/>
    <m/>
    <s v="B221490928"/>
    <s v="鄭佩如"/>
    <s v="CA"/>
    <n v="0"/>
    <n v="0"/>
    <n v="0"/>
    <n v="0"/>
    <n v="0"/>
    <n v="0"/>
    <n v="0"/>
    <n v="0"/>
    <n v="0"/>
    <m/>
    <x v="0"/>
  </r>
  <r>
    <x v="4"/>
    <s v="J220901143"/>
    <s v="AM"/>
    <s v="曾碧霞"/>
    <n v="3"/>
    <n v="0"/>
    <n v="0"/>
    <n v="1"/>
    <n v="71"/>
    <n v="1"/>
    <n v="0"/>
    <n v="0"/>
    <n v="0"/>
    <n v="0"/>
    <n v="0"/>
    <x v="2"/>
  </r>
  <r>
    <x v="4"/>
    <m/>
    <s v="A229011259"/>
    <s v="洪萱"/>
    <s v="SP"/>
    <n v="0"/>
    <n v="0"/>
    <n v="0"/>
    <n v="0"/>
    <n v="0"/>
    <n v="0"/>
    <n v="0"/>
    <m/>
    <n v="0"/>
    <m/>
    <x v="0"/>
  </r>
  <r>
    <x v="4"/>
    <m/>
    <s v="J122102315"/>
    <s v="羅寅榛"/>
    <s v="CA"/>
    <n v="0"/>
    <n v="0"/>
    <n v="2"/>
    <n v="41563"/>
    <n v="1"/>
    <n v="1"/>
    <n v="1"/>
    <n v="1"/>
    <n v="1"/>
    <m/>
    <x v="0"/>
  </r>
  <r>
    <x v="4"/>
    <m/>
    <s v="L225169324"/>
    <s v="莊明芳"/>
    <s v="CA"/>
    <n v="0"/>
    <n v="0"/>
    <n v="0"/>
    <n v="0"/>
    <n v="0"/>
    <n v="0"/>
    <n v="0"/>
    <n v="1"/>
    <n v="0"/>
    <m/>
    <x v="0"/>
  </r>
  <r>
    <x v="4"/>
    <m/>
    <s v="K222629001"/>
    <s v="程品婕"/>
    <s v="CA"/>
    <n v="0"/>
    <n v="0"/>
    <n v="2"/>
    <n v="8279"/>
    <n v="1"/>
    <n v="0"/>
    <n v="0"/>
    <n v="0"/>
    <n v="0"/>
    <m/>
    <x v="0"/>
  </r>
  <r>
    <x v="4"/>
    <s v="A229011259"/>
    <s v="SP"/>
    <s v="洪萱"/>
    <n v="4"/>
    <n v="0"/>
    <n v="0"/>
    <n v="4"/>
    <n v="49842"/>
    <n v="2"/>
    <n v="1"/>
    <n v="1"/>
    <n v="2"/>
    <n v="1"/>
    <n v="1"/>
    <x v="3"/>
  </r>
  <r>
    <x v="4"/>
    <m/>
    <s v="A222230041"/>
    <s v="呂淑玲"/>
    <s v="SP"/>
    <n v="0"/>
    <n v="0"/>
    <n v="0"/>
    <n v="0"/>
    <n v="0"/>
    <n v="0"/>
    <n v="0"/>
    <m/>
    <n v="0"/>
    <m/>
    <x v="0"/>
  </r>
  <r>
    <x v="4"/>
    <m/>
    <s v="k220280524"/>
    <s v="林淑君"/>
    <s v="CA"/>
    <n v="0"/>
    <n v="0"/>
    <n v="1"/>
    <n v="9600"/>
    <n v="1"/>
    <n v="0"/>
    <n v="0"/>
    <n v="0"/>
    <n v="0"/>
    <m/>
    <x v="0"/>
  </r>
  <r>
    <x v="4"/>
    <m/>
    <s v="K222630773"/>
    <s v="賴依萱"/>
    <s v="CA"/>
    <n v="0"/>
    <n v="0"/>
    <n v="0"/>
    <n v="0"/>
    <n v="0"/>
    <n v="0"/>
    <n v="0"/>
    <n v="0"/>
    <n v="0"/>
    <m/>
    <x v="0"/>
  </r>
  <r>
    <x v="4"/>
    <s v="A222230041"/>
    <s v="SP"/>
    <s v="呂淑玲"/>
    <n v="3"/>
    <n v="0"/>
    <n v="0"/>
    <n v="1"/>
    <n v="9600"/>
    <n v="1"/>
    <n v="0"/>
    <n v="0"/>
    <n v="0"/>
    <n v="0"/>
    <n v="0"/>
    <x v="3"/>
  </r>
  <r>
    <x v="4"/>
    <m/>
    <s v="J121773794"/>
    <s v="謝見慈"/>
    <s v="AM"/>
    <n v="0"/>
    <n v="0"/>
    <n v="1"/>
    <n v="30121"/>
    <n v="1"/>
    <n v="1"/>
    <n v="1"/>
    <m/>
    <n v="1"/>
    <m/>
    <x v="0"/>
  </r>
  <r>
    <x v="4"/>
    <s v="J121773794"/>
    <s v="AM"/>
    <s v="謝見慈"/>
    <n v="1"/>
    <n v="0"/>
    <n v="0"/>
    <n v="1"/>
    <n v="30121"/>
    <n v="1"/>
    <n v="1"/>
    <n v="1"/>
    <n v="0"/>
    <n v="1"/>
    <n v="0"/>
    <x v="2"/>
  </r>
  <r>
    <x v="4"/>
    <m/>
    <s v="J220629520"/>
    <s v="曾芳如"/>
    <s v="SP"/>
    <n v="0"/>
    <n v="0"/>
    <n v="1"/>
    <n v="216216"/>
    <n v="1"/>
    <n v="1"/>
    <n v="1"/>
    <m/>
    <n v="1"/>
    <m/>
    <x v="0"/>
  </r>
  <r>
    <x v="4"/>
    <s v="J220629520"/>
    <s v="SP"/>
    <s v="曾芳如"/>
    <n v="1"/>
    <n v="0"/>
    <n v="0"/>
    <n v="1"/>
    <n v="216216"/>
    <n v="1"/>
    <n v="1"/>
    <n v="1"/>
    <n v="0"/>
    <n v="1"/>
    <n v="0"/>
    <x v="3"/>
  </r>
  <r>
    <x v="4"/>
    <m/>
    <s v="J122589198"/>
    <s v="劉醇孝"/>
    <s v="UM"/>
    <n v="3"/>
    <n v="7131"/>
    <n v="3"/>
    <n v="7131"/>
    <n v="1"/>
    <n v="0"/>
    <n v="0"/>
    <m/>
    <n v="0"/>
    <m/>
    <x v="0"/>
  </r>
  <r>
    <x v="4"/>
    <m/>
    <s v="O100227283"/>
    <s v="彭諭升"/>
    <s v="CA"/>
    <n v="0"/>
    <n v="0"/>
    <n v="0"/>
    <n v="0"/>
    <n v="0"/>
    <n v="0"/>
    <n v="0"/>
    <n v="1"/>
    <n v="0"/>
    <m/>
    <x v="0"/>
  </r>
  <r>
    <x v="4"/>
    <m/>
    <s v="V121432958"/>
    <s v="郭振華"/>
    <s v="CA"/>
    <n v="0"/>
    <n v="0"/>
    <n v="0"/>
    <n v="0"/>
    <n v="0"/>
    <n v="0"/>
    <n v="0"/>
    <n v="0"/>
    <n v="0"/>
    <m/>
    <x v="0"/>
  </r>
  <r>
    <x v="4"/>
    <m/>
    <s v="K222446557"/>
    <s v="蔡婉瑄"/>
    <s v="CA"/>
    <n v="0"/>
    <n v="0"/>
    <n v="0"/>
    <n v="0"/>
    <n v="0"/>
    <n v="0"/>
    <n v="0"/>
    <n v="0"/>
    <n v="0"/>
    <m/>
    <x v="0"/>
  </r>
  <r>
    <x v="4"/>
    <s v="J122589198"/>
    <s v="UM"/>
    <s v="劉醇孝"/>
    <n v="4"/>
    <n v="3"/>
    <n v="7131"/>
    <n v="3"/>
    <n v="7131"/>
    <n v="1"/>
    <n v="0"/>
    <n v="0"/>
    <n v="1"/>
    <n v="0"/>
    <n v="0"/>
    <x v="5"/>
  </r>
  <r>
    <x v="4"/>
    <m/>
    <s v="J222563025"/>
    <s v="劉怡君"/>
    <s v="SP"/>
    <n v="0"/>
    <n v="0"/>
    <n v="0"/>
    <n v="0"/>
    <n v="0"/>
    <n v="0"/>
    <n v="0"/>
    <m/>
    <n v="0"/>
    <m/>
    <x v="0"/>
  </r>
  <r>
    <x v="4"/>
    <s v="J222563025"/>
    <s v="SP"/>
    <s v="劉怡君"/>
    <n v="1"/>
    <n v="0"/>
    <n v="0"/>
    <n v="0"/>
    <n v="0"/>
    <n v="0"/>
    <n v="0"/>
    <n v="0"/>
    <n v="0"/>
    <n v="0"/>
    <n v="0"/>
    <x v="3"/>
  </r>
  <r>
    <x v="4"/>
    <m/>
    <s v="C220374659"/>
    <s v="林佳慧"/>
    <s v="UM"/>
    <n v="0"/>
    <n v="0"/>
    <n v="0"/>
    <n v="0"/>
    <n v="0"/>
    <n v="0"/>
    <n v="0"/>
    <m/>
    <n v="0"/>
    <m/>
    <x v="0"/>
  </r>
  <r>
    <x v="4"/>
    <m/>
    <s v="J122957150"/>
    <s v="范靖"/>
    <s v="CA"/>
    <n v="0"/>
    <n v="0"/>
    <n v="1.5"/>
    <n v="145760"/>
    <n v="1"/>
    <n v="1"/>
    <n v="1"/>
    <n v="0"/>
    <n v="1"/>
    <m/>
    <x v="0"/>
  </r>
  <r>
    <x v="4"/>
    <m/>
    <s v="O200579337"/>
    <s v="范琪"/>
    <s v="CA"/>
    <n v="0"/>
    <n v="0"/>
    <n v="0.5"/>
    <n v="145760"/>
    <n v="1"/>
    <n v="1"/>
    <n v="1"/>
    <n v="1"/>
    <n v="1"/>
    <m/>
    <x v="0"/>
  </r>
  <r>
    <x v="4"/>
    <s v="C220374659"/>
    <s v="UM"/>
    <s v="林佳慧"/>
    <n v="3"/>
    <n v="0"/>
    <n v="0"/>
    <n v="2"/>
    <n v="291520"/>
    <n v="2"/>
    <n v="2"/>
    <n v="2"/>
    <n v="1"/>
    <n v="2"/>
    <n v="0"/>
    <x v="5"/>
  </r>
  <r>
    <x v="4"/>
    <m/>
    <s v="J221330068"/>
    <s v="邱湘芩"/>
    <s v="SP"/>
    <n v="0"/>
    <n v="0"/>
    <n v="0"/>
    <n v="0"/>
    <n v="0"/>
    <n v="0"/>
    <n v="0"/>
    <m/>
    <n v="0"/>
    <m/>
    <x v="0"/>
  </r>
  <r>
    <x v="4"/>
    <s v="J221330068"/>
    <s v="SP"/>
    <s v="邱湘芩"/>
    <n v="1"/>
    <n v="0"/>
    <n v="0"/>
    <n v="0"/>
    <n v="0"/>
    <n v="0"/>
    <n v="0"/>
    <n v="0"/>
    <n v="0"/>
    <n v="0"/>
    <n v="0"/>
    <x v="3"/>
  </r>
  <r>
    <x v="4"/>
    <m/>
    <s v="J121914759"/>
    <s v="陳振法"/>
    <s v="SP"/>
    <n v="0"/>
    <n v="0"/>
    <n v="0"/>
    <n v="0"/>
    <n v="0"/>
    <n v="0"/>
    <n v="0"/>
    <m/>
    <n v="0"/>
    <m/>
    <x v="0"/>
  </r>
  <r>
    <x v="4"/>
    <m/>
    <s v="J221143547"/>
    <s v="陳佩卿"/>
    <s v="CA"/>
    <n v="0"/>
    <n v="0"/>
    <n v="0"/>
    <n v="0"/>
    <n v="0"/>
    <n v="0"/>
    <n v="0"/>
    <n v="0"/>
    <n v="0"/>
    <m/>
    <x v="0"/>
  </r>
  <r>
    <x v="4"/>
    <m/>
    <s v="O200445863"/>
    <s v="劉佳蓉"/>
    <s v="CA"/>
    <n v="0"/>
    <n v="0"/>
    <n v="0"/>
    <n v="0"/>
    <n v="0"/>
    <n v="0"/>
    <n v="0"/>
    <n v="1"/>
    <n v="0"/>
    <m/>
    <x v="0"/>
  </r>
  <r>
    <x v="4"/>
    <s v="J121914759"/>
    <s v="SP"/>
    <s v="陳振法"/>
    <n v="3"/>
    <n v="0"/>
    <n v="0"/>
    <n v="0"/>
    <n v="0"/>
    <n v="0"/>
    <n v="0"/>
    <n v="0"/>
    <n v="1"/>
    <n v="0"/>
    <n v="0"/>
    <x v="3"/>
  </r>
  <r>
    <x v="4"/>
    <m/>
    <s v="J222578795"/>
    <s v="魏嘉儀(育停)"/>
    <m/>
    <n v="0"/>
    <n v="0"/>
    <n v="3"/>
    <n v="0"/>
    <m/>
    <m/>
    <m/>
    <m/>
    <m/>
    <m/>
    <x v="0"/>
  </r>
  <r>
    <x v="4"/>
    <s v="J222578795"/>
    <m/>
    <s v="魏嘉儀"/>
    <n v="0"/>
    <n v="0"/>
    <n v="0"/>
    <n v="3"/>
    <n v="0"/>
    <n v="0"/>
    <n v="0"/>
    <n v="0"/>
    <n v="0"/>
    <n v="0"/>
    <n v="0"/>
    <x v="9"/>
  </r>
  <r>
    <x v="4"/>
    <m/>
    <s v="J220936253"/>
    <s v="張寶玉"/>
    <s v="UM"/>
    <n v="0"/>
    <n v="0"/>
    <n v="0"/>
    <n v="0"/>
    <n v="0"/>
    <n v="0"/>
    <n v="0"/>
    <m/>
    <n v="0"/>
    <m/>
    <x v="0"/>
  </r>
  <r>
    <x v="4"/>
    <m/>
    <s v="T122968697"/>
    <s v="陳柏文"/>
    <s v="CA"/>
    <n v="0"/>
    <n v="0"/>
    <n v="0"/>
    <n v="0"/>
    <n v="0"/>
    <n v="0"/>
    <n v="0"/>
    <n v="0"/>
    <n v="0"/>
    <m/>
    <x v="0"/>
  </r>
  <r>
    <x v="4"/>
    <m/>
    <s v="F224240479"/>
    <s v="羅麗玲"/>
    <s v="CA"/>
    <n v="0"/>
    <n v="0"/>
    <n v="0"/>
    <n v="0"/>
    <n v="0"/>
    <n v="0"/>
    <n v="0"/>
    <n v="0"/>
    <n v="0"/>
    <m/>
    <x v="0"/>
  </r>
  <r>
    <x v="4"/>
    <s v="J220936253"/>
    <s v="UM"/>
    <s v="張寶玉"/>
    <n v="3"/>
    <n v="0"/>
    <n v="0"/>
    <n v="0"/>
    <n v="0"/>
    <n v="0"/>
    <n v="0"/>
    <n v="0"/>
    <n v="0"/>
    <n v="0"/>
    <n v="0"/>
    <x v="5"/>
  </r>
  <r>
    <x v="4"/>
    <m/>
    <s v="H224363899"/>
    <s v="陳珮雯"/>
    <s v="AM"/>
    <n v="0"/>
    <n v="0"/>
    <n v="0"/>
    <n v="0"/>
    <n v="0"/>
    <n v="0"/>
    <n v="0"/>
    <m/>
    <n v="0"/>
    <m/>
    <x v="0"/>
  </r>
  <r>
    <x v="4"/>
    <m/>
    <s v="F231166077"/>
    <s v="石毓涵"/>
    <s v="CA"/>
    <n v="0"/>
    <n v="0"/>
    <n v="0"/>
    <n v="0"/>
    <n v="0"/>
    <n v="0"/>
    <n v="0"/>
    <n v="1"/>
    <n v="0"/>
    <m/>
    <x v="0"/>
  </r>
  <r>
    <x v="4"/>
    <m/>
    <s v="H123499638"/>
    <s v="羅正軒"/>
    <s v="CA"/>
    <n v="0"/>
    <n v="0"/>
    <n v="0"/>
    <n v="0"/>
    <n v="0"/>
    <n v="0"/>
    <n v="0"/>
    <n v="0"/>
    <n v="0"/>
    <m/>
    <x v="0"/>
  </r>
  <r>
    <x v="4"/>
    <s v="H224363899"/>
    <s v="AM"/>
    <s v="陳珮雯"/>
    <n v="3"/>
    <n v="0"/>
    <n v="0"/>
    <n v="0"/>
    <n v="0"/>
    <n v="0"/>
    <n v="0"/>
    <n v="0"/>
    <n v="1"/>
    <n v="0"/>
    <n v="0"/>
    <x v="2"/>
  </r>
  <r>
    <x v="4"/>
    <m/>
    <s v="J222675182"/>
    <s v="張怡君"/>
    <s v="SP"/>
    <n v="0"/>
    <n v="0"/>
    <n v="1"/>
    <n v="19453"/>
    <n v="1"/>
    <n v="0"/>
    <n v="0"/>
    <m/>
    <n v="0"/>
    <m/>
    <x v="0"/>
  </r>
  <r>
    <x v="4"/>
    <s v="J222675182"/>
    <s v="SP"/>
    <s v="張怡君"/>
    <n v="1"/>
    <n v="0"/>
    <n v="0"/>
    <n v="1"/>
    <n v="19453"/>
    <n v="1"/>
    <n v="0"/>
    <n v="0"/>
    <n v="0"/>
    <n v="0"/>
    <n v="0"/>
    <x v="3"/>
  </r>
  <r>
    <x v="4"/>
    <m/>
    <s v="J222179989"/>
    <s v="陳琬薰"/>
    <s v="SP"/>
    <n v="0"/>
    <n v="0"/>
    <n v="0"/>
    <n v="0"/>
    <n v="0"/>
    <n v="0"/>
    <n v="0"/>
    <m/>
    <n v="0"/>
    <m/>
    <x v="0"/>
  </r>
  <r>
    <x v="4"/>
    <m/>
    <s v="K221719293"/>
    <s v="詹逸雯"/>
    <s v="CA"/>
    <n v="0"/>
    <n v="0"/>
    <n v="0"/>
    <n v="0"/>
    <n v="0"/>
    <n v="0"/>
    <n v="0"/>
    <n v="0"/>
    <n v="0"/>
    <m/>
    <x v="0"/>
  </r>
  <r>
    <x v="4"/>
    <s v="J222179989"/>
    <s v="SP"/>
    <s v="陳琬薰"/>
    <n v="2"/>
    <n v="0"/>
    <n v="0"/>
    <n v="0"/>
    <n v="0"/>
    <n v="0"/>
    <n v="0"/>
    <n v="0"/>
    <n v="0"/>
    <n v="0"/>
    <n v="0"/>
    <x v="3"/>
  </r>
  <r>
    <x v="4"/>
    <m/>
    <m/>
    <m/>
    <n v="40"/>
    <n v="3"/>
    <n v="7131"/>
    <n v="20"/>
    <n v="679774"/>
    <n v="12"/>
    <n v="7"/>
    <n v="7"/>
    <n v="7"/>
    <n v="7"/>
    <n v="1"/>
    <x v="0"/>
  </r>
  <r>
    <x v="5"/>
    <m/>
    <s v="Y120379659"/>
    <s v="謝志遠"/>
    <s v="DM"/>
    <n v="0"/>
    <n v="0"/>
    <n v="1"/>
    <n v="5490"/>
    <n v="1"/>
    <n v="0"/>
    <n v="0"/>
    <m/>
    <n v="0"/>
    <m/>
    <x v="0"/>
  </r>
  <r>
    <x v="5"/>
    <m/>
    <s v="O100599408"/>
    <s v="温証皓"/>
    <s v="CA"/>
    <n v="0"/>
    <n v="0"/>
    <n v="0"/>
    <n v="0"/>
    <n v="0"/>
    <n v="0"/>
    <n v="0"/>
    <n v="0"/>
    <n v="0"/>
    <m/>
    <x v="0"/>
  </r>
  <r>
    <x v="5"/>
    <m/>
    <s v="O100637378"/>
    <s v="洪翊愷"/>
    <s v="CA"/>
    <n v="0"/>
    <n v="0"/>
    <n v="3"/>
    <n v="37122"/>
    <n v="1"/>
    <n v="1"/>
    <n v="1"/>
    <n v="1"/>
    <n v="1"/>
    <m/>
    <x v="0"/>
  </r>
  <r>
    <x v="5"/>
    <m/>
    <s v="O100224479"/>
    <s v="林紹棠"/>
    <s v="CA"/>
    <n v="0"/>
    <n v="0"/>
    <n v="2"/>
    <n v="3131"/>
    <n v="1"/>
    <n v="0"/>
    <n v="0"/>
    <n v="0"/>
    <n v="0"/>
    <m/>
    <x v="0"/>
  </r>
  <r>
    <x v="5"/>
    <s v="Y120379659"/>
    <s v="DM"/>
    <s v="謝志遠"/>
    <n v="4"/>
    <n v="0"/>
    <n v="0"/>
    <n v="6"/>
    <n v="45743"/>
    <n v="3"/>
    <n v="1"/>
    <n v="1"/>
    <n v="1"/>
    <n v="1"/>
    <n v="0"/>
    <x v="1"/>
  </r>
  <r>
    <x v="5"/>
    <m/>
    <s v="K222314809"/>
    <s v="林美婷"/>
    <s v="AM"/>
    <n v="0.5"/>
    <n v="48000"/>
    <n v="0.5"/>
    <n v="48000"/>
    <n v="1"/>
    <n v="1"/>
    <n v="1"/>
    <m/>
    <n v="1"/>
    <m/>
    <x v="0"/>
  </r>
  <r>
    <x v="5"/>
    <m/>
    <s v="G122127696"/>
    <s v="曾弘能"/>
    <s v="CA"/>
    <n v="0"/>
    <n v="0"/>
    <n v="0"/>
    <n v="0"/>
    <n v="0"/>
    <n v="0"/>
    <n v="0"/>
    <n v="1"/>
    <n v="0"/>
    <m/>
    <x v="0"/>
  </r>
  <r>
    <x v="5"/>
    <m/>
    <s v="H225095087"/>
    <s v="王姿惠"/>
    <s v="CA"/>
    <n v="0"/>
    <n v="0"/>
    <n v="0"/>
    <n v="0"/>
    <n v="0"/>
    <n v="0"/>
    <n v="0"/>
    <n v="0"/>
    <n v="0"/>
    <m/>
    <x v="0"/>
  </r>
  <r>
    <x v="5"/>
    <m/>
    <s v="O200288564"/>
    <s v="曾筱芸"/>
    <s v="CA"/>
    <n v="0"/>
    <n v="0"/>
    <n v="2"/>
    <n v="60332"/>
    <n v="1"/>
    <n v="1"/>
    <n v="1"/>
    <n v="0"/>
    <n v="1"/>
    <m/>
    <x v="0"/>
  </r>
  <r>
    <x v="5"/>
    <s v="K222314809"/>
    <s v="AM"/>
    <s v="林美婷"/>
    <n v="4"/>
    <n v="0.5"/>
    <n v="48000"/>
    <n v="2.5"/>
    <n v="108332"/>
    <n v="2"/>
    <n v="2"/>
    <n v="2"/>
    <n v="1"/>
    <n v="2"/>
    <n v="1"/>
    <x v="2"/>
  </r>
  <r>
    <x v="5"/>
    <m/>
    <s v="K222309933"/>
    <s v="林美燕"/>
    <s v="SP"/>
    <n v="0.5"/>
    <n v="48000"/>
    <n v="0.5"/>
    <n v="48000"/>
    <n v="1"/>
    <n v="1"/>
    <n v="1"/>
    <m/>
    <n v="1"/>
    <m/>
    <x v="0"/>
  </r>
  <r>
    <x v="5"/>
    <m/>
    <s v="J122951907"/>
    <s v="陳彥宇"/>
    <s v="CA"/>
    <n v="0"/>
    <n v="0"/>
    <n v="1"/>
    <n v="19767"/>
    <n v="1"/>
    <n v="1"/>
    <n v="0"/>
    <n v="1"/>
    <n v="1"/>
    <m/>
    <x v="0"/>
  </r>
  <r>
    <x v="5"/>
    <m/>
    <s v="J222748662"/>
    <s v="張佳琳"/>
    <s v="CA"/>
    <n v="0"/>
    <n v="0"/>
    <n v="0"/>
    <n v="0"/>
    <n v="0"/>
    <n v="0"/>
    <n v="0"/>
    <n v="0"/>
    <n v="0"/>
    <m/>
    <x v="0"/>
  </r>
  <r>
    <x v="5"/>
    <s v="K222309933"/>
    <s v="SP"/>
    <s v="林美燕"/>
    <n v="3"/>
    <n v="0.5"/>
    <n v="48000"/>
    <n v="1.5"/>
    <n v="67767"/>
    <n v="2"/>
    <n v="2"/>
    <n v="1"/>
    <n v="1"/>
    <n v="2"/>
    <n v="1"/>
    <x v="3"/>
  </r>
  <r>
    <x v="5"/>
    <m/>
    <s v="O100176781"/>
    <s v="陳冠豪"/>
    <s v="UM"/>
    <n v="0"/>
    <n v="0"/>
    <n v="0"/>
    <n v="0"/>
    <n v="0"/>
    <n v="0"/>
    <n v="0"/>
    <m/>
    <n v="0"/>
    <m/>
    <x v="0"/>
  </r>
  <r>
    <x v="5"/>
    <m/>
    <s v="H224847890"/>
    <s v="黃鈺如"/>
    <s v="CA"/>
    <n v="0"/>
    <n v="0"/>
    <n v="5"/>
    <n v="83053"/>
    <n v="1"/>
    <n v="1"/>
    <n v="1"/>
    <n v="1"/>
    <n v="1"/>
    <m/>
    <x v="0"/>
  </r>
  <r>
    <x v="5"/>
    <m/>
    <s v="N224576694"/>
    <s v="周紫翎"/>
    <s v="CA"/>
    <n v="0"/>
    <n v="0"/>
    <n v="8"/>
    <n v="121947"/>
    <n v="1"/>
    <n v="1"/>
    <n v="1"/>
    <n v="0"/>
    <n v="1"/>
    <m/>
    <x v="0"/>
  </r>
  <r>
    <x v="5"/>
    <m/>
    <s v="K122201323"/>
    <s v="李家鋒"/>
    <s v="CA"/>
    <n v="0"/>
    <n v="0"/>
    <n v="0"/>
    <n v="0"/>
    <n v="0"/>
    <n v="0"/>
    <n v="0"/>
    <n v="0"/>
    <n v="0"/>
    <m/>
    <x v="0"/>
  </r>
  <r>
    <x v="5"/>
    <s v="O100176781"/>
    <s v="UM"/>
    <s v="陳冠豪"/>
    <n v="4"/>
    <n v="0"/>
    <n v="0"/>
    <n v="13"/>
    <n v="205000"/>
    <n v="2"/>
    <n v="2"/>
    <n v="2"/>
    <n v="1"/>
    <n v="2"/>
    <n v="0"/>
    <x v="5"/>
  </r>
  <r>
    <x v="5"/>
    <m/>
    <s v="O100190272"/>
    <s v="鄭景文"/>
    <s v="SP"/>
    <n v="0"/>
    <n v="0"/>
    <n v="0"/>
    <n v="0"/>
    <n v="0"/>
    <n v="0"/>
    <n v="0"/>
    <m/>
    <n v="0"/>
    <m/>
    <x v="0"/>
  </r>
  <r>
    <x v="5"/>
    <m/>
    <s v="O200095407"/>
    <s v="吳惠甄"/>
    <s v="CA"/>
    <n v="0"/>
    <n v="0"/>
    <n v="0"/>
    <n v="0"/>
    <n v="0"/>
    <n v="0"/>
    <n v="0"/>
    <n v="1"/>
    <n v="0"/>
    <m/>
    <x v="0"/>
  </r>
  <r>
    <x v="5"/>
    <m/>
    <s v="P223628485"/>
    <s v="黃于璇"/>
    <s v="CA"/>
    <n v="0"/>
    <n v="0"/>
    <n v="0"/>
    <n v="0"/>
    <n v="0"/>
    <n v="0"/>
    <n v="0"/>
    <n v="0"/>
    <n v="0"/>
    <m/>
    <x v="0"/>
  </r>
  <r>
    <x v="5"/>
    <s v="O100190272"/>
    <s v="SP"/>
    <s v="鄭景文"/>
    <n v="3"/>
    <n v="0"/>
    <n v="0"/>
    <n v="0"/>
    <n v="0"/>
    <n v="0"/>
    <n v="0"/>
    <n v="0"/>
    <n v="1"/>
    <n v="0"/>
    <n v="0"/>
    <x v="3"/>
  </r>
  <r>
    <x v="5"/>
    <m/>
    <s v="H123445612"/>
    <s v="呂學偉"/>
    <s v="AM"/>
    <n v="0"/>
    <n v="0"/>
    <n v="0"/>
    <n v="0"/>
    <n v="0"/>
    <n v="0"/>
    <n v="0"/>
    <m/>
    <n v="0"/>
    <m/>
    <x v="0"/>
  </r>
  <r>
    <x v="5"/>
    <m/>
    <s v="R223913141"/>
    <s v="李孟玟"/>
    <s v="CA"/>
    <n v="0"/>
    <n v="0"/>
    <n v="0"/>
    <n v="0"/>
    <n v="0"/>
    <n v="0"/>
    <n v="0"/>
    <n v="1"/>
    <n v="0"/>
    <m/>
    <x v="0"/>
  </r>
  <r>
    <x v="5"/>
    <m/>
    <s v="K222295550"/>
    <s v="鄭欣怡"/>
    <s v="CA"/>
    <n v="0"/>
    <n v="0"/>
    <n v="5"/>
    <n v="11632"/>
    <n v="1"/>
    <n v="1"/>
    <n v="0"/>
    <n v="0"/>
    <n v="0"/>
    <m/>
    <x v="0"/>
  </r>
  <r>
    <x v="5"/>
    <s v="H123445612"/>
    <s v="AM"/>
    <s v="呂學偉"/>
    <n v="3"/>
    <n v="0"/>
    <n v="0"/>
    <n v="5"/>
    <n v="11632"/>
    <n v="1"/>
    <n v="1"/>
    <n v="0"/>
    <n v="1"/>
    <n v="0"/>
    <n v="0"/>
    <x v="2"/>
  </r>
  <r>
    <x v="5"/>
    <m/>
    <s v="T223864743"/>
    <s v="黃雅棉"/>
    <s v="SP"/>
    <n v="0"/>
    <n v="0"/>
    <n v="2"/>
    <n v="1000"/>
    <n v="1"/>
    <n v="0"/>
    <n v="0"/>
    <m/>
    <n v="0"/>
    <m/>
    <x v="0"/>
  </r>
  <r>
    <x v="5"/>
    <m/>
    <s v="K222244151"/>
    <s v="謝家綺"/>
    <s v="CA"/>
    <n v="0"/>
    <n v="0"/>
    <n v="0"/>
    <n v="0"/>
    <n v="0"/>
    <n v="0"/>
    <n v="0"/>
    <n v="0"/>
    <n v="0"/>
    <m/>
    <x v="0"/>
  </r>
  <r>
    <x v="5"/>
    <s v="T223864743"/>
    <s v="SP"/>
    <s v="黃雅棉"/>
    <n v="2"/>
    <n v="0"/>
    <n v="0"/>
    <n v="2"/>
    <n v="1000"/>
    <n v="1"/>
    <n v="0"/>
    <n v="0"/>
    <n v="0"/>
    <n v="0"/>
    <n v="0"/>
    <x v="3"/>
  </r>
  <r>
    <x v="5"/>
    <m/>
    <s v="J222528302"/>
    <s v="呂明芳"/>
    <s v="SP"/>
    <n v="0"/>
    <n v="0"/>
    <n v="0"/>
    <n v="0"/>
    <n v="0"/>
    <n v="0"/>
    <n v="0"/>
    <m/>
    <n v="0"/>
    <m/>
    <x v="0"/>
  </r>
  <r>
    <x v="5"/>
    <m/>
    <s v="J122740637"/>
    <s v="吳承威"/>
    <s v="CA"/>
    <n v="0"/>
    <n v="0"/>
    <n v="0"/>
    <n v="0"/>
    <n v="0"/>
    <n v="0"/>
    <n v="0"/>
    <n v="0"/>
    <n v="0"/>
    <m/>
    <x v="0"/>
  </r>
  <r>
    <x v="5"/>
    <m/>
    <s v="J222650345"/>
    <s v="林宣何"/>
    <s v="CA"/>
    <n v="0"/>
    <n v="0"/>
    <n v="1"/>
    <n v="12562"/>
    <n v="1"/>
    <n v="1"/>
    <n v="0"/>
    <n v="0"/>
    <n v="0"/>
    <m/>
    <x v="0"/>
  </r>
  <r>
    <x v="5"/>
    <s v="J222528302"/>
    <s v="SP"/>
    <s v="呂明芳"/>
    <n v="3"/>
    <n v="0"/>
    <n v="0"/>
    <n v="1"/>
    <n v="12562"/>
    <n v="1"/>
    <n v="1"/>
    <n v="0"/>
    <n v="0"/>
    <n v="0"/>
    <n v="0"/>
    <x v="3"/>
  </r>
  <r>
    <x v="5"/>
    <m/>
    <s v="K221480948"/>
    <s v="李怡潔"/>
    <s v="AM"/>
    <n v="1"/>
    <n v="19251"/>
    <n v="2"/>
    <n v="23164"/>
    <n v="1"/>
    <n v="1"/>
    <n v="0"/>
    <m/>
    <n v="0"/>
    <m/>
    <x v="0"/>
  </r>
  <r>
    <x v="5"/>
    <m/>
    <s v="K221480395"/>
    <s v="蔡佳芳"/>
    <s v="CA"/>
    <n v="0"/>
    <n v="0"/>
    <n v="1"/>
    <n v="5015"/>
    <n v="1"/>
    <n v="0"/>
    <n v="0"/>
    <n v="0"/>
    <n v="0"/>
    <m/>
    <x v="0"/>
  </r>
  <r>
    <x v="5"/>
    <s v="K221480948"/>
    <s v="AM"/>
    <s v="李怡潔"/>
    <n v="2"/>
    <n v="1"/>
    <n v="19251"/>
    <n v="3"/>
    <n v="28179"/>
    <n v="2"/>
    <n v="1"/>
    <n v="0"/>
    <n v="0"/>
    <n v="0"/>
    <n v="0"/>
    <x v="2"/>
  </r>
  <r>
    <x v="5"/>
    <m/>
    <s v="F126880915"/>
    <s v="陳永霖"/>
    <s v="AM"/>
    <n v="0"/>
    <n v="0"/>
    <n v="0"/>
    <n v="0"/>
    <n v="0"/>
    <n v="0"/>
    <n v="0"/>
    <m/>
    <n v="0"/>
    <m/>
    <x v="0"/>
  </r>
  <r>
    <x v="5"/>
    <m/>
    <s v="F226578547"/>
    <s v="蔡佳玲"/>
    <s v="CA"/>
    <n v="0"/>
    <n v="0"/>
    <n v="1"/>
    <n v="11718"/>
    <n v="1"/>
    <n v="1"/>
    <n v="0"/>
    <n v="0"/>
    <n v="0"/>
    <m/>
    <x v="0"/>
  </r>
  <r>
    <x v="5"/>
    <s v="F126880915"/>
    <s v="AM"/>
    <s v="陳永霖"/>
    <n v="2"/>
    <n v="0"/>
    <n v="0"/>
    <n v="1"/>
    <n v="11718"/>
    <n v="1"/>
    <n v="1"/>
    <n v="0"/>
    <n v="0"/>
    <n v="0"/>
    <n v="0"/>
    <x v="2"/>
  </r>
  <r>
    <x v="5"/>
    <m/>
    <s v="A120733725"/>
    <s v="周士銘"/>
    <s v="UM"/>
    <n v="0"/>
    <n v="0"/>
    <n v="4"/>
    <n v="17839"/>
    <n v="1"/>
    <n v="0"/>
    <n v="0"/>
    <m/>
    <n v="0"/>
    <m/>
    <x v="0"/>
  </r>
  <r>
    <x v="5"/>
    <m/>
    <s v="J221850083"/>
    <s v="郭仲璿"/>
    <s v="CA"/>
    <n v="0"/>
    <n v="0"/>
    <n v="0"/>
    <n v="0"/>
    <n v="0"/>
    <n v="0"/>
    <n v="0"/>
    <n v="0"/>
    <n v="0"/>
    <m/>
    <x v="0"/>
  </r>
  <r>
    <x v="5"/>
    <m/>
    <s v="L121354585"/>
    <s v="鍾博勛"/>
    <s v="CA"/>
    <n v="0"/>
    <n v="0"/>
    <n v="0"/>
    <n v="0"/>
    <n v="0"/>
    <n v="0"/>
    <n v="0"/>
    <n v="0"/>
    <n v="0"/>
    <m/>
    <x v="0"/>
  </r>
  <r>
    <x v="5"/>
    <s v="A120733725"/>
    <s v="UM"/>
    <s v="周士銘"/>
    <n v="3"/>
    <n v="0"/>
    <n v="0"/>
    <n v="4"/>
    <n v="17839"/>
    <n v="1"/>
    <n v="0"/>
    <n v="0"/>
    <n v="0"/>
    <n v="0"/>
    <n v="0"/>
    <x v="5"/>
  </r>
  <r>
    <x v="5"/>
    <m/>
    <s v="E122431540"/>
    <s v="蔡明宏"/>
    <s v="AM"/>
    <n v="0"/>
    <n v="0"/>
    <n v="0"/>
    <n v="0"/>
    <n v="0"/>
    <n v="0"/>
    <n v="0"/>
    <m/>
    <n v="0"/>
    <m/>
    <x v="0"/>
  </r>
  <r>
    <x v="5"/>
    <m/>
    <s v="J122842823"/>
    <s v="戴國展"/>
    <s v="CA"/>
    <n v="0"/>
    <n v="0"/>
    <n v="0"/>
    <n v="0"/>
    <n v="0"/>
    <n v="0"/>
    <n v="0"/>
    <n v="0"/>
    <n v="0"/>
    <m/>
    <x v="0"/>
  </r>
  <r>
    <x v="5"/>
    <s v="E122431540"/>
    <s v="AM"/>
    <s v="蔡明宏"/>
    <n v="2"/>
    <n v="0"/>
    <n v="0"/>
    <n v="0"/>
    <n v="0"/>
    <n v="0"/>
    <n v="0"/>
    <n v="0"/>
    <n v="0"/>
    <n v="0"/>
    <n v="0"/>
    <x v="2"/>
  </r>
  <r>
    <x v="5"/>
    <m/>
    <s v="J221644996"/>
    <s v="林怡君"/>
    <s v="SP"/>
    <n v="2"/>
    <n v="25889"/>
    <n v="2"/>
    <n v="25889"/>
    <n v="1"/>
    <n v="1"/>
    <n v="1"/>
    <m/>
    <n v="1"/>
    <m/>
    <x v="0"/>
  </r>
  <r>
    <x v="5"/>
    <m/>
    <s v="O200351348"/>
    <s v="林欣儀"/>
    <s v="CA"/>
    <n v="0"/>
    <n v="0"/>
    <n v="0"/>
    <n v="0"/>
    <n v="0"/>
    <n v="0"/>
    <n v="0"/>
    <n v="0"/>
    <n v="0"/>
    <m/>
    <x v="0"/>
  </r>
  <r>
    <x v="5"/>
    <s v="J221644996"/>
    <s v="SP"/>
    <s v="林怡君"/>
    <n v="2"/>
    <n v="2"/>
    <n v="25889"/>
    <n v="2"/>
    <n v="25889"/>
    <n v="1"/>
    <n v="1"/>
    <n v="1"/>
    <n v="0"/>
    <n v="1"/>
    <n v="1"/>
    <x v="3"/>
  </r>
  <r>
    <x v="5"/>
    <m/>
    <s v="H224102538"/>
    <s v="趙依柔"/>
    <s v="SP"/>
    <n v="4"/>
    <n v="24344"/>
    <n v="5"/>
    <n v="44674"/>
    <n v="1"/>
    <n v="1"/>
    <n v="1"/>
    <m/>
    <n v="1"/>
    <m/>
    <x v="0"/>
  </r>
  <r>
    <x v="5"/>
    <m/>
    <s v="J222549552"/>
    <s v="陳鈺芝"/>
    <s v="CA"/>
    <n v="0"/>
    <n v="0"/>
    <n v="0"/>
    <n v="0"/>
    <n v="0"/>
    <n v="0"/>
    <n v="0"/>
    <n v="1"/>
    <n v="0"/>
    <m/>
    <x v="0"/>
  </r>
  <r>
    <x v="5"/>
    <s v="H224102538"/>
    <s v="SP"/>
    <s v="趙依柔"/>
    <n v="2"/>
    <n v="4"/>
    <n v="24344"/>
    <n v="5"/>
    <n v="44674"/>
    <n v="1"/>
    <n v="1"/>
    <n v="1"/>
    <n v="1"/>
    <n v="1"/>
    <n v="1"/>
    <x v="3"/>
  </r>
  <r>
    <x v="5"/>
    <m/>
    <s v="H222848666"/>
    <s v="莊皓雰"/>
    <s v="UM"/>
    <n v="0"/>
    <n v="0"/>
    <n v="1"/>
    <n v="2405"/>
    <n v="1"/>
    <n v="0"/>
    <n v="0"/>
    <m/>
    <n v="0"/>
    <m/>
    <x v="0"/>
  </r>
  <r>
    <x v="5"/>
    <m/>
    <s v="L223338063"/>
    <s v="楊雅雯"/>
    <s v="CA"/>
    <n v="0"/>
    <n v="0"/>
    <n v="0"/>
    <n v="0"/>
    <n v="0"/>
    <n v="0"/>
    <n v="0"/>
    <n v="0"/>
    <n v="0"/>
    <m/>
    <x v="0"/>
  </r>
  <r>
    <x v="5"/>
    <s v="H222848666"/>
    <s v="UM"/>
    <s v="莊皓雰"/>
    <n v="2"/>
    <n v="0"/>
    <n v="0"/>
    <n v="1"/>
    <n v="2405"/>
    <n v="1"/>
    <n v="0"/>
    <n v="0"/>
    <n v="0"/>
    <n v="0"/>
    <n v="0"/>
    <x v="5"/>
  </r>
  <r>
    <x v="5"/>
    <m/>
    <s v="H222843652"/>
    <s v="劉淑郁"/>
    <s v="SP"/>
    <n v="0"/>
    <n v="0"/>
    <n v="2"/>
    <n v="13608"/>
    <n v="1"/>
    <n v="0"/>
    <n v="0"/>
    <m/>
    <n v="0"/>
    <m/>
    <x v="0"/>
  </r>
  <r>
    <x v="5"/>
    <m/>
    <s v="H225566189"/>
    <s v="吳雅萱"/>
    <s v="CA"/>
    <n v="0"/>
    <n v="0"/>
    <n v="1"/>
    <n v="4140"/>
    <n v="1"/>
    <n v="0"/>
    <n v="0"/>
    <n v="1"/>
    <n v="0"/>
    <m/>
    <x v="0"/>
  </r>
  <r>
    <x v="5"/>
    <s v="H222843652"/>
    <s v="SP"/>
    <s v="劉淑郁"/>
    <n v="2"/>
    <n v="0"/>
    <n v="0"/>
    <n v="3"/>
    <n v="17748"/>
    <n v="2"/>
    <n v="0"/>
    <n v="0"/>
    <n v="1"/>
    <n v="0"/>
    <n v="0"/>
    <x v="3"/>
  </r>
  <r>
    <x v="5"/>
    <m/>
    <s v="H122252391"/>
    <s v="張雲硯"/>
    <s v="UM"/>
    <n v="0"/>
    <n v="0"/>
    <n v="0"/>
    <n v="0"/>
    <n v="0"/>
    <n v="0"/>
    <n v="0"/>
    <m/>
    <n v="0"/>
    <m/>
    <x v="0"/>
  </r>
  <r>
    <x v="5"/>
    <m/>
    <s v="U121926132"/>
    <s v="賴韋呈"/>
    <s v="CA"/>
    <n v="0"/>
    <n v="0"/>
    <n v="0"/>
    <n v="0"/>
    <n v="0"/>
    <n v="0"/>
    <n v="0"/>
    <n v="1"/>
    <n v="0"/>
    <m/>
    <x v="0"/>
  </r>
  <r>
    <x v="5"/>
    <m/>
    <s v="J122365625"/>
    <s v="林耕弘"/>
    <s v="CA"/>
    <n v="0"/>
    <n v="0"/>
    <n v="0"/>
    <n v="0"/>
    <n v="0"/>
    <n v="0"/>
    <n v="0"/>
    <n v="0"/>
    <n v="0"/>
    <m/>
    <x v="0"/>
  </r>
  <r>
    <x v="5"/>
    <s v="H122252391"/>
    <s v="UM"/>
    <s v="張雲硯"/>
    <n v="3"/>
    <n v="0"/>
    <n v="0"/>
    <n v="0"/>
    <n v="0"/>
    <n v="0"/>
    <n v="0"/>
    <n v="0"/>
    <n v="1"/>
    <n v="0"/>
    <n v="0"/>
    <x v="5"/>
  </r>
  <r>
    <x v="5"/>
    <m/>
    <s v="J221785867"/>
    <s v="謝翠華"/>
    <s v="SP"/>
    <n v="0"/>
    <n v="0"/>
    <n v="0"/>
    <n v="0"/>
    <n v="0"/>
    <n v="0"/>
    <n v="0"/>
    <m/>
    <n v="0"/>
    <m/>
    <x v="0"/>
  </r>
  <r>
    <x v="5"/>
    <m/>
    <s v="J221928924"/>
    <s v="鄧美玲"/>
    <s v="CA"/>
    <n v="0"/>
    <n v="0"/>
    <n v="0"/>
    <n v="0"/>
    <n v="0"/>
    <n v="0"/>
    <n v="0"/>
    <n v="0"/>
    <n v="0"/>
    <m/>
    <x v="0"/>
  </r>
  <r>
    <x v="5"/>
    <s v="J221785867"/>
    <s v="SP"/>
    <s v="謝翠華"/>
    <n v="2"/>
    <n v="0"/>
    <n v="0"/>
    <n v="0"/>
    <n v="0"/>
    <n v="0"/>
    <n v="0"/>
    <n v="0"/>
    <n v="0"/>
    <n v="0"/>
    <n v="0"/>
    <x v="3"/>
  </r>
  <r>
    <x v="5"/>
    <m/>
    <s v="K221435587"/>
    <s v="陳姍妮"/>
    <s v="UM"/>
    <n v="0"/>
    <n v="0"/>
    <n v="0"/>
    <n v="0"/>
    <n v="0"/>
    <n v="0"/>
    <n v="0"/>
    <m/>
    <n v="0"/>
    <m/>
    <x v="0"/>
  </r>
  <r>
    <x v="5"/>
    <m/>
    <s v="J121801471"/>
    <s v="劉文凱"/>
    <s v="CA"/>
    <n v="0"/>
    <n v="0"/>
    <n v="1"/>
    <n v="9040"/>
    <n v="1"/>
    <n v="0"/>
    <n v="0"/>
    <n v="0"/>
    <n v="0"/>
    <m/>
    <x v="0"/>
  </r>
  <r>
    <x v="5"/>
    <s v="K221435587"/>
    <s v="UM"/>
    <s v="陳姍妮"/>
    <n v="2"/>
    <n v="0"/>
    <n v="0"/>
    <n v="1"/>
    <n v="9040"/>
    <n v="1"/>
    <n v="0"/>
    <n v="0"/>
    <n v="0"/>
    <n v="0"/>
    <n v="0"/>
    <x v="5"/>
  </r>
  <r>
    <x v="5"/>
    <m/>
    <s v="J222812194"/>
    <s v="張汶茹"/>
    <s v="SP"/>
    <n v="0"/>
    <n v="0"/>
    <n v="1"/>
    <n v="7029"/>
    <n v="1"/>
    <n v="0"/>
    <n v="0"/>
    <m/>
    <n v="0"/>
    <m/>
    <x v="0"/>
  </r>
  <r>
    <x v="6"/>
    <m/>
    <s v="H225097769"/>
    <s v="葉昱吟"/>
    <s v="CA"/>
    <n v="0"/>
    <n v="0"/>
    <n v="0"/>
    <n v="0"/>
    <n v="0"/>
    <n v="0"/>
    <n v="0"/>
    <n v="1"/>
    <n v="0"/>
    <m/>
    <x v="0"/>
  </r>
  <r>
    <x v="6"/>
    <m/>
    <s v="H125851725"/>
    <s v="葉紹煒"/>
    <s v="CA"/>
    <n v="0"/>
    <n v="0"/>
    <n v="0"/>
    <n v="0"/>
    <n v="0"/>
    <n v="0"/>
    <n v="0"/>
    <n v="1"/>
    <n v="0"/>
    <m/>
    <x v="0"/>
  </r>
  <r>
    <x v="6"/>
    <m/>
    <s v="O200642219"/>
    <s v="陳佳妮"/>
    <s v="CA"/>
    <n v="0"/>
    <n v="0"/>
    <n v="0"/>
    <n v="0"/>
    <n v="0"/>
    <n v="0"/>
    <n v="0"/>
    <n v="1"/>
    <n v="0"/>
    <m/>
    <x v="0"/>
  </r>
  <r>
    <x v="5"/>
    <s v="J222812194"/>
    <s v="SP"/>
    <s v="張汶茹"/>
    <n v="4"/>
    <n v="0"/>
    <n v="0"/>
    <n v="1"/>
    <n v="7029"/>
    <n v="1"/>
    <n v="0"/>
    <n v="0"/>
    <n v="3"/>
    <n v="0"/>
    <n v="0"/>
    <x v="3"/>
  </r>
  <r>
    <x v="5"/>
    <m/>
    <s v="K220290717"/>
    <s v="蔡琇如"/>
    <s v="SP"/>
    <n v="1"/>
    <n v="21938"/>
    <n v="5"/>
    <n v="37597"/>
    <n v="1"/>
    <n v="1"/>
    <n v="1"/>
    <m/>
    <n v="1"/>
    <m/>
    <x v="0"/>
  </r>
  <r>
    <x v="5"/>
    <m/>
    <s v="J122582895"/>
    <s v="吳碩彬"/>
    <s v="CA"/>
    <n v="0"/>
    <n v="0"/>
    <n v="0"/>
    <n v="0"/>
    <n v="0"/>
    <n v="0"/>
    <n v="0"/>
    <n v="0"/>
    <n v="0"/>
    <m/>
    <x v="0"/>
  </r>
  <r>
    <x v="5"/>
    <s v="K220290717"/>
    <s v="SP"/>
    <s v="蔡琇如"/>
    <n v="2"/>
    <n v="1"/>
    <n v="21938"/>
    <n v="5"/>
    <n v="37597"/>
    <n v="1"/>
    <n v="1"/>
    <n v="1"/>
    <n v="0"/>
    <n v="1"/>
    <n v="1"/>
    <x v="3"/>
  </r>
  <r>
    <x v="5"/>
    <m/>
    <m/>
    <m/>
    <n v="56"/>
    <n v="9"/>
    <n v="187422"/>
    <n v="57"/>
    <n v="654154"/>
    <n v="24"/>
    <n v="14"/>
    <n v="9"/>
    <n v="12"/>
    <n v="10"/>
    <n v="5"/>
    <x v="0"/>
  </r>
  <r>
    <x v="7"/>
    <m/>
    <s v="J120779505"/>
    <s v="陳仕君"/>
    <s v="DM"/>
    <n v="0"/>
    <n v="0"/>
    <n v="0"/>
    <n v="0"/>
    <n v="0"/>
    <n v="0"/>
    <n v="0"/>
    <m/>
    <n v="0"/>
    <m/>
    <x v="0"/>
  </r>
  <r>
    <x v="7"/>
    <m/>
    <s v="J122531450"/>
    <s v="楊博仲"/>
    <s v="CA"/>
    <n v="0"/>
    <n v="0"/>
    <n v="0"/>
    <n v="0"/>
    <n v="0"/>
    <n v="0"/>
    <n v="0"/>
    <n v="0"/>
    <n v="0"/>
    <m/>
    <x v="0"/>
  </r>
  <r>
    <x v="7"/>
    <m/>
    <s v="G220157670"/>
    <s v="項華萍"/>
    <s v="CA"/>
    <n v="0"/>
    <n v="0"/>
    <n v="0"/>
    <n v="0"/>
    <n v="0"/>
    <n v="0"/>
    <n v="0"/>
    <n v="0"/>
    <n v="0"/>
    <m/>
    <x v="0"/>
  </r>
  <r>
    <x v="7"/>
    <m/>
    <s v="J221557783"/>
    <s v="陳柏伃"/>
    <s v="CA"/>
    <n v="0"/>
    <n v="0"/>
    <n v="0"/>
    <n v="0"/>
    <n v="0"/>
    <n v="0"/>
    <n v="0"/>
    <n v="0"/>
    <n v="0"/>
    <m/>
    <x v="0"/>
  </r>
  <r>
    <x v="7"/>
    <s v="J120779505"/>
    <s v="DM"/>
    <s v="陳仕君"/>
    <n v="4"/>
    <n v="0"/>
    <n v="0"/>
    <n v="0"/>
    <n v="0"/>
    <n v="0"/>
    <n v="0"/>
    <n v="0"/>
    <n v="0"/>
    <n v="0"/>
    <n v="0"/>
    <x v="1"/>
  </r>
  <r>
    <x v="7"/>
    <m/>
    <s v="J220303549"/>
    <s v="劉諮穎"/>
    <s v="SP"/>
    <n v="0"/>
    <n v="0"/>
    <n v="1"/>
    <n v="47804"/>
    <n v="1"/>
    <n v="1"/>
    <n v="1"/>
    <m/>
    <n v="1"/>
    <m/>
    <x v="0"/>
  </r>
  <r>
    <x v="7"/>
    <s v="J220303549"/>
    <s v="SP"/>
    <s v="劉諮穎"/>
    <n v="1"/>
    <n v="0"/>
    <n v="0"/>
    <n v="1"/>
    <n v="47804"/>
    <n v="1"/>
    <n v="1"/>
    <n v="1"/>
    <n v="0"/>
    <n v="1"/>
    <n v="0"/>
    <x v="3"/>
  </r>
  <r>
    <x v="7"/>
    <m/>
    <s v="H125323931"/>
    <s v="洪嘉彬"/>
    <s v="SP"/>
    <n v="0"/>
    <n v="0"/>
    <n v="2"/>
    <n v="29442"/>
    <n v="1"/>
    <n v="1"/>
    <n v="1"/>
    <m/>
    <n v="1"/>
    <m/>
    <x v="0"/>
  </r>
  <r>
    <x v="7"/>
    <m/>
    <s v="K123094859"/>
    <s v="謝智達"/>
    <s v="CA"/>
    <n v="0"/>
    <n v="0"/>
    <n v="1"/>
    <n v="15374"/>
    <n v="1"/>
    <n v="1"/>
    <n v="0"/>
    <n v="1"/>
    <n v="1"/>
    <m/>
    <x v="0"/>
  </r>
  <r>
    <x v="7"/>
    <m/>
    <s v="Z100113068"/>
    <s v="李生光"/>
    <s v="CA"/>
    <n v="0"/>
    <n v="0"/>
    <n v="2"/>
    <n v="19830"/>
    <n v="1"/>
    <n v="1"/>
    <n v="0"/>
    <n v="1"/>
    <n v="1"/>
    <m/>
    <x v="0"/>
  </r>
  <r>
    <x v="7"/>
    <s v="H125323931"/>
    <s v="SP"/>
    <s v="洪嘉彬"/>
    <n v="3"/>
    <n v="0"/>
    <n v="0"/>
    <n v="5"/>
    <n v="64646"/>
    <n v="3"/>
    <n v="3"/>
    <n v="1"/>
    <n v="2"/>
    <n v="3"/>
    <n v="1"/>
    <x v="3"/>
  </r>
  <r>
    <x v="7"/>
    <m/>
    <s v="J221378175"/>
    <s v="龍寶華"/>
    <s v="AM"/>
    <n v="0"/>
    <n v="0"/>
    <n v="4"/>
    <n v="212043"/>
    <n v="1"/>
    <n v="1"/>
    <n v="1"/>
    <m/>
    <n v="1"/>
    <m/>
    <x v="0"/>
  </r>
  <r>
    <x v="7"/>
    <m/>
    <s v="E222109910"/>
    <s v="龔莉涵"/>
    <s v="CA"/>
    <n v="0"/>
    <n v="0"/>
    <n v="0"/>
    <n v="0"/>
    <n v="0"/>
    <n v="0"/>
    <n v="0"/>
    <n v="1"/>
    <n v="0"/>
    <m/>
    <x v="0"/>
  </r>
  <r>
    <x v="7"/>
    <m/>
    <s v="K223000322"/>
    <s v="何詩敏"/>
    <s v="CA"/>
    <n v="0"/>
    <n v="0"/>
    <n v="0"/>
    <n v="0"/>
    <n v="0"/>
    <n v="0"/>
    <n v="0"/>
    <n v="0"/>
    <n v="0"/>
    <m/>
    <x v="0"/>
  </r>
  <r>
    <x v="7"/>
    <m/>
    <s v="J222835473"/>
    <s v="范文瑄"/>
    <s v="CA"/>
    <n v="0"/>
    <n v="0"/>
    <n v="0"/>
    <n v="0"/>
    <n v="0"/>
    <n v="0"/>
    <n v="0"/>
    <n v="0"/>
    <n v="0"/>
    <m/>
    <x v="0"/>
  </r>
  <r>
    <x v="7"/>
    <m/>
    <s v="H220305971"/>
    <s v="楊玉代"/>
    <s v="CA"/>
    <n v="0"/>
    <n v="0"/>
    <n v="0"/>
    <n v="0"/>
    <n v="0"/>
    <n v="0"/>
    <n v="0"/>
    <n v="0"/>
    <n v="0"/>
    <m/>
    <x v="0"/>
  </r>
  <r>
    <x v="7"/>
    <s v="J221378175"/>
    <s v="AM"/>
    <s v="龍寶華"/>
    <n v="5"/>
    <n v="0"/>
    <n v="0"/>
    <n v="4"/>
    <n v="212043"/>
    <n v="1"/>
    <n v="1"/>
    <n v="1"/>
    <n v="1"/>
    <n v="1"/>
    <n v="0"/>
    <x v="2"/>
  </r>
  <r>
    <x v="7"/>
    <m/>
    <s v="K221753473"/>
    <s v="林怡瑄"/>
    <s v="SP"/>
    <n v="0"/>
    <n v="0"/>
    <n v="1"/>
    <n v="2861"/>
    <n v="1"/>
    <n v="0"/>
    <n v="0"/>
    <m/>
    <n v="0"/>
    <m/>
    <x v="0"/>
  </r>
  <r>
    <x v="7"/>
    <m/>
    <s v="K221665683"/>
    <s v="李玉華"/>
    <s v="CA"/>
    <n v="0"/>
    <n v="0"/>
    <n v="0"/>
    <n v="12000"/>
    <n v="0"/>
    <n v="1"/>
    <n v="0"/>
    <n v="0"/>
    <n v="0"/>
    <m/>
    <x v="0"/>
  </r>
  <r>
    <x v="7"/>
    <s v="K221753473"/>
    <s v="SP"/>
    <s v="林怡瑄"/>
    <n v="2"/>
    <n v="0"/>
    <n v="0"/>
    <n v="1"/>
    <n v="14861"/>
    <n v="1"/>
    <n v="1"/>
    <n v="0"/>
    <n v="0"/>
    <n v="0"/>
    <n v="0"/>
    <x v="3"/>
  </r>
  <r>
    <x v="7"/>
    <m/>
    <s v="J122353134"/>
    <s v="許宏洋"/>
    <s v="SP"/>
    <n v="0"/>
    <n v="0"/>
    <n v="0"/>
    <n v="0"/>
    <n v="0"/>
    <n v="0"/>
    <n v="0"/>
    <m/>
    <n v="0"/>
    <m/>
    <x v="0"/>
  </r>
  <r>
    <x v="7"/>
    <m/>
    <s v="J222220829"/>
    <s v="徐沛祺"/>
    <s v="CA"/>
    <n v="1"/>
    <n v="1464"/>
    <n v="1"/>
    <n v="1464"/>
    <n v="1"/>
    <n v="0"/>
    <n v="0"/>
    <n v="0"/>
    <n v="0"/>
    <m/>
    <x v="0"/>
  </r>
  <r>
    <x v="7"/>
    <s v="J122353134"/>
    <s v="SP"/>
    <s v="許宏洋"/>
    <n v="2"/>
    <n v="1"/>
    <n v="1464"/>
    <n v="1"/>
    <n v="1464"/>
    <n v="1"/>
    <n v="0"/>
    <n v="0"/>
    <n v="0"/>
    <n v="0"/>
    <n v="0"/>
    <x v="3"/>
  </r>
  <r>
    <x v="7"/>
    <m/>
    <s v="J122659104"/>
    <s v="葉家瑋"/>
    <s v="UM"/>
    <n v="0"/>
    <n v="0"/>
    <n v="0"/>
    <n v="0"/>
    <n v="0"/>
    <n v="0"/>
    <n v="0"/>
    <m/>
    <n v="0"/>
    <m/>
    <x v="0"/>
  </r>
  <r>
    <x v="7"/>
    <m/>
    <s v="J122935234"/>
    <s v="翁林絜"/>
    <s v="CA"/>
    <n v="0"/>
    <n v="0"/>
    <n v="0"/>
    <n v="0"/>
    <n v="0"/>
    <n v="0"/>
    <n v="0"/>
    <n v="0"/>
    <n v="0"/>
    <m/>
    <x v="0"/>
  </r>
  <r>
    <x v="7"/>
    <m/>
    <s v="T124154084"/>
    <s v="劉恩豪"/>
    <s v="CA"/>
    <n v="0"/>
    <n v="0"/>
    <n v="1"/>
    <n v="6000"/>
    <n v="1"/>
    <n v="0"/>
    <n v="0"/>
    <n v="0"/>
    <n v="0"/>
    <m/>
    <x v="0"/>
  </r>
  <r>
    <x v="7"/>
    <m/>
    <s v="G221921414"/>
    <s v="李青洳"/>
    <s v="CA"/>
    <n v="2"/>
    <n v="15977"/>
    <n v="5"/>
    <n v="182453"/>
    <n v="1"/>
    <n v="1"/>
    <n v="1"/>
    <n v="0"/>
    <n v="1"/>
    <m/>
    <x v="0"/>
  </r>
  <r>
    <x v="7"/>
    <s v="J122659104"/>
    <s v="UM"/>
    <s v="葉家瑋"/>
    <n v="4"/>
    <n v="2"/>
    <n v="15977"/>
    <n v="6"/>
    <n v="188453"/>
    <n v="2"/>
    <n v="1"/>
    <n v="1"/>
    <n v="0"/>
    <n v="1"/>
    <n v="0"/>
    <x v="5"/>
  </r>
  <r>
    <x v="7"/>
    <m/>
    <s v="J122729245"/>
    <s v="羅駿惟"/>
    <s v="SP"/>
    <n v="0"/>
    <n v="0"/>
    <n v="2"/>
    <n v="27500"/>
    <n v="1"/>
    <n v="1"/>
    <n v="1"/>
    <m/>
    <n v="1"/>
    <m/>
    <x v="0"/>
  </r>
  <r>
    <x v="7"/>
    <m/>
    <s v="J122425279"/>
    <s v="陳厚任"/>
    <s v="CA"/>
    <n v="0"/>
    <n v="0"/>
    <n v="0"/>
    <n v="0"/>
    <n v="0"/>
    <n v="0"/>
    <n v="0"/>
    <n v="1"/>
    <n v="0"/>
    <m/>
    <x v="0"/>
  </r>
  <r>
    <x v="7"/>
    <s v="J122729245"/>
    <s v="SP"/>
    <s v="羅駿惟"/>
    <n v="2"/>
    <n v="0"/>
    <n v="0"/>
    <n v="2"/>
    <n v="27500"/>
    <n v="1"/>
    <n v="1"/>
    <n v="1"/>
    <n v="1"/>
    <n v="1"/>
    <n v="1"/>
    <x v="3"/>
  </r>
  <r>
    <x v="7"/>
    <m/>
    <s v="J222813780"/>
    <s v="曾玉芬"/>
    <s v="AM"/>
    <n v="0"/>
    <n v="0"/>
    <n v="1"/>
    <n v="125125"/>
    <n v="1"/>
    <n v="1"/>
    <n v="1"/>
    <m/>
    <n v="1"/>
    <m/>
    <x v="0"/>
  </r>
  <r>
    <x v="7"/>
    <m/>
    <s v="K220979302"/>
    <s v="周宜薇"/>
    <s v="CA"/>
    <n v="0"/>
    <n v="0"/>
    <n v="0"/>
    <n v="0"/>
    <n v="0"/>
    <n v="0"/>
    <n v="0"/>
    <n v="0"/>
    <n v="0"/>
    <m/>
    <x v="0"/>
  </r>
  <r>
    <x v="7"/>
    <s v="J222813780"/>
    <s v="AM"/>
    <s v="曾玉芬"/>
    <n v="2"/>
    <n v="0"/>
    <n v="0"/>
    <n v="1"/>
    <n v="125125"/>
    <n v="1"/>
    <n v="1"/>
    <n v="1"/>
    <n v="0"/>
    <n v="1"/>
    <n v="0"/>
    <x v="2"/>
  </r>
  <r>
    <x v="7"/>
    <m/>
    <m/>
    <m/>
    <n v="25"/>
    <n v="3"/>
    <n v="17441"/>
    <n v="21"/>
    <n v="681896"/>
    <n v="11"/>
    <n v="9"/>
    <n v="6"/>
    <n v="4"/>
    <n v="8"/>
    <n v="2"/>
    <x v="0"/>
  </r>
  <r>
    <x v="8"/>
    <m/>
    <s v="K121892213"/>
    <s v="闕博川"/>
    <s v="DM"/>
    <n v="0"/>
    <n v="0"/>
    <n v="0"/>
    <n v="0"/>
    <n v="0"/>
    <n v="0"/>
    <n v="0"/>
    <m/>
    <n v="0"/>
    <m/>
    <x v="0"/>
  </r>
  <r>
    <x v="8"/>
    <m/>
    <s v="N124759011"/>
    <s v="巫永程"/>
    <s v="CA"/>
    <n v="0"/>
    <n v="0"/>
    <n v="0"/>
    <n v="0"/>
    <n v="0"/>
    <n v="0"/>
    <n v="0"/>
    <n v="0"/>
    <n v="0"/>
    <m/>
    <x v="0"/>
  </r>
  <r>
    <x v="8"/>
    <m/>
    <s v="O200131024"/>
    <s v="麥書瑋"/>
    <s v="CA"/>
    <n v="0"/>
    <n v="0"/>
    <n v="1"/>
    <n v="3676"/>
    <n v="1"/>
    <n v="0"/>
    <n v="0"/>
    <n v="0"/>
    <n v="0"/>
    <m/>
    <x v="0"/>
  </r>
  <r>
    <x v="8"/>
    <s v="K121892213"/>
    <s v="DM"/>
    <s v=" 闕博川"/>
    <n v="3"/>
    <n v="0"/>
    <n v="0"/>
    <n v="1"/>
    <n v="3676"/>
    <n v="1"/>
    <n v="0"/>
    <n v="0"/>
    <n v="0"/>
    <n v="0"/>
    <n v="0"/>
    <x v="1"/>
  </r>
  <r>
    <x v="8"/>
    <m/>
    <s v="F221169860"/>
    <s v="林真緣"/>
    <s v="UM"/>
    <n v="0"/>
    <n v="0"/>
    <n v="0"/>
    <n v="0"/>
    <n v="0"/>
    <n v="0"/>
    <n v="0"/>
    <m/>
    <n v="0"/>
    <m/>
    <x v="0"/>
  </r>
  <r>
    <x v="8"/>
    <m/>
    <s v="J121424358"/>
    <s v="羅仕松"/>
    <s v="CA"/>
    <n v="0"/>
    <n v="0"/>
    <n v="0"/>
    <n v="0"/>
    <n v="0"/>
    <n v="0"/>
    <n v="0"/>
    <n v="0"/>
    <n v="0"/>
    <m/>
    <x v="0"/>
  </r>
  <r>
    <x v="8"/>
    <m/>
    <s v="K120931319"/>
    <s v="張智倫"/>
    <s v="CA"/>
    <n v="0"/>
    <n v="0"/>
    <n v="0"/>
    <n v="0"/>
    <n v="0"/>
    <n v="0"/>
    <n v="0"/>
    <n v="1"/>
    <n v="0"/>
    <m/>
    <x v="0"/>
  </r>
  <r>
    <x v="8"/>
    <m/>
    <s v="K221885023"/>
    <s v="黃欣怡"/>
    <s v="CA"/>
    <n v="0"/>
    <n v="0"/>
    <n v="0"/>
    <n v="0"/>
    <n v="0"/>
    <n v="0"/>
    <n v="0"/>
    <n v="0"/>
    <n v="0"/>
    <m/>
    <x v="0"/>
  </r>
  <r>
    <x v="8"/>
    <s v="F221169860"/>
    <s v="UM"/>
    <s v="林真緣"/>
    <n v="4"/>
    <n v="0"/>
    <n v="0"/>
    <n v="0"/>
    <n v="0"/>
    <n v="0"/>
    <n v="0"/>
    <n v="0"/>
    <n v="1"/>
    <n v="0"/>
    <n v="0"/>
    <x v="5"/>
  </r>
  <r>
    <x v="8"/>
    <m/>
    <s v="J222202492"/>
    <s v="黃玉萩"/>
    <s v="AM"/>
    <n v="0"/>
    <n v="0"/>
    <n v="2"/>
    <n v="48091"/>
    <n v="1"/>
    <n v="1"/>
    <n v="1"/>
    <m/>
    <n v="1"/>
    <m/>
    <x v="0"/>
  </r>
  <r>
    <x v="8"/>
    <m/>
    <s v="K222640028"/>
    <s v="林子琄"/>
    <s v="CA"/>
    <n v="0"/>
    <n v="0"/>
    <n v="1"/>
    <n v="9398"/>
    <n v="1"/>
    <n v="0"/>
    <n v="0"/>
    <n v="0"/>
    <n v="0"/>
    <m/>
    <x v="0"/>
  </r>
  <r>
    <x v="8"/>
    <m/>
    <s v="K222592170"/>
    <s v="郭怡婕"/>
    <s v="CA"/>
    <n v="0"/>
    <n v="0"/>
    <n v="1"/>
    <n v="10541"/>
    <n v="1"/>
    <n v="1"/>
    <n v="0"/>
    <n v="0"/>
    <n v="0"/>
    <m/>
    <x v="0"/>
  </r>
  <r>
    <x v="8"/>
    <s v="J222202492"/>
    <s v="AM"/>
    <s v="黃玉萩"/>
    <n v="3"/>
    <n v="0"/>
    <n v="0"/>
    <n v="4"/>
    <n v="68030"/>
    <n v="3"/>
    <n v="2"/>
    <n v="1"/>
    <n v="0"/>
    <n v="1"/>
    <n v="0"/>
    <x v="2"/>
  </r>
  <r>
    <x v="8"/>
    <m/>
    <s v="K222269452"/>
    <s v="蕭苹妃"/>
    <s v="AM"/>
    <n v="0"/>
    <n v="0"/>
    <n v="2"/>
    <n v="29821"/>
    <n v="1"/>
    <n v="1"/>
    <n v="1"/>
    <m/>
    <n v="1"/>
    <m/>
    <x v="0"/>
  </r>
  <r>
    <x v="8"/>
    <m/>
    <s v="K123196367"/>
    <s v="蔡晨瀚"/>
    <s v="CA"/>
    <n v="0"/>
    <n v="0"/>
    <n v="2"/>
    <n v="9982"/>
    <n v="1"/>
    <n v="0"/>
    <n v="0"/>
    <n v="1"/>
    <n v="0"/>
    <m/>
    <x v="0"/>
  </r>
  <r>
    <x v="8"/>
    <s v="K222269452"/>
    <s v="AM"/>
    <s v="蕭苹妃"/>
    <n v="2"/>
    <n v="0"/>
    <n v="0"/>
    <n v="4"/>
    <n v="39803"/>
    <n v="2"/>
    <n v="1"/>
    <n v="1"/>
    <n v="1"/>
    <n v="1"/>
    <n v="0"/>
    <x v="2"/>
  </r>
  <r>
    <x v="8"/>
    <m/>
    <s v="J222000881"/>
    <s v="蔡依霈"/>
    <s v="AM"/>
    <n v="0"/>
    <n v="0"/>
    <n v="3"/>
    <n v="30299"/>
    <n v="1"/>
    <n v="1"/>
    <n v="1"/>
    <m/>
    <n v="1"/>
    <m/>
    <x v="0"/>
  </r>
  <r>
    <x v="8"/>
    <m/>
    <s v="K221976154"/>
    <s v="曾秀珍"/>
    <s v="CA"/>
    <n v="0"/>
    <n v="0"/>
    <n v="0"/>
    <n v="0"/>
    <n v="0"/>
    <n v="0"/>
    <n v="0"/>
    <n v="1"/>
    <n v="0"/>
    <m/>
    <x v="0"/>
  </r>
  <r>
    <x v="8"/>
    <m/>
    <s v="J220394942"/>
    <s v="蔡淑芳"/>
    <s v="CA"/>
    <n v="0"/>
    <n v="0"/>
    <n v="0"/>
    <n v="0"/>
    <n v="0"/>
    <n v="0"/>
    <n v="0"/>
    <n v="0"/>
    <n v="0"/>
    <m/>
    <x v="0"/>
  </r>
  <r>
    <x v="8"/>
    <m/>
    <s v="K122560989"/>
    <s v="鍾湧泰"/>
    <s v="CA"/>
    <n v="0"/>
    <n v="0"/>
    <n v="1"/>
    <n v="10030"/>
    <n v="1"/>
    <n v="1"/>
    <n v="0"/>
    <n v="1"/>
    <n v="0"/>
    <m/>
    <x v="0"/>
  </r>
  <r>
    <x v="8"/>
    <s v="J222000881"/>
    <s v="AM"/>
    <s v="蔡依霈"/>
    <n v="4"/>
    <n v="0"/>
    <n v="0"/>
    <n v="4"/>
    <n v="40329"/>
    <n v="2"/>
    <n v="2"/>
    <n v="1"/>
    <n v="2"/>
    <n v="1"/>
    <n v="0"/>
    <x v="2"/>
  </r>
  <r>
    <x v="8"/>
    <m/>
    <s v="K122022162"/>
    <s v="陳嘉揚"/>
    <s v="AM"/>
    <n v="0"/>
    <n v="0"/>
    <n v="0"/>
    <n v="0"/>
    <n v="0"/>
    <n v="0"/>
    <n v="0"/>
    <m/>
    <n v="0"/>
    <m/>
    <x v="0"/>
  </r>
  <r>
    <x v="8"/>
    <m/>
    <s v="K222209732"/>
    <s v="林佩樺"/>
    <s v="CA"/>
    <n v="0"/>
    <n v="0"/>
    <n v="0"/>
    <n v="0"/>
    <n v="0"/>
    <n v="0"/>
    <n v="0"/>
    <n v="0"/>
    <n v="0"/>
    <m/>
    <x v="0"/>
  </r>
  <r>
    <x v="8"/>
    <s v="K122022162"/>
    <s v="AM"/>
    <s v="陳嘉揚"/>
    <n v="2"/>
    <n v="0"/>
    <n v="0"/>
    <n v="0"/>
    <n v="0"/>
    <n v="0"/>
    <n v="0"/>
    <n v="0"/>
    <n v="0"/>
    <n v="0"/>
    <n v="0"/>
    <x v="2"/>
  </r>
  <r>
    <x v="8"/>
    <m/>
    <s v="J122146040"/>
    <s v="陳建村"/>
    <s v="AM"/>
    <n v="0"/>
    <n v="0"/>
    <n v="0"/>
    <n v="0"/>
    <n v="0"/>
    <n v="0"/>
    <n v="0"/>
    <m/>
    <n v="0"/>
    <m/>
    <x v="0"/>
  </r>
  <r>
    <x v="8"/>
    <m/>
    <s v="K222178349"/>
    <s v="賴勉伊"/>
    <s v="CA"/>
    <n v="1"/>
    <n v="9393"/>
    <n v="2"/>
    <n v="19113"/>
    <n v="1"/>
    <n v="1"/>
    <n v="0"/>
    <n v="0"/>
    <n v="0"/>
    <m/>
    <x v="0"/>
  </r>
  <r>
    <x v="8"/>
    <s v="J122146040"/>
    <s v="AM"/>
    <s v="陳建村"/>
    <n v="2"/>
    <n v="1"/>
    <n v="9393"/>
    <n v="2"/>
    <n v="19113"/>
    <n v="1"/>
    <n v="1"/>
    <n v="0"/>
    <n v="0"/>
    <n v="0"/>
    <n v="0"/>
    <x v="2"/>
  </r>
  <r>
    <x v="8"/>
    <m/>
    <s v="O200063227"/>
    <s v="陳怡君"/>
    <s v="SP"/>
    <n v="0"/>
    <n v="0"/>
    <n v="1"/>
    <n v="12929"/>
    <n v="1"/>
    <n v="0"/>
    <n v="0"/>
    <m/>
    <n v="0"/>
    <m/>
    <x v="0"/>
  </r>
  <r>
    <x v="8"/>
    <m/>
    <s v="K221866411"/>
    <s v="許品淳"/>
    <s v="CA"/>
    <n v="0"/>
    <n v="0"/>
    <n v="0"/>
    <n v="0"/>
    <n v="0"/>
    <n v="0"/>
    <n v="0"/>
    <n v="0"/>
    <n v="0"/>
    <m/>
    <x v="0"/>
  </r>
  <r>
    <x v="8"/>
    <s v="O200063227"/>
    <s v="SP"/>
    <s v="陳怡君"/>
    <n v="2"/>
    <n v="0"/>
    <n v="0"/>
    <n v="1"/>
    <n v="12929"/>
    <n v="1"/>
    <n v="0"/>
    <n v="0"/>
    <n v="0"/>
    <n v="0"/>
    <n v="0"/>
    <x v="3"/>
  </r>
  <r>
    <x v="8"/>
    <m/>
    <s v="J222568708"/>
    <s v="張敬雯"/>
    <s v="AM"/>
    <n v="0"/>
    <n v="0"/>
    <n v="3"/>
    <n v="25566"/>
    <n v="1"/>
    <n v="1"/>
    <n v="1"/>
    <m/>
    <n v="1"/>
    <m/>
    <x v="0"/>
  </r>
  <r>
    <x v="8"/>
    <m/>
    <s v="J122544117"/>
    <s v="林彥奎"/>
    <s v="CA"/>
    <n v="0"/>
    <n v="0"/>
    <n v="1"/>
    <n v="10080"/>
    <n v="1"/>
    <n v="1"/>
    <n v="0"/>
    <n v="1"/>
    <n v="0"/>
    <m/>
    <x v="0"/>
  </r>
  <r>
    <x v="8"/>
    <s v="J222568708"/>
    <s v="AM"/>
    <s v="張敬雯"/>
    <n v="2"/>
    <n v="0"/>
    <n v="0"/>
    <n v="4"/>
    <n v="35646"/>
    <n v="2"/>
    <n v="2"/>
    <n v="1"/>
    <n v="1"/>
    <n v="1"/>
    <n v="0"/>
    <x v="2"/>
  </r>
  <r>
    <x v="8"/>
    <m/>
    <s v="H223653152"/>
    <s v="陳鳳鳴"/>
    <s v="UM"/>
    <n v="0"/>
    <n v="0"/>
    <n v="0"/>
    <n v="0"/>
    <n v="0"/>
    <n v="0"/>
    <n v="0"/>
    <m/>
    <n v="0"/>
    <m/>
    <x v="0"/>
  </r>
  <r>
    <x v="8"/>
    <m/>
    <s v="K222701400"/>
    <s v="陳秋敏(育停)"/>
    <m/>
    <n v="0"/>
    <n v="0"/>
    <n v="0"/>
    <n v="0"/>
    <m/>
    <m/>
    <m/>
    <m/>
    <m/>
    <m/>
    <x v="0"/>
  </r>
  <r>
    <x v="8"/>
    <m/>
    <s v="K122399506"/>
    <s v="邱品儒"/>
    <s v="CA"/>
    <n v="0"/>
    <n v="0"/>
    <n v="0"/>
    <n v="0"/>
    <n v="0"/>
    <n v="0"/>
    <n v="0"/>
    <n v="0"/>
    <n v="0"/>
    <m/>
    <x v="0"/>
  </r>
  <r>
    <x v="8"/>
    <s v="H223653152"/>
    <s v="UM"/>
    <s v="陳鳳鳴"/>
    <n v="2"/>
    <n v="0"/>
    <n v="0"/>
    <n v="0"/>
    <n v="0"/>
    <n v="0"/>
    <n v="0"/>
    <n v="0"/>
    <n v="0"/>
    <n v="0"/>
    <n v="0"/>
    <x v="5"/>
  </r>
  <r>
    <x v="8"/>
    <m/>
    <s v="K222820302"/>
    <s v="陳亦庭"/>
    <s v="SP"/>
    <n v="0"/>
    <n v="0"/>
    <n v="0"/>
    <n v="0"/>
    <n v="0"/>
    <n v="0"/>
    <n v="0"/>
    <m/>
    <n v="0"/>
    <m/>
    <x v="0"/>
  </r>
  <r>
    <x v="8"/>
    <m/>
    <s v="H222798518"/>
    <s v="徐美婷"/>
    <s v="CA"/>
    <n v="0"/>
    <n v="0"/>
    <n v="0"/>
    <n v="0"/>
    <n v="0"/>
    <n v="0"/>
    <n v="0"/>
    <n v="0"/>
    <n v="0"/>
    <m/>
    <x v="0"/>
  </r>
  <r>
    <x v="8"/>
    <s v="K222820302"/>
    <s v="SP"/>
    <s v="陳亦庭"/>
    <n v="2"/>
    <n v="0"/>
    <n v="0"/>
    <n v="0"/>
    <n v="0"/>
    <n v="0"/>
    <n v="0"/>
    <n v="0"/>
    <n v="0"/>
    <n v="0"/>
    <n v="0"/>
    <x v="3"/>
  </r>
  <r>
    <x v="8"/>
    <m/>
    <s v="K121599431"/>
    <s v="鍾武昌"/>
    <s v="UM"/>
    <n v="1"/>
    <n v="25885"/>
    <n v="1"/>
    <n v="25885"/>
    <n v="1"/>
    <n v="1"/>
    <n v="1"/>
    <m/>
    <n v="1"/>
    <m/>
    <x v="0"/>
  </r>
  <r>
    <x v="8"/>
    <m/>
    <s v="J221928755"/>
    <s v="呂意菁"/>
    <s v="CA"/>
    <n v="0"/>
    <n v="0"/>
    <n v="0"/>
    <n v="0"/>
    <n v="0"/>
    <n v="0"/>
    <n v="0"/>
    <n v="0"/>
    <n v="0"/>
    <m/>
    <x v="0"/>
  </r>
  <r>
    <x v="8"/>
    <s v="K121599431"/>
    <s v="UM"/>
    <s v="鍾武昌"/>
    <n v="2"/>
    <n v="1"/>
    <n v="25885"/>
    <n v="1"/>
    <n v="25885"/>
    <n v="1"/>
    <n v="1"/>
    <n v="1"/>
    <n v="0"/>
    <n v="1"/>
    <n v="0"/>
    <x v="5"/>
  </r>
  <r>
    <x v="8"/>
    <m/>
    <s v="J121821008"/>
    <s v="潘正德"/>
    <s v="AM"/>
    <n v="0"/>
    <n v="0"/>
    <n v="1"/>
    <n v="6000"/>
    <n v="1"/>
    <n v="0"/>
    <n v="0"/>
    <m/>
    <n v="0"/>
    <m/>
    <x v="0"/>
  </r>
  <r>
    <x v="8"/>
    <m/>
    <s v="O100348910"/>
    <s v="翁聖淵"/>
    <s v="CA"/>
    <n v="0"/>
    <n v="0"/>
    <n v="2"/>
    <n v="2466"/>
    <n v="1"/>
    <n v="0"/>
    <n v="0"/>
    <n v="0"/>
    <n v="0"/>
    <m/>
    <x v="0"/>
  </r>
  <r>
    <x v="8"/>
    <m/>
    <s v="J221712855"/>
    <s v="張曉菁"/>
    <s v="CA"/>
    <n v="0"/>
    <n v="0"/>
    <n v="2"/>
    <n v="10911"/>
    <n v="1"/>
    <n v="1"/>
    <n v="0"/>
    <n v="0"/>
    <n v="0"/>
    <m/>
    <x v="0"/>
  </r>
  <r>
    <x v="8"/>
    <s v="J121821008"/>
    <s v="AM"/>
    <s v="潘正德"/>
    <n v="3"/>
    <n v="0"/>
    <n v="0"/>
    <n v="5"/>
    <n v="19377"/>
    <n v="3"/>
    <n v="1"/>
    <n v="0"/>
    <n v="0"/>
    <n v="0"/>
    <n v="0"/>
    <x v="2"/>
  </r>
  <r>
    <x v="8"/>
    <m/>
    <s v="J121861511"/>
    <s v="王敏雄"/>
    <s v="SP"/>
    <n v="0"/>
    <n v="0"/>
    <n v="2"/>
    <n v="20736"/>
    <n v="1"/>
    <n v="1"/>
    <n v="0"/>
    <m/>
    <n v="0"/>
    <m/>
    <x v="0"/>
  </r>
  <r>
    <x v="8"/>
    <m/>
    <s v="O100782912"/>
    <s v="高映傑"/>
    <s v="CA"/>
    <n v="0"/>
    <n v="0"/>
    <n v="4"/>
    <n v="276346"/>
    <n v="1"/>
    <n v="1"/>
    <n v="1"/>
    <n v="0"/>
    <n v="1"/>
    <m/>
    <x v="0"/>
  </r>
  <r>
    <x v="8"/>
    <s v="J121861511"/>
    <s v="SP"/>
    <s v="王敏雄"/>
    <n v="2"/>
    <n v="0"/>
    <n v="0"/>
    <n v="6"/>
    <n v="297082"/>
    <n v="2"/>
    <n v="2"/>
    <n v="1"/>
    <n v="0"/>
    <n v="1"/>
    <n v="1"/>
    <x v="3"/>
  </r>
  <r>
    <x v="8"/>
    <m/>
    <s v="K221454939"/>
    <s v="闕佳玲"/>
    <s v="UM"/>
    <n v="1"/>
    <n v="3708"/>
    <n v="7"/>
    <n v="26980"/>
    <n v="1"/>
    <n v="1"/>
    <n v="1"/>
    <m/>
    <n v="1"/>
    <m/>
    <x v="0"/>
  </r>
  <r>
    <x v="8"/>
    <s v="K221454939"/>
    <s v="UM"/>
    <s v="闕佳玲"/>
    <n v="1"/>
    <n v="1"/>
    <n v="3708"/>
    <n v="7"/>
    <n v="26980"/>
    <n v="1"/>
    <n v="1"/>
    <n v="1"/>
    <n v="0"/>
    <n v="1"/>
    <n v="0"/>
    <x v="5"/>
  </r>
  <r>
    <x v="8"/>
    <m/>
    <s v="K222904803"/>
    <s v="鍾佳羽"/>
    <s v="SP"/>
    <n v="0"/>
    <n v="0"/>
    <n v="2"/>
    <n v="3159"/>
    <n v="1"/>
    <n v="0"/>
    <n v="0"/>
    <m/>
    <n v="0"/>
    <m/>
    <x v="0"/>
  </r>
  <r>
    <x v="8"/>
    <m/>
    <s v="Q124098257"/>
    <s v="鄭哲亞"/>
    <s v="CA"/>
    <n v="0"/>
    <n v="0"/>
    <n v="0"/>
    <n v="0"/>
    <n v="0"/>
    <n v="0"/>
    <n v="0"/>
    <n v="0"/>
    <n v="0"/>
    <m/>
    <x v="0"/>
  </r>
  <r>
    <x v="8"/>
    <m/>
    <s v="K222745251"/>
    <s v="劉鍶妍"/>
    <s v="CA"/>
    <n v="0"/>
    <n v="0"/>
    <n v="0"/>
    <n v="0"/>
    <n v="0"/>
    <n v="0"/>
    <n v="0"/>
    <n v="0"/>
    <n v="0"/>
    <m/>
    <x v="0"/>
  </r>
  <r>
    <x v="8"/>
    <m/>
    <s v="K122873730"/>
    <s v="曾翔駿"/>
    <s v="CA"/>
    <n v="0"/>
    <n v="0"/>
    <n v="0"/>
    <n v="0"/>
    <n v="0"/>
    <n v="0"/>
    <n v="0"/>
    <n v="1"/>
    <n v="0"/>
    <m/>
    <x v="0"/>
  </r>
  <r>
    <x v="8"/>
    <s v="K222904803"/>
    <s v="SP"/>
    <s v="鍾佳羽"/>
    <n v="4"/>
    <n v="0"/>
    <n v="0"/>
    <n v="2"/>
    <n v="3159"/>
    <n v="1"/>
    <n v="0"/>
    <n v="0"/>
    <n v="1"/>
    <n v="0"/>
    <n v="0"/>
    <x v="3"/>
  </r>
  <r>
    <x v="8"/>
    <m/>
    <s v="O200404488"/>
    <s v="郭庭瑄"/>
    <s v="SP"/>
    <n v="0"/>
    <n v="0"/>
    <n v="3"/>
    <n v="22333"/>
    <n v="1"/>
    <n v="1"/>
    <n v="0"/>
    <m/>
    <n v="0"/>
    <m/>
    <x v="0"/>
  </r>
  <r>
    <x v="8"/>
    <m/>
    <s v="O100338174"/>
    <s v="徐晟翔"/>
    <s v="CA"/>
    <n v="0"/>
    <n v="0"/>
    <n v="0"/>
    <n v="0"/>
    <n v="0"/>
    <n v="0"/>
    <n v="0"/>
    <n v="0"/>
    <n v="0"/>
    <m/>
    <x v="0"/>
  </r>
  <r>
    <x v="8"/>
    <s v="O200404488"/>
    <s v="SP"/>
    <s v="郭庭瑄"/>
    <n v="2"/>
    <n v="0"/>
    <n v="0"/>
    <n v="3"/>
    <n v="22333"/>
    <n v="1"/>
    <n v="1"/>
    <n v="0"/>
    <n v="0"/>
    <n v="0"/>
    <n v="0"/>
    <x v="3"/>
  </r>
  <r>
    <x v="8"/>
    <m/>
    <m/>
    <m/>
    <n v="42"/>
    <n v="3"/>
    <n v="38986"/>
    <n v="44"/>
    <n v="614342"/>
    <n v="21"/>
    <n v="14"/>
    <n v="7"/>
    <n v="6"/>
    <n v="7"/>
    <n v="1"/>
    <x v="0"/>
  </r>
  <r>
    <x v="9"/>
    <m/>
    <s v="J121541792"/>
    <s v="羅永成"/>
    <s v="DM"/>
    <n v="0"/>
    <n v="0"/>
    <n v="0"/>
    <n v="0"/>
    <n v="0"/>
    <n v="0"/>
    <n v="0"/>
    <m/>
    <n v="0"/>
    <m/>
    <x v="0"/>
  </r>
  <r>
    <x v="9"/>
    <s v="J121541792"/>
    <s v="DM"/>
    <s v="羅永成"/>
    <n v="1"/>
    <n v="0"/>
    <n v="0"/>
    <n v="0"/>
    <n v="0"/>
    <n v="0"/>
    <n v="0"/>
    <n v="0"/>
    <n v="0"/>
    <n v="0"/>
    <n v="0"/>
    <x v="1"/>
  </r>
  <r>
    <x v="9"/>
    <m/>
    <s v="J220955810"/>
    <s v="邱麗美"/>
    <s v="UM "/>
    <n v="0"/>
    <n v="0"/>
    <n v="0"/>
    <n v="0"/>
    <n v="0"/>
    <n v="0"/>
    <n v="0"/>
    <m/>
    <n v="0"/>
    <m/>
    <x v="0"/>
  </r>
  <r>
    <x v="9"/>
    <m/>
    <s v="F222609489"/>
    <s v="張育琇"/>
    <s v="CA "/>
    <n v="0"/>
    <n v="0"/>
    <n v="0"/>
    <n v="0"/>
    <n v="0"/>
    <n v="0"/>
    <n v="0"/>
    <n v="0"/>
    <n v="0"/>
    <m/>
    <x v="0"/>
  </r>
  <r>
    <x v="9"/>
    <s v="J220955810"/>
    <s v="UM"/>
    <s v="邱麗美"/>
    <n v="2"/>
    <n v="0"/>
    <n v="0"/>
    <n v="0"/>
    <n v="0"/>
    <n v="0"/>
    <n v="0"/>
    <n v="0"/>
    <n v="0"/>
    <n v="0"/>
    <n v="0"/>
    <x v="5"/>
  </r>
  <r>
    <x v="9"/>
    <m/>
    <s v="J220271800"/>
    <s v="陳淑敏"/>
    <s v="RSA(不計人力)"/>
    <n v="0"/>
    <n v="0"/>
    <n v="0"/>
    <n v="0"/>
    <m/>
    <m/>
    <m/>
    <m/>
    <m/>
    <m/>
    <x v="0"/>
  </r>
  <r>
    <x v="9"/>
    <s v="J220271800"/>
    <s v="RSA"/>
    <s v="陳淑敏"/>
    <m/>
    <n v="0"/>
    <n v="0"/>
    <n v="0"/>
    <n v="0"/>
    <m/>
    <m/>
    <m/>
    <m/>
    <m/>
    <m/>
    <x v="0"/>
  </r>
  <r>
    <x v="9"/>
    <m/>
    <s v="D220320161"/>
    <s v="戴淑惠"/>
    <s v="SP"/>
    <n v="0"/>
    <n v="0"/>
    <n v="2"/>
    <n v="39627"/>
    <n v="1"/>
    <n v="1"/>
    <n v="1"/>
    <m/>
    <n v="1"/>
    <m/>
    <x v="0"/>
  </r>
  <r>
    <x v="9"/>
    <m/>
    <s v="D122860853"/>
    <s v="林翰志"/>
    <s v="CA "/>
    <n v="0"/>
    <n v="0"/>
    <n v="0"/>
    <n v="0"/>
    <n v="0"/>
    <n v="0"/>
    <n v="0"/>
    <n v="0"/>
    <n v="0"/>
    <m/>
    <x v="0"/>
  </r>
  <r>
    <x v="9"/>
    <s v="D220320161"/>
    <s v="SP"/>
    <s v="戴淑惠"/>
    <n v="2"/>
    <n v="0"/>
    <n v="0"/>
    <n v="2"/>
    <n v="39627"/>
    <n v="1"/>
    <n v="1"/>
    <n v="1"/>
    <n v="0"/>
    <n v="1"/>
    <n v="1"/>
    <x v="3"/>
  </r>
  <r>
    <x v="9"/>
    <m/>
    <s v="J220280603"/>
    <s v="蔡春蓮"/>
    <s v="UM"/>
    <n v="2"/>
    <n v="32981"/>
    <n v="4"/>
    <n v="36298"/>
    <n v="1"/>
    <n v="1"/>
    <n v="1"/>
    <m/>
    <n v="1"/>
    <m/>
    <x v="0"/>
  </r>
  <r>
    <x v="9"/>
    <s v="J220280603"/>
    <s v="UM"/>
    <s v="蔡春蓮"/>
    <n v="1"/>
    <n v="2"/>
    <n v="32981"/>
    <n v="4"/>
    <n v="36298"/>
    <n v="1"/>
    <n v="1"/>
    <n v="1"/>
    <n v="0"/>
    <n v="1"/>
    <n v="0"/>
    <x v="5"/>
  </r>
  <r>
    <x v="9"/>
    <m/>
    <s v="R220878645"/>
    <s v="方秀華"/>
    <s v="UM"/>
    <n v="0"/>
    <n v="0"/>
    <n v="1"/>
    <n v="20639"/>
    <n v="1"/>
    <n v="1"/>
    <n v="0"/>
    <m/>
    <n v="0"/>
    <m/>
    <x v="0"/>
  </r>
  <r>
    <x v="9"/>
    <m/>
    <s v="J222933116"/>
    <s v="羅珮妤"/>
    <s v="CA "/>
    <n v="0"/>
    <n v="0"/>
    <n v="0"/>
    <n v="0"/>
    <n v="0"/>
    <n v="0"/>
    <n v="0"/>
    <n v="1"/>
    <n v="0"/>
    <m/>
    <x v="0"/>
  </r>
  <r>
    <x v="9"/>
    <s v="R220878645"/>
    <s v="UM"/>
    <s v="方秀華"/>
    <n v="2"/>
    <n v="0"/>
    <n v="0"/>
    <n v="1"/>
    <n v="20639"/>
    <n v="1"/>
    <n v="1"/>
    <n v="0"/>
    <n v="1"/>
    <n v="0"/>
    <n v="0"/>
    <x v="5"/>
  </r>
  <r>
    <x v="9"/>
    <m/>
    <s v="S221059592"/>
    <s v="陳秋姿"/>
    <s v="AM "/>
    <n v="0"/>
    <n v="0"/>
    <n v="0"/>
    <n v="0"/>
    <n v="0"/>
    <n v="0"/>
    <n v="0"/>
    <m/>
    <n v="0"/>
    <m/>
    <x v="0"/>
  </r>
  <r>
    <x v="9"/>
    <m/>
    <s v="J220929972"/>
    <s v="曾來春"/>
    <s v="CA "/>
    <n v="0"/>
    <n v="0"/>
    <n v="0"/>
    <n v="0"/>
    <n v="0"/>
    <n v="0"/>
    <n v="0"/>
    <n v="0"/>
    <n v="0"/>
    <m/>
    <x v="0"/>
  </r>
  <r>
    <x v="9"/>
    <m/>
    <s v="J223076647"/>
    <s v="賴怡蓁"/>
    <s v="CA "/>
    <n v="0"/>
    <n v="0"/>
    <n v="0"/>
    <n v="0"/>
    <n v="0"/>
    <n v="0"/>
    <n v="0"/>
    <n v="0"/>
    <n v="0"/>
    <m/>
    <x v="0"/>
  </r>
  <r>
    <x v="9"/>
    <s v="S221059592"/>
    <s v="AM"/>
    <s v="陳秋姿"/>
    <n v="3"/>
    <n v="0"/>
    <n v="0"/>
    <n v="0"/>
    <n v="0"/>
    <n v="0"/>
    <n v="0"/>
    <n v="0"/>
    <n v="0"/>
    <n v="0"/>
    <n v="0"/>
    <x v="2"/>
  </r>
  <r>
    <x v="9"/>
    <m/>
    <s v="K221113719"/>
    <s v="羅美秋"/>
    <s v="AM "/>
    <n v="0"/>
    <n v="0"/>
    <n v="0"/>
    <n v="0"/>
    <n v="0"/>
    <n v="0"/>
    <n v="0"/>
    <m/>
    <n v="0"/>
    <m/>
    <x v="0"/>
  </r>
  <r>
    <x v="9"/>
    <m/>
    <s v="J220956871"/>
    <s v="郭麗錦"/>
    <s v="CA "/>
    <n v="0"/>
    <n v="0"/>
    <n v="0"/>
    <n v="0"/>
    <n v="0"/>
    <n v="0"/>
    <n v="0"/>
    <n v="0"/>
    <n v="0"/>
    <m/>
    <x v="0"/>
  </r>
  <r>
    <x v="9"/>
    <m/>
    <s v="J122555496"/>
    <s v="余承軒"/>
    <s v="CA "/>
    <n v="0"/>
    <n v="0"/>
    <n v="3"/>
    <n v="26912"/>
    <n v="1"/>
    <n v="1"/>
    <n v="1"/>
    <n v="1"/>
    <n v="1"/>
    <m/>
    <x v="0"/>
  </r>
  <r>
    <x v="9"/>
    <m/>
    <s v="J122780079"/>
    <s v="侯佳志"/>
    <s v="CA "/>
    <n v="0"/>
    <n v="0"/>
    <n v="0"/>
    <n v="0"/>
    <n v="0"/>
    <n v="0"/>
    <n v="0"/>
    <n v="1"/>
    <n v="0"/>
    <m/>
    <x v="0"/>
  </r>
  <r>
    <x v="9"/>
    <m/>
    <s v="A220579045"/>
    <s v="宋力萍"/>
    <s v="CA "/>
    <n v="0"/>
    <n v="0"/>
    <n v="1"/>
    <n v="5512"/>
    <n v="1"/>
    <n v="0"/>
    <n v="0"/>
    <n v="0"/>
    <n v="0"/>
    <m/>
    <x v="0"/>
  </r>
  <r>
    <x v="9"/>
    <m/>
    <s v="A125270036"/>
    <s v="黃永成"/>
    <s v="CA "/>
    <n v="0"/>
    <n v="0"/>
    <n v="0"/>
    <n v="0"/>
    <n v="0"/>
    <n v="0"/>
    <n v="0"/>
    <n v="0"/>
    <n v="0"/>
    <m/>
    <x v="0"/>
  </r>
  <r>
    <x v="9"/>
    <s v="K221113719"/>
    <s v="AM"/>
    <s v="羅美秋"/>
    <n v="6"/>
    <n v="0"/>
    <n v="0"/>
    <n v="4"/>
    <n v="32424"/>
    <n v="2"/>
    <n v="1"/>
    <n v="1"/>
    <n v="2"/>
    <n v="1"/>
    <n v="0"/>
    <x v="2"/>
  </r>
  <r>
    <x v="9"/>
    <m/>
    <s v="B120085869"/>
    <s v="李正渭"/>
    <s v="SP "/>
    <n v="0"/>
    <n v="0"/>
    <n v="0"/>
    <n v="0"/>
    <n v="0"/>
    <n v="0"/>
    <n v="0"/>
    <m/>
    <n v="0"/>
    <m/>
    <x v="0"/>
  </r>
  <r>
    <x v="9"/>
    <s v="B120085869"/>
    <s v="SP"/>
    <s v="李正渭"/>
    <n v="1"/>
    <n v="0"/>
    <n v="0"/>
    <n v="0"/>
    <n v="0"/>
    <n v="0"/>
    <n v="0"/>
    <n v="0"/>
    <n v="0"/>
    <n v="0"/>
    <n v="0"/>
    <x v="3"/>
  </r>
  <r>
    <x v="9"/>
    <m/>
    <s v="J220955801"/>
    <s v="邱美芳"/>
    <s v="AM "/>
    <n v="0"/>
    <n v="0"/>
    <n v="1"/>
    <n v="25269"/>
    <n v="1"/>
    <n v="1"/>
    <n v="1"/>
    <m/>
    <n v="1"/>
    <m/>
    <x v="0"/>
  </r>
  <r>
    <x v="9"/>
    <s v="J220955801"/>
    <s v="AM"/>
    <s v="邱美芳"/>
    <n v="1"/>
    <n v="0"/>
    <n v="0"/>
    <n v="1"/>
    <n v="25269"/>
    <n v="1"/>
    <n v="1"/>
    <n v="1"/>
    <n v="0"/>
    <n v="1"/>
    <n v="0"/>
    <x v="2"/>
  </r>
  <r>
    <x v="9"/>
    <m/>
    <s v="T220343130"/>
    <s v="廖秋瑩"/>
    <s v="UM"/>
    <n v="0"/>
    <n v="0"/>
    <n v="1"/>
    <n v="28800"/>
    <n v="1"/>
    <n v="1"/>
    <n v="1"/>
    <m/>
    <n v="1"/>
    <m/>
    <x v="0"/>
  </r>
  <r>
    <x v="9"/>
    <m/>
    <s v="P221190979"/>
    <s v="曾淑娟"/>
    <s v="CA "/>
    <n v="0"/>
    <n v="0"/>
    <n v="1"/>
    <n v="19897"/>
    <n v="1"/>
    <n v="1"/>
    <n v="0"/>
    <n v="1"/>
    <n v="1"/>
    <m/>
    <x v="0"/>
  </r>
  <r>
    <x v="9"/>
    <s v="T220343130"/>
    <s v="UM"/>
    <s v="廖秋瑩"/>
    <n v="2"/>
    <n v="0"/>
    <n v="0"/>
    <n v="2"/>
    <n v="48697"/>
    <n v="2"/>
    <n v="2"/>
    <n v="1"/>
    <n v="1"/>
    <n v="2"/>
    <n v="0"/>
    <x v="5"/>
  </r>
  <r>
    <x v="9"/>
    <m/>
    <s v="E123554873"/>
    <s v="陳奕均"/>
    <s v="SP"/>
    <n v="0"/>
    <n v="0"/>
    <n v="1"/>
    <n v="11812"/>
    <n v="1"/>
    <n v="0"/>
    <n v="0"/>
    <m/>
    <n v="0"/>
    <m/>
    <x v="0"/>
  </r>
  <r>
    <x v="9"/>
    <m/>
    <s v="A223288274"/>
    <s v="邵月足"/>
    <s v="CA"/>
    <n v="0"/>
    <n v="0"/>
    <n v="0"/>
    <n v="0"/>
    <n v="0"/>
    <n v="0"/>
    <n v="0"/>
    <n v="0"/>
    <n v="0"/>
    <m/>
    <x v="0"/>
  </r>
  <r>
    <x v="9"/>
    <s v="E123554873"/>
    <s v="SP"/>
    <s v="陳奕均"/>
    <n v="2"/>
    <n v="0"/>
    <n v="0"/>
    <n v="1"/>
    <n v="11812"/>
    <n v="1"/>
    <n v="0"/>
    <n v="0"/>
    <n v="0"/>
    <n v="0"/>
    <n v="0"/>
    <x v="3"/>
  </r>
  <r>
    <x v="9"/>
    <m/>
    <s v="J222598313"/>
    <s v="葉又寧"/>
    <s v="AM"/>
    <n v="0"/>
    <n v="0"/>
    <n v="2"/>
    <n v="32143"/>
    <n v="1"/>
    <n v="1"/>
    <n v="1"/>
    <m/>
    <n v="1"/>
    <m/>
    <x v="0"/>
  </r>
  <r>
    <x v="9"/>
    <s v="J222598313"/>
    <s v="AM"/>
    <s v="葉又寧"/>
    <n v="1"/>
    <n v="0"/>
    <n v="0"/>
    <n v="2"/>
    <n v="32143"/>
    <n v="1"/>
    <n v="1"/>
    <n v="1"/>
    <n v="0"/>
    <n v="1"/>
    <n v="0"/>
    <x v="2"/>
  </r>
  <r>
    <x v="9"/>
    <m/>
    <s v="K221137166"/>
    <s v="袁忻辰"/>
    <s v="UM"/>
    <n v="0"/>
    <n v="0"/>
    <n v="0"/>
    <n v="0"/>
    <n v="0"/>
    <n v="0"/>
    <n v="0"/>
    <m/>
    <n v="0"/>
    <m/>
    <x v="0"/>
  </r>
  <r>
    <x v="9"/>
    <m/>
    <s v="K223216839"/>
    <s v="林于騏"/>
    <s v="CA"/>
    <n v="0"/>
    <n v="0"/>
    <n v="1"/>
    <n v="4411"/>
    <n v="1"/>
    <n v="0"/>
    <n v="0"/>
    <n v="0"/>
    <n v="0"/>
    <m/>
    <x v="0"/>
  </r>
  <r>
    <x v="9"/>
    <s v="K221137166"/>
    <s v="UM"/>
    <s v="袁忻辰"/>
    <n v="2"/>
    <n v="0"/>
    <n v="0"/>
    <n v="1"/>
    <n v="4411"/>
    <n v="1"/>
    <n v="0"/>
    <n v="0"/>
    <n v="0"/>
    <n v="0"/>
    <n v="0"/>
    <x v="5"/>
  </r>
  <r>
    <x v="9"/>
    <m/>
    <s v="C220728175"/>
    <s v="高璟婉"/>
    <s v="SP"/>
    <n v="0"/>
    <n v="0"/>
    <n v="0"/>
    <n v="0"/>
    <n v="0"/>
    <n v="0"/>
    <n v="0"/>
    <m/>
    <n v="0"/>
    <m/>
    <x v="0"/>
  </r>
  <r>
    <x v="9"/>
    <m/>
    <s v="L223140278"/>
    <s v="李淑慧"/>
    <s v="CA"/>
    <n v="0"/>
    <n v="0"/>
    <n v="2"/>
    <n v="4550"/>
    <n v="1"/>
    <n v="0"/>
    <n v="0"/>
    <n v="0"/>
    <n v="0"/>
    <m/>
    <x v="0"/>
  </r>
  <r>
    <x v="9"/>
    <s v="C220728175"/>
    <s v="SP"/>
    <s v="高璟婉"/>
    <n v="2"/>
    <n v="0"/>
    <n v="0"/>
    <n v="2"/>
    <n v="4550"/>
    <n v="1"/>
    <n v="0"/>
    <n v="0"/>
    <n v="0"/>
    <n v="0"/>
    <n v="0"/>
    <x v="3"/>
  </r>
  <r>
    <x v="9"/>
    <m/>
    <s v="J221687240"/>
    <s v="林麗嬌"/>
    <s v="AM"/>
    <n v="0"/>
    <n v="0"/>
    <n v="1"/>
    <n v="9900"/>
    <n v="1"/>
    <n v="0"/>
    <n v="0"/>
    <m/>
    <n v="0"/>
    <m/>
    <x v="0"/>
  </r>
  <r>
    <x v="9"/>
    <m/>
    <s v="E222578255"/>
    <s v="侯郁伶"/>
    <s v="CA"/>
    <n v="1"/>
    <n v="32102"/>
    <n v="1"/>
    <n v="32102"/>
    <n v="1"/>
    <n v="1"/>
    <n v="1"/>
    <n v="1"/>
    <n v="1"/>
    <m/>
    <x v="0"/>
  </r>
  <r>
    <x v="9"/>
    <s v="J221687240"/>
    <s v="AM"/>
    <s v="林麗嬌"/>
    <n v="2"/>
    <n v="1"/>
    <n v="32102"/>
    <n v="2"/>
    <n v="42002"/>
    <n v="2"/>
    <n v="1"/>
    <n v="1"/>
    <n v="1"/>
    <n v="1"/>
    <n v="0"/>
    <x v="2"/>
  </r>
  <r>
    <x v="9"/>
    <m/>
    <s v="E223715010"/>
    <s v="徐蕙田"/>
    <s v="UM"/>
    <n v="0"/>
    <n v="0"/>
    <n v="7"/>
    <n v="23939"/>
    <n v="1"/>
    <n v="1"/>
    <n v="0"/>
    <m/>
    <n v="0"/>
    <m/>
    <x v="0"/>
  </r>
  <r>
    <x v="9"/>
    <m/>
    <s v="J222321385"/>
    <s v="陳夢君"/>
    <s v="CA"/>
    <n v="0"/>
    <n v="0"/>
    <n v="0"/>
    <n v="0"/>
    <n v="0"/>
    <n v="0"/>
    <n v="0"/>
    <n v="1"/>
    <n v="0"/>
    <m/>
    <x v="0"/>
  </r>
  <r>
    <x v="9"/>
    <m/>
    <s v="J120396202"/>
    <s v="王瑞銘"/>
    <s v="CA"/>
    <n v="0"/>
    <n v="0"/>
    <n v="2"/>
    <n v="33591"/>
    <n v="1"/>
    <n v="1"/>
    <n v="1"/>
    <n v="0"/>
    <n v="1"/>
    <m/>
    <x v="0"/>
  </r>
  <r>
    <x v="9"/>
    <m/>
    <s v="K122966650"/>
    <s v="邱俊嘉"/>
    <s v="CA"/>
    <n v="0"/>
    <n v="0"/>
    <n v="0"/>
    <n v="0"/>
    <n v="0"/>
    <n v="0"/>
    <n v="0"/>
    <n v="1"/>
    <n v="0"/>
    <m/>
    <x v="0"/>
  </r>
  <r>
    <x v="9"/>
    <s v="E223715010"/>
    <s v="UM"/>
    <s v="徐蕙田"/>
    <n v="4"/>
    <n v="0"/>
    <n v="0"/>
    <n v="9"/>
    <n v="57530"/>
    <n v="2"/>
    <n v="2"/>
    <n v="1"/>
    <n v="2"/>
    <n v="1"/>
    <n v="0"/>
    <x v="5"/>
  </r>
  <r>
    <x v="9"/>
    <m/>
    <s v="E124216701"/>
    <s v="徐忠田"/>
    <s v="AM"/>
    <n v="0"/>
    <n v="0"/>
    <n v="5"/>
    <n v="57841"/>
    <n v="1"/>
    <n v="1"/>
    <n v="1"/>
    <m/>
    <n v="1"/>
    <m/>
    <x v="0"/>
  </r>
  <r>
    <x v="9"/>
    <s v="E124216701"/>
    <s v="AM"/>
    <s v="徐忠田"/>
    <n v="1"/>
    <n v="0"/>
    <n v="0"/>
    <n v="5"/>
    <n v="57841"/>
    <n v="1"/>
    <n v="1"/>
    <n v="1"/>
    <n v="0"/>
    <n v="1"/>
    <n v="0"/>
    <x v="2"/>
  </r>
  <r>
    <x v="9"/>
    <m/>
    <s v="J121926320"/>
    <s v="盧育達"/>
    <s v="UM"/>
    <n v="0"/>
    <n v="0"/>
    <n v="0"/>
    <n v="0"/>
    <n v="0"/>
    <n v="0"/>
    <n v="0"/>
    <m/>
    <n v="0"/>
    <m/>
    <x v="0"/>
  </r>
  <r>
    <x v="9"/>
    <m/>
    <s v="O200351231"/>
    <s v="溫雨晨(育停)"/>
    <m/>
    <n v="0"/>
    <n v="0"/>
    <n v="0"/>
    <n v="0"/>
    <m/>
    <m/>
    <m/>
    <m/>
    <m/>
    <m/>
    <x v="0"/>
  </r>
  <r>
    <x v="9"/>
    <m/>
    <s v="U221230384"/>
    <s v="林曉怡"/>
    <s v="CA"/>
    <n v="0"/>
    <n v="0"/>
    <n v="1"/>
    <n v="4614"/>
    <n v="1"/>
    <n v="0"/>
    <n v="0"/>
    <n v="0"/>
    <n v="0"/>
    <m/>
    <x v="0"/>
  </r>
  <r>
    <x v="9"/>
    <m/>
    <s v="K121950247"/>
    <s v="徐育靖"/>
    <s v="CA"/>
    <n v="0"/>
    <n v="0"/>
    <n v="0"/>
    <n v="0"/>
    <n v="0"/>
    <n v="0"/>
    <n v="0"/>
    <n v="0"/>
    <n v="0"/>
    <m/>
    <x v="0"/>
  </r>
  <r>
    <x v="9"/>
    <s v="J121926320"/>
    <s v="UM"/>
    <s v="盧育達"/>
    <n v="3"/>
    <n v="0"/>
    <n v="0"/>
    <n v="1"/>
    <n v="4614"/>
    <n v="1"/>
    <n v="0"/>
    <n v="0"/>
    <n v="0"/>
    <n v="0"/>
    <n v="0"/>
    <x v="5"/>
  </r>
  <r>
    <x v="9"/>
    <m/>
    <s v="P223983534"/>
    <s v="陳姳如(育停)"/>
    <m/>
    <n v="0"/>
    <n v="0"/>
    <n v="0"/>
    <n v="0"/>
    <m/>
    <m/>
    <m/>
    <m/>
    <m/>
    <m/>
    <x v="0"/>
  </r>
  <r>
    <x v="9"/>
    <s v="P223983534"/>
    <m/>
    <s v="陳姳如"/>
    <n v="0"/>
    <n v="0"/>
    <n v="0"/>
    <n v="0"/>
    <n v="0"/>
    <n v="0"/>
    <n v="0"/>
    <n v="0"/>
    <n v="0"/>
    <n v="0"/>
    <n v="0"/>
    <x v="9"/>
  </r>
  <r>
    <x v="9"/>
    <m/>
    <m/>
    <m/>
    <n v="38"/>
    <n v="3"/>
    <n v="65083"/>
    <n v="37"/>
    <n v="417857"/>
    <n v="18"/>
    <n v="12"/>
    <n v="9"/>
    <n v="7"/>
    <n v="10"/>
    <n v="1"/>
    <x v="0"/>
  </r>
  <r>
    <x v="10"/>
    <m/>
    <s v="J120249904"/>
    <s v="陳俊郎"/>
    <s v="DM"/>
    <n v="0"/>
    <n v="0"/>
    <n v="0"/>
    <n v="0"/>
    <n v="0"/>
    <n v="0"/>
    <n v="0"/>
    <m/>
    <n v="0"/>
    <m/>
    <x v="0"/>
  </r>
  <r>
    <x v="10"/>
    <m/>
    <s v="J122985163"/>
    <s v="邱重瑋"/>
    <s v="CA"/>
    <n v="0"/>
    <n v="0"/>
    <n v="0"/>
    <n v="0"/>
    <n v="0"/>
    <n v="0"/>
    <n v="0"/>
    <n v="1"/>
    <n v="0"/>
    <m/>
    <x v="0"/>
  </r>
  <r>
    <x v="10"/>
    <m/>
    <s v="T122968795"/>
    <s v="江森正"/>
    <s v="CA"/>
    <n v="0"/>
    <n v="0"/>
    <n v="0"/>
    <n v="0"/>
    <n v="0"/>
    <n v="0"/>
    <n v="0"/>
    <n v="1"/>
    <n v="0"/>
    <m/>
    <x v="0"/>
  </r>
  <r>
    <x v="10"/>
    <m/>
    <s v="O200612168"/>
    <s v="陳思妤"/>
    <s v="CA"/>
    <n v="0"/>
    <n v="0"/>
    <n v="0"/>
    <n v="0"/>
    <n v="0"/>
    <n v="0"/>
    <n v="0"/>
    <n v="1"/>
    <n v="0"/>
    <m/>
    <x v="0"/>
  </r>
  <r>
    <x v="10"/>
    <m/>
    <s v="J123137581"/>
    <s v="盧達民"/>
    <s v="CA"/>
    <n v="0"/>
    <n v="0"/>
    <n v="0"/>
    <n v="0"/>
    <n v="0"/>
    <n v="0"/>
    <n v="0"/>
    <n v="1"/>
    <n v="0"/>
    <m/>
    <x v="0"/>
  </r>
  <r>
    <x v="10"/>
    <m/>
    <s v="F123118458"/>
    <s v="張森智"/>
    <s v="CA"/>
    <n v="0"/>
    <n v="0"/>
    <n v="0"/>
    <n v="0"/>
    <n v="0"/>
    <n v="0"/>
    <n v="0"/>
    <n v="0"/>
    <n v="0"/>
    <m/>
    <x v="0"/>
  </r>
  <r>
    <x v="10"/>
    <m/>
    <s v="Y220339175"/>
    <s v="許雯琪"/>
    <s v="CA"/>
    <n v="0"/>
    <n v="0"/>
    <n v="0"/>
    <n v="0"/>
    <n v="0"/>
    <n v="0"/>
    <n v="0"/>
    <n v="0"/>
    <n v="0"/>
    <m/>
    <x v="0"/>
  </r>
  <r>
    <x v="10"/>
    <m/>
    <s v="J222545965"/>
    <s v="林遠珍"/>
    <s v="CA"/>
    <n v="0"/>
    <n v="0"/>
    <n v="0"/>
    <n v="0"/>
    <n v="0"/>
    <n v="0"/>
    <n v="0"/>
    <n v="0"/>
    <n v="0"/>
    <m/>
    <x v="0"/>
  </r>
  <r>
    <x v="10"/>
    <m/>
    <s v="J221921069"/>
    <s v="陳筱棋"/>
    <s v="CA"/>
    <n v="0"/>
    <n v="0"/>
    <n v="1"/>
    <n v="1100"/>
    <n v="1"/>
    <n v="0"/>
    <n v="0"/>
    <n v="0"/>
    <n v="0"/>
    <m/>
    <x v="0"/>
  </r>
  <r>
    <x v="10"/>
    <m/>
    <s v="K120797282"/>
    <s v="林海峯"/>
    <s v="CA"/>
    <n v="0"/>
    <n v="0"/>
    <n v="0"/>
    <n v="0"/>
    <n v="0"/>
    <n v="0"/>
    <n v="0"/>
    <n v="0"/>
    <n v="0"/>
    <m/>
    <x v="0"/>
  </r>
  <r>
    <x v="10"/>
    <m/>
    <s v="T121114891"/>
    <s v="梁國明"/>
    <s v="CA"/>
    <n v="0"/>
    <n v="0"/>
    <n v="0"/>
    <n v="0"/>
    <n v="0"/>
    <n v="0"/>
    <n v="0"/>
    <n v="0"/>
    <n v="0"/>
    <m/>
    <x v="0"/>
  </r>
  <r>
    <x v="10"/>
    <m/>
    <s v="O200595797"/>
    <s v="梁語恬"/>
    <s v="CA"/>
    <n v="0"/>
    <n v="0"/>
    <n v="0"/>
    <n v="0"/>
    <n v="0"/>
    <n v="0"/>
    <n v="0"/>
    <n v="1"/>
    <n v="0"/>
    <m/>
    <x v="0"/>
  </r>
  <r>
    <x v="10"/>
    <m/>
    <s v="J220222478"/>
    <s v="林亭妤"/>
    <s v="CA"/>
    <n v="0"/>
    <n v="0"/>
    <n v="0"/>
    <n v="0"/>
    <n v="0"/>
    <n v="0"/>
    <n v="0"/>
    <n v="0"/>
    <n v="0"/>
    <m/>
    <x v="0"/>
  </r>
  <r>
    <x v="10"/>
    <m/>
    <s v="N221622439"/>
    <s v="吳念庭"/>
    <s v="CA"/>
    <n v="0"/>
    <n v="0"/>
    <n v="0"/>
    <n v="0"/>
    <n v="0"/>
    <n v="0"/>
    <n v="0"/>
    <n v="0"/>
    <n v="0"/>
    <m/>
    <x v="0"/>
  </r>
  <r>
    <x v="10"/>
    <m/>
    <s v="J221646552"/>
    <s v="劉陳怡君"/>
    <s v="CA"/>
    <n v="0"/>
    <n v="0"/>
    <n v="0"/>
    <n v="0"/>
    <n v="0"/>
    <n v="0"/>
    <n v="0"/>
    <n v="0"/>
    <n v="0"/>
    <m/>
    <x v="0"/>
  </r>
  <r>
    <x v="10"/>
    <m/>
    <s v="A220279835"/>
    <s v="林雅婷"/>
    <s v="CA"/>
    <n v="0"/>
    <n v="0"/>
    <n v="0"/>
    <n v="12016"/>
    <n v="0"/>
    <n v="1"/>
    <n v="0"/>
    <n v="0"/>
    <n v="0"/>
    <m/>
    <x v="0"/>
  </r>
  <r>
    <x v="10"/>
    <m/>
    <s v="P222195754"/>
    <s v="王儷靜"/>
    <s v="CA"/>
    <n v="0"/>
    <n v="0"/>
    <n v="0"/>
    <n v="0"/>
    <n v="0"/>
    <n v="0"/>
    <n v="0"/>
    <n v="0"/>
    <n v="0"/>
    <m/>
    <x v="0"/>
  </r>
  <r>
    <x v="10"/>
    <m/>
    <s v="P222270430"/>
    <s v="林雅慧"/>
    <s v="CA"/>
    <n v="0"/>
    <n v="0"/>
    <n v="0"/>
    <n v="0"/>
    <n v="0"/>
    <n v="0"/>
    <n v="0"/>
    <n v="0"/>
    <n v="0"/>
    <m/>
    <x v="0"/>
  </r>
  <r>
    <x v="10"/>
    <m/>
    <s v="J222324671"/>
    <s v="藍彥如"/>
    <s v="CA"/>
    <n v="0"/>
    <n v="0"/>
    <n v="0"/>
    <n v="0"/>
    <n v="0"/>
    <n v="0"/>
    <n v="0"/>
    <n v="0"/>
    <n v="0"/>
    <m/>
    <x v="0"/>
  </r>
  <r>
    <x v="10"/>
    <m/>
    <s v="K220628113"/>
    <s v="張鈺伶"/>
    <s v="CA"/>
    <n v="0"/>
    <n v="0"/>
    <n v="0"/>
    <n v="0"/>
    <n v="0"/>
    <n v="0"/>
    <n v="0"/>
    <n v="0"/>
    <n v="0"/>
    <m/>
    <x v="0"/>
  </r>
  <r>
    <x v="10"/>
    <s v="J120249904"/>
    <s v="DM"/>
    <s v="陳俊郎"/>
    <n v="20"/>
    <n v="0"/>
    <n v="0"/>
    <n v="1"/>
    <n v="13116"/>
    <n v="1"/>
    <n v="1"/>
    <n v="0"/>
    <n v="5"/>
    <n v="0"/>
    <n v="0"/>
    <x v="1"/>
  </r>
  <r>
    <x v="10"/>
    <m/>
    <s v="N222026655"/>
    <s v="高美惠"/>
    <s v="SP"/>
    <n v="0"/>
    <n v="0"/>
    <n v="0"/>
    <n v="0"/>
    <n v="0"/>
    <n v="0"/>
    <n v="0"/>
    <m/>
    <n v="0"/>
    <m/>
    <x v="0"/>
  </r>
  <r>
    <x v="10"/>
    <m/>
    <s v="U120771795"/>
    <s v="鄭德福"/>
    <s v="CA"/>
    <n v="0"/>
    <n v="0"/>
    <n v="0"/>
    <n v="0"/>
    <n v="0"/>
    <n v="0"/>
    <n v="0"/>
    <n v="1"/>
    <n v="0"/>
    <m/>
    <x v="0"/>
  </r>
  <r>
    <x v="10"/>
    <m/>
    <s v="O200203623"/>
    <s v="曾鈺婷"/>
    <s v="CA"/>
    <n v="0"/>
    <n v="0"/>
    <n v="1"/>
    <n v="13416"/>
    <n v="1"/>
    <n v="1"/>
    <n v="0"/>
    <n v="1"/>
    <n v="0"/>
    <m/>
    <x v="0"/>
  </r>
  <r>
    <x v="10"/>
    <s v="N222026655"/>
    <s v="SP"/>
    <s v="高美惠"/>
    <n v="3"/>
    <n v="0"/>
    <n v="0"/>
    <n v="1"/>
    <n v="13416"/>
    <n v="1"/>
    <n v="1"/>
    <n v="0"/>
    <n v="2"/>
    <n v="0"/>
    <n v="0"/>
    <x v="3"/>
  </r>
  <r>
    <x v="10"/>
    <m/>
    <s v="E201509223"/>
    <s v="蘇慰慈"/>
    <s v="MS"/>
    <n v="1"/>
    <n v="895"/>
    <n v="2"/>
    <n v="28383"/>
    <n v="1"/>
    <n v="1"/>
    <n v="1"/>
    <m/>
    <n v="1"/>
    <m/>
    <x v="0"/>
  </r>
  <r>
    <x v="10"/>
    <s v="E201509223"/>
    <s v="MS"/>
    <s v="蘇慰慈"/>
    <n v="1"/>
    <n v="1"/>
    <n v="895"/>
    <n v="2"/>
    <n v="28383"/>
    <n v="1"/>
    <n v="1"/>
    <n v="1"/>
    <n v="0"/>
    <n v="1"/>
    <n v="0"/>
    <x v="4"/>
  </r>
  <r>
    <x v="10"/>
    <m/>
    <s v="S221584563"/>
    <s v="蔡明玲"/>
    <s v="SP"/>
    <n v="0"/>
    <n v="0"/>
    <n v="0"/>
    <n v="0"/>
    <n v="0"/>
    <n v="0"/>
    <n v="0"/>
    <m/>
    <n v="0"/>
    <m/>
    <x v="0"/>
  </r>
  <r>
    <x v="10"/>
    <m/>
    <s v="S224256744"/>
    <s v="李采軒"/>
    <s v="CA"/>
    <n v="0"/>
    <n v="0"/>
    <n v="0"/>
    <n v="0"/>
    <n v="0"/>
    <n v="0"/>
    <n v="0"/>
    <n v="0"/>
    <n v="0"/>
    <m/>
    <x v="0"/>
  </r>
  <r>
    <x v="10"/>
    <s v="S221584563"/>
    <s v="SP"/>
    <s v="蔡明玲"/>
    <n v="2"/>
    <n v="0"/>
    <n v="0"/>
    <n v="0"/>
    <n v="0"/>
    <n v="0"/>
    <n v="0"/>
    <n v="0"/>
    <n v="0"/>
    <n v="0"/>
    <n v="0"/>
    <x v="3"/>
  </r>
  <r>
    <x v="10"/>
    <m/>
    <s v="H221741293"/>
    <s v="姜懷英"/>
    <s v="UM"/>
    <n v="0"/>
    <n v="0"/>
    <n v="1"/>
    <n v="4200"/>
    <n v="1"/>
    <n v="0"/>
    <n v="0"/>
    <m/>
    <n v="0"/>
    <m/>
    <x v="0"/>
  </r>
  <r>
    <x v="10"/>
    <m/>
    <s v="B220747197"/>
    <s v="賴紋淑"/>
    <s v="CA"/>
    <n v="0"/>
    <n v="0"/>
    <n v="0"/>
    <n v="0"/>
    <n v="0"/>
    <n v="0"/>
    <n v="0"/>
    <n v="1"/>
    <n v="0"/>
    <m/>
    <x v="0"/>
  </r>
  <r>
    <x v="10"/>
    <m/>
    <s v="F225002348"/>
    <s v="鄒明潔"/>
    <s v="CA"/>
    <n v="0"/>
    <n v="0"/>
    <n v="0"/>
    <n v="0"/>
    <n v="0"/>
    <n v="0"/>
    <n v="0"/>
    <n v="1"/>
    <n v="0"/>
    <m/>
    <x v="0"/>
  </r>
  <r>
    <x v="10"/>
    <m/>
    <s v="L221661970"/>
    <s v="郭嘉讌"/>
    <s v="CA"/>
    <n v="0"/>
    <n v="0"/>
    <n v="0"/>
    <n v="0"/>
    <n v="0"/>
    <n v="0"/>
    <n v="0"/>
    <n v="0"/>
    <n v="0"/>
    <m/>
    <x v="0"/>
  </r>
  <r>
    <x v="10"/>
    <s v="H221741293"/>
    <s v="UM"/>
    <s v="姜懷英"/>
    <n v="4"/>
    <n v="0"/>
    <n v="0"/>
    <n v="1"/>
    <n v="4200"/>
    <n v="1"/>
    <n v="0"/>
    <n v="0"/>
    <n v="2"/>
    <n v="0"/>
    <n v="0"/>
    <x v="5"/>
  </r>
  <r>
    <x v="10"/>
    <m/>
    <s v="H221974149"/>
    <s v="黃淑娟"/>
    <s v="SP"/>
    <n v="3"/>
    <n v="131801"/>
    <n v="3"/>
    <n v="131801"/>
    <n v="1"/>
    <n v="1"/>
    <n v="1"/>
    <m/>
    <n v="1"/>
    <m/>
    <x v="0"/>
  </r>
  <r>
    <x v="10"/>
    <s v="H221974149"/>
    <s v="SP"/>
    <s v="黃淑娟"/>
    <n v="1"/>
    <n v="3"/>
    <n v="131801"/>
    <n v="3"/>
    <n v="131801"/>
    <n v="1"/>
    <n v="1"/>
    <n v="1"/>
    <n v="0"/>
    <n v="1"/>
    <n v="0"/>
    <x v="3"/>
  </r>
  <r>
    <x v="10"/>
    <m/>
    <s v="A221527189"/>
    <s v="謝淑雲"/>
    <s v="AM"/>
    <n v="0"/>
    <n v="0"/>
    <n v="0"/>
    <n v="0"/>
    <n v="0"/>
    <n v="0"/>
    <n v="0"/>
    <m/>
    <n v="0"/>
    <m/>
    <x v="0"/>
  </r>
  <r>
    <x v="10"/>
    <m/>
    <s v="J221399950"/>
    <s v="何桂香"/>
    <s v="CA"/>
    <n v="0"/>
    <n v="0"/>
    <n v="0"/>
    <n v="0"/>
    <n v="0"/>
    <n v="0"/>
    <n v="0"/>
    <n v="0"/>
    <n v="0"/>
    <m/>
    <x v="0"/>
  </r>
  <r>
    <x v="10"/>
    <m/>
    <s v="J122729638"/>
    <s v="李祁珉"/>
    <s v="CA"/>
    <n v="0"/>
    <n v="0"/>
    <n v="0"/>
    <n v="0"/>
    <n v="0"/>
    <n v="0"/>
    <n v="0"/>
    <n v="0"/>
    <n v="0"/>
    <m/>
    <x v="0"/>
  </r>
  <r>
    <x v="10"/>
    <s v="A221527189"/>
    <s v="AM"/>
    <s v="謝淑雲"/>
    <n v="3"/>
    <n v="0"/>
    <n v="0"/>
    <n v="0"/>
    <n v="0"/>
    <n v="0"/>
    <n v="0"/>
    <n v="0"/>
    <n v="0"/>
    <n v="0"/>
    <n v="0"/>
    <x v="2"/>
  </r>
  <r>
    <x v="10"/>
    <m/>
    <s v="K223397151"/>
    <s v="黃惠馨"/>
    <s v="AM"/>
    <n v="0"/>
    <n v="0"/>
    <n v="0"/>
    <n v="0"/>
    <n v="0"/>
    <n v="0"/>
    <n v="0"/>
    <m/>
    <n v="0"/>
    <m/>
    <x v="0"/>
  </r>
  <r>
    <x v="10"/>
    <m/>
    <s v="A229353967"/>
    <s v="白蓁容"/>
    <s v="CA"/>
    <n v="0"/>
    <n v="0"/>
    <n v="0"/>
    <n v="0"/>
    <n v="0"/>
    <n v="0"/>
    <n v="0"/>
    <n v="0"/>
    <n v="0"/>
    <m/>
    <x v="0"/>
  </r>
  <r>
    <x v="10"/>
    <s v="K223397151"/>
    <s v="AM"/>
    <s v="黃惠馨"/>
    <n v="2"/>
    <n v="0"/>
    <n v="0"/>
    <n v="0"/>
    <n v="0"/>
    <n v="0"/>
    <n v="0"/>
    <n v="0"/>
    <n v="0"/>
    <n v="0"/>
    <n v="0"/>
    <x v="2"/>
  </r>
  <r>
    <x v="10"/>
    <m/>
    <s v="J221233135"/>
    <s v="劉麗梅"/>
    <s v="AM"/>
    <n v="0"/>
    <n v="0"/>
    <n v="0"/>
    <n v="0"/>
    <n v="0"/>
    <n v="0"/>
    <n v="0"/>
    <m/>
    <n v="0"/>
    <m/>
    <x v="0"/>
  </r>
  <r>
    <x v="10"/>
    <m/>
    <s v="B222757539"/>
    <s v="黃莉詠"/>
    <s v="CA"/>
    <n v="0"/>
    <n v="0"/>
    <n v="0"/>
    <n v="0"/>
    <n v="0"/>
    <n v="0"/>
    <n v="0"/>
    <n v="1"/>
    <n v="0"/>
    <m/>
    <x v="0"/>
  </r>
  <r>
    <x v="10"/>
    <s v="J221233135"/>
    <s v="AM"/>
    <s v="劉麗梅"/>
    <n v="2"/>
    <n v="0"/>
    <n v="0"/>
    <n v="0"/>
    <n v="0"/>
    <n v="0"/>
    <n v="0"/>
    <n v="0"/>
    <n v="1"/>
    <n v="0"/>
    <n v="0"/>
    <x v="2"/>
  </r>
  <r>
    <x v="10"/>
    <m/>
    <s v="J221378737"/>
    <s v="張明琴"/>
    <s v="UM"/>
    <n v="0"/>
    <n v="0"/>
    <n v="3"/>
    <n v="26686"/>
    <n v="1"/>
    <n v="1"/>
    <n v="1"/>
    <m/>
    <n v="1"/>
    <m/>
    <x v="0"/>
  </r>
  <r>
    <x v="10"/>
    <m/>
    <s v="J221933247"/>
    <s v="古金玉"/>
    <s v="CA"/>
    <n v="1"/>
    <n v="8556"/>
    <n v="1"/>
    <n v="8556"/>
    <n v="1"/>
    <n v="0"/>
    <n v="0"/>
    <n v="1"/>
    <n v="0"/>
    <m/>
    <x v="0"/>
  </r>
  <r>
    <x v="10"/>
    <m/>
    <s v="J222840910"/>
    <s v="翁詣涵"/>
    <s v="CA"/>
    <n v="0"/>
    <n v="0"/>
    <n v="0"/>
    <n v="0"/>
    <n v="0"/>
    <n v="0"/>
    <n v="0"/>
    <n v="0"/>
    <n v="0"/>
    <m/>
    <x v="0"/>
  </r>
  <r>
    <x v="10"/>
    <s v="J221378737"/>
    <s v="UM"/>
    <s v="張明琴"/>
    <n v="3"/>
    <n v="1"/>
    <n v="8556"/>
    <n v="4"/>
    <n v="35242"/>
    <n v="2"/>
    <n v="1"/>
    <n v="1"/>
    <n v="1"/>
    <n v="1"/>
    <n v="0"/>
    <x v="5"/>
  </r>
  <r>
    <x v="10"/>
    <m/>
    <s v="K221498100"/>
    <s v="劉瑞燕"/>
    <s v="UM"/>
    <n v="0"/>
    <n v="0"/>
    <n v="0"/>
    <n v="0"/>
    <n v="0"/>
    <n v="0"/>
    <n v="0"/>
    <m/>
    <n v="0"/>
    <m/>
    <x v="0"/>
  </r>
  <r>
    <x v="10"/>
    <m/>
    <s v="J120840572"/>
    <s v="鄭鎮宇"/>
    <s v="CA"/>
    <n v="0"/>
    <n v="0"/>
    <n v="0"/>
    <n v="0"/>
    <n v="0"/>
    <n v="0"/>
    <n v="0"/>
    <n v="0"/>
    <n v="0"/>
    <m/>
    <x v="0"/>
  </r>
  <r>
    <x v="10"/>
    <m/>
    <s v="K220094975"/>
    <s v="陳美沅"/>
    <s v="CA"/>
    <n v="0"/>
    <n v="0"/>
    <n v="0"/>
    <n v="0"/>
    <n v="0"/>
    <n v="0"/>
    <n v="0"/>
    <n v="0"/>
    <n v="0"/>
    <m/>
    <x v="0"/>
  </r>
  <r>
    <x v="10"/>
    <s v="K221498100"/>
    <s v="UM"/>
    <s v="劉瑞燕"/>
    <n v="3"/>
    <n v="0"/>
    <n v="0"/>
    <n v="0"/>
    <n v="0"/>
    <n v="0"/>
    <n v="0"/>
    <n v="0"/>
    <n v="0"/>
    <n v="0"/>
    <n v="0"/>
    <x v="5"/>
  </r>
  <r>
    <x v="10"/>
    <m/>
    <s v="H125081698"/>
    <s v="隆鈞實"/>
    <s v="SP"/>
    <n v="0"/>
    <n v="0"/>
    <n v="0"/>
    <n v="0"/>
    <n v="0"/>
    <n v="0"/>
    <n v="0"/>
    <m/>
    <n v="0"/>
    <m/>
    <x v="0"/>
  </r>
  <r>
    <x v="10"/>
    <s v="H125081698"/>
    <s v="SP"/>
    <s v="隆鈞實"/>
    <n v="1"/>
    <n v="0"/>
    <n v="0"/>
    <n v="0"/>
    <n v="0"/>
    <n v="0"/>
    <n v="0"/>
    <n v="0"/>
    <n v="0"/>
    <n v="0"/>
    <n v="0"/>
    <x v="3"/>
  </r>
  <r>
    <x v="10"/>
    <m/>
    <s v="O100245745"/>
    <s v="吳彬"/>
    <s v="UM"/>
    <n v="0"/>
    <n v="0"/>
    <n v="0"/>
    <n v="0"/>
    <n v="0"/>
    <n v="0"/>
    <n v="0"/>
    <m/>
    <n v="0"/>
    <m/>
    <x v="0"/>
  </r>
  <r>
    <x v="10"/>
    <m/>
    <s v="O200170110"/>
    <s v="林子瑄"/>
    <s v="CA"/>
    <n v="0"/>
    <n v="0"/>
    <n v="0"/>
    <n v="0"/>
    <n v="0"/>
    <n v="0"/>
    <n v="0"/>
    <n v="0"/>
    <n v="0"/>
    <m/>
    <x v="0"/>
  </r>
  <r>
    <x v="10"/>
    <m/>
    <s v="K222593720"/>
    <s v="張雁閔"/>
    <s v="CA"/>
    <n v="0"/>
    <n v="0"/>
    <n v="0"/>
    <n v="0"/>
    <n v="0"/>
    <n v="0"/>
    <n v="0"/>
    <n v="0"/>
    <n v="0"/>
    <m/>
    <x v="0"/>
  </r>
  <r>
    <x v="10"/>
    <m/>
    <s v="J220509514"/>
    <s v="吳美慧"/>
    <s v="CA"/>
    <n v="0"/>
    <n v="0"/>
    <n v="3"/>
    <n v="119436"/>
    <n v="1"/>
    <n v="1"/>
    <n v="1"/>
    <n v="0"/>
    <n v="1"/>
    <m/>
    <x v="0"/>
  </r>
  <r>
    <x v="10"/>
    <s v="O100245745"/>
    <s v="UM"/>
    <s v="吳彬"/>
    <n v="4"/>
    <n v="0"/>
    <n v="0"/>
    <n v="3"/>
    <n v="119436"/>
    <n v="1"/>
    <n v="1"/>
    <n v="1"/>
    <n v="0"/>
    <n v="1"/>
    <n v="0"/>
    <x v="5"/>
  </r>
  <r>
    <x v="10"/>
    <m/>
    <s v="J122934684"/>
    <s v="徐崇勛"/>
    <s v="AM"/>
    <n v="1"/>
    <n v="51122"/>
    <n v="5"/>
    <n v="70743"/>
    <n v="1"/>
    <n v="1"/>
    <n v="1"/>
    <m/>
    <n v="1"/>
    <m/>
    <x v="0"/>
  </r>
  <r>
    <x v="10"/>
    <s v="J122934684"/>
    <s v="AM"/>
    <s v="徐崇勛"/>
    <n v="1"/>
    <n v="1"/>
    <n v="51122"/>
    <n v="5"/>
    <n v="70743"/>
    <n v="1"/>
    <n v="1"/>
    <n v="1"/>
    <n v="0"/>
    <n v="1"/>
    <n v="0"/>
    <x v="2"/>
  </r>
  <r>
    <x v="10"/>
    <m/>
    <s v="O200321448"/>
    <s v="吳家萱"/>
    <s v="UM"/>
    <n v="0"/>
    <n v="0"/>
    <n v="0"/>
    <n v="0"/>
    <n v="0"/>
    <n v="0"/>
    <n v="0"/>
    <m/>
    <n v="0"/>
    <m/>
    <x v="0"/>
  </r>
  <r>
    <x v="10"/>
    <m/>
    <s v="L223598470"/>
    <s v="林靖佳"/>
    <s v="CA"/>
    <n v="0"/>
    <n v="0"/>
    <n v="0"/>
    <n v="0"/>
    <n v="0"/>
    <n v="0"/>
    <n v="0"/>
    <n v="0"/>
    <n v="0"/>
    <m/>
    <x v="0"/>
  </r>
  <r>
    <x v="10"/>
    <s v="O200321448"/>
    <s v="UM"/>
    <s v="吳家萱"/>
    <n v="2"/>
    <n v="0"/>
    <n v="0"/>
    <n v="0"/>
    <n v="0"/>
    <n v="0"/>
    <n v="0"/>
    <n v="0"/>
    <n v="0"/>
    <n v="0"/>
    <n v="0"/>
    <x v="5"/>
  </r>
  <r>
    <x v="10"/>
    <m/>
    <s v="O100195188"/>
    <s v="吳尚煜"/>
    <s v="SP"/>
    <n v="0"/>
    <n v="0"/>
    <n v="0"/>
    <n v="0"/>
    <n v="0"/>
    <n v="0"/>
    <n v="0"/>
    <m/>
    <n v="0"/>
    <m/>
    <x v="0"/>
  </r>
  <r>
    <x v="10"/>
    <m/>
    <s v="O200197684"/>
    <s v="蔡佳安"/>
    <s v="CA"/>
    <n v="0"/>
    <n v="0"/>
    <n v="0"/>
    <n v="0"/>
    <n v="0"/>
    <n v="0"/>
    <n v="0"/>
    <n v="1"/>
    <n v="0"/>
    <m/>
    <x v="0"/>
  </r>
  <r>
    <x v="10"/>
    <s v="O100195188"/>
    <s v="SP"/>
    <s v="吳尚煜"/>
    <n v="2"/>
    <n v="0"/>
    <n v="0"/>
    <n v="0"/>
    <n v="0"/>
    <n v="0"/>
    <n v="0"/>
    <n v="0"/>
    <n v="1"/>
    <n v="0"/>
    <n v="0"/>
    <x v="3"/>
  </r>
  <r>
    <x v="10"/>
    <m/>
    <s v="O200321439"/>
    <s v="吳家儀"/>
    <s v="UM"/>
    <n v="1"/>
    <n v="3641"/>
    <n v="4"/>
    <n v="53563"/>
    <n v="1"/>
    <n v="1"/>
    <n v="1"/>
    <m/>
    <n v="1"/>
    <m/>
    <x v="0"/>
  </r>
  <r>
    <x v="10"/>
    <m/>
    <s v="O200208744"/>
    <s v="許郁婕"/>
    <s v="CA"/>
    <n v="0"/>
    <n v="0"/>
    <n v="0"/>
    <n v="0"/>
    <n v="0"/>
    <n v="0"/>
    <n v="0"/>
    <n v="0"/>
    <n v="0"/>
    <m/>
    <x v="0"/>
  </r>
  <r>
    <x v="10"/>
    <s v="O200321439"/>
    <s v="UM"/>
    <s v="吳家儀"/>
    <n v="2"/>
    <n v="1"/>
    <n v="3641"/>
    <n v="4"/>
    <n v="53563"/>
    <n v="1"/>
    <n v="1"/>
    <n v="1"/>
    <n v="0"/>
    <n v="1"/>
    <n v="0"/>
    <x v="5"/>
  </r>
  <r>
    <x v="10"/>
    <m/>
    <s v="O200323960"/>
    <s v="陳佳琳"/>
    <s v="UM"/>
    <n v="1"/>
    <n v="11736"/>
    <n v="3"/>
    <n v="24753"/>
    <n v="1"/>
    <n v="1"/>
    <n v="0"/>
    <m/>
    <n v="0"/>
    <m/>
    <x v="0"/>
  </r>
  <r>
    <x v="10"/>
    <s v="O200323960"/>
    <s v="UM"/>
    <s v="陳佳琳"/>
    <n v="1"/>
    <n v="1"/>
    <n v="11736"/>
    <n v="3"/>
    <n v="24753"/>
    <n v="1"/>
    <n v="1"/>
    <n v="0"/>
    <n v="0"/>
    <n v="0"/>
    <n v="0"/>
    <x v="5"/>
  </r>
  <r>
    <x v="10"/>
    <m/>
    <s v="J222886381"/>
    <s v="戴慧玲"/>
    <s v="SP"/>
    <n v="0"/>
    <n v="0"/>
    <n v="0"/>
    <n v="0"/>
    <n v="0"/>
    <n v="0"/>
    <n v="0"/>
    <m/>
    <n v="0"/>
    <m/>
    <x v="0"/>
  </r>
  <r>
    <x v="10"/>
    <m/>
    <s v="H125035534"/>
    <s v="元瑋德"/>
    <s v="CA"/>
    <n v="0"/>
    <n v="0"/>
    <n v="0"/>
    <n v="0"/>
    <n v="0"/>
    <n v="0"/>
    <n v="0"/>
    <n v="0"/>
    <n v="0"/>
    <m/>
    <x v="0"/>
  </r>
  <r>
    <x v="10"/>
    <m/>
    <s v="F229150603"/>
    <s v="王筠"/>
    <s v="CA"/>
    <n v="0"/>
    <n v="0"/>
    <n v="0"/>
    <n v="0"/>
    <n v="0"/>
    <n v="0"/>
    <n v="0"/>
    <n v="0"/>
    <n v="0"/>
    <m/>
    <x v="0"/>
  </r>
  <r>
    <x v="10"/>
    <s v="J222886381"/>
    <s v="SP"/>
    <s v="戴慧玲"/>
    <n v="3"/>
    <n v="0"/>
    <n v="0"/>
    <n v="0"/>
    <n v="0"/>
    <n v="0"/>
    <n v="0"/>
    <n v="0"/>
    <n v="0"/>
    <n v="0"/>
    <n v="0"/>
    <x v="3"/>
  </r>
  <r>
    <x v="10"/>
    <m/>
    <s v="P223762295"/>
    <s v="陳沛瑄"/>
    <s v="SP"/>
    <n v="0"/>
    <n v="0"/>
    <n v="2"/>
    <n v="20540"/>
    <n v="1"/>
    <n v="1"/>
    <n v="0"/>
    <m/>
    <n v="0"/>
    <m/>
    <x v="0"/>
  </r>
  <r>
    <x v="10"/>
    <s v="P223762295"/>
    <s v="SP"/>
    <s v="陳沛瑄"/>
    <n v="1"/>
    <n v="0"/>
    <n v="0"/>
    <n v="2"/>
    <n v="20540"/>
    <n v="1"/>
    <n v="1"/>
    <n v="0"/>
    <n v="0"/>
    <n v="0"/>
    <n v="0"/>
    <x v="3"/>
  </r>
  <r>
    <x v="10"/>
    <m/>
    <s v="K122377322"/>
    <s v="陳詣凱"/>
    <s v="SP"/>
    <n v="0"/>
    <n v="0"/>
    <n v="0"/>
    <n v="0"/>
    <n v="0"/>
    <n v="0"/>
    <n v="0"/>
    <m/>
    <n v="0"/>
    <m/>
    <x v="0"/>
  </r>
  <r>
    <x v="10"/>
    <m/>
    <s v="U221714705"/>
    <s v="彭千容"/>
    <s v="CA"/>
    <n v="0"/>
    <n v="0"/>
    <n v="2"/>
    <n v="7128"/>
    <n v="1"/>
    <n v="0"/>
    <n v="0"/>
    <n v="0"/>
    <n v="0"/>
    <m/>
    <x v="0"/>
  </r>
  <r>
    <x v="10"/>
    <s v="K122377322"/>
    <s v="SP"/>
    <s v="陳詣凱"/>
    <n v="2"/>
    <n v="0"/>
    <n v="0"/>
    <n v="2"/>
    <n v="7128"/>
    <n v="1"/>
    <n v="0"/>
    <n v="0"/>
    <n v="0"/>
    <n v="0"/>
    <n v="0"/>
    <x v="3"/>
  </r>
  <r>
    <x v="10"/>
    <m/>
    <s v="E220242798"/>
    <s v="賴靜琪"/>
    <s v="AM"/>
    <n v="0"/>
    <n v="0"/>
    <n v="0"/>
    <n v="0"/>
    <n v="0"/>
    <n v="0"/>
    <n v="0"/>
    <m/>
    <n v="0"/>
    <m/>
    <x v="0"/>
  </r>
  <r>
    <x v="10"/>
    <m/>
    <s v="J220040798"/>
    <s v="程樂群"/>
    <s v="CA"/>
    <n v="0"/>
    <n v="0"/>
    <n v="0"/>
    <n v="0"/>
    <n v="0"/>
    <n v="0"/>
    <n v="0"/>
    <n v="0"/>
    <n v="0"/>
    <m/>
    <x v="0"/>
  </r>
  <r>
    <x v="10"/>
    <m/>
    <s v="H222075529"/>
    <s v="羅美齡"/>
    <s v="CA"/>
    <n v="0"/>
    <n v="0"/>
    <n v="0"/>
    <n v="0"/>
    <n v="0"/>
    <n v="0"/>
    <n v="0"/>
    <n v="0"/>
    <n v="0"/>
    <m/>
    <x v="0"/>
  </r>
  <r>
    <x v="10"/>
    <s v="E220242798"/>
    <s v="AM"/>
    <s v="賴靜琪"/>
    <n v="3"/>
    <n v="0"/>
    <n v="0"/>
    <n v="0"/>
    <n v="0"/>
    <n v="0"/>
    <n v="0"/>
    <n v="0"/>
    <n v="0"/>
    <n v="0"/>
    <n v="0"/>
    <x v="2"/>
  </r>
  <r>
    <x v="10"/>
    <m/>
    <s v="J220560053"/>
    <s v="樹金雪"/>
    <s v="UM"/>
    <n v="0"/>
    <n v="0"/>
    <n v="0"/>
    <n v="0"/>
    <n v="0"/>
    <n v="0"/>
    <n v="0"/>
    <m/>
    <n v="0"/>
    <m/>
    <x v="0"/>
  </r>
  <r>
    <x v="10"/>
    <m/>
    <s v="O100627032"/>
    <s v="羅亦倢"/>
    <s v="CA"/>
    <n v="0"/>
    <n v="0"/>
    <n v="0"/>
    <n v="0"/>
    <n v="0"/>
    <n v="0"/>
    <n v="0"/>
    <n v="1"/>
    <n v="0"/>
    <m/>
    <x v="0"/>
  </r>
  <r>
    <x v="10"/>
    <m/>
    <s v="J122962946"/>
    <s v="彭梓桓"/>
    <s v="CA"/>
    <n v="0"/>
    <n v="0"/>
    <n v="0"/>
    <n v="0"/>
    <n v="0"/>
    <n v="0"/>
    <n v="0"/>
    <n v="1"/>
    <n v="0"/>
    <m/>
    <x v="0"/>
  </r>
  <r>
    <x v="10"/>
    <m/>
    <s v="J222355658"/>
    <s v="彭惠姍"/>
    <s v="CA"/>
    <n v="0"/>
    <n v="0"/>
    <n v="0"/>
    <n v="0"/>
    <n v="0"/>
    <n v="0"/>
    <n v="0"/>
    <n v="0"/>
    <n v="0"/>
    <m/>
    <x v="0"/>
  </r>
  <r>
    <x v="10"/>
    <m/>
    <s v="J120761165"/>
    <s v="彭清材"/>
    <s v="CA"/>
    <n v="0"/>
    <n v="0"/>
    <n v="1"/>
    <n v="4755"/>
    <n v="1"/>
    <n v="0"/>
    <n v="0"/>
    <n v="0"/>
    <n v="0"/>
    <m/>
    <x v="0"/>
  </r>
  <r>
    <x v="10"/>
    <s v="J220560053"/>
    <s v="UM"/>
    <s v="樹金雪"/>
    <n v="5"/>
    <n v="0"/>
    <n v="0"/>
    <n v="1"/>
    <n v="4755"/>
    <n v="1"/>
    <n v="0"/>
    <n v="0"/>
    <n v="2"/>
    <n v="0"/>
    <n v="0"/>
    <x v="5"/>
  </r>
  <r>
    <x v="10"/>
    <m/>
    <s v="S221398674"/>
    <s v="陳藍萍"/>
    <s v="AM"/>
    <n v="0"/>
    <n v="0"/>
    <n v="0"/>
    <n v="0"/>
    <n v="0"/>
    <n v="0"/>
    <n v="0"/>
    <m/>
    <n v="0"/>
    <m/>
    <x v="0"/>
  </r>
  <r>
    <x v="10"/>
    <m/>
    <s v="J222980615"/>
    <s v="謝羽雯"/>
    <s v="CA"/>
    <n v="0"/>
    <n v="0"/>
    <n v="0"/>
    <n v="0"/>
    <n v="0"/>
    <n v="0"/>
    <n v="0"/>
    <n v="1"/>
    <n v="0"/>
    <m/>
    <x v="0"/>
  </r>
  <r>
    <x v="10"/>
    <m/>
    <s v="J220115290"/>
    <s v="陳藍"/>
    <s v="CA"/>
    <n v="0"/>
    <n v="0"/>
    <n v="0"/>
    <n v="0"/>
    <n v="0"/>
    <n v="0"/>
    <n v="0"/>
    <n v="0"/>
    <n v="0"/>
    <m/>
    <x v="0"/>
  </r>
  <r>
    <x v="10"/>
    <m/>
    <s v="J121265813"/>
    <s v="許書潘"/>
    <s v="CA"/>
    <n v="0"/>
    <n v="0"/>
    <n v="2"/>
    <n v="63084"/>
    <n v="1"/>
    <n v="1"/>
    <n v="1"/>
    <n v="0"/>
    <n v="1"/>
    <m/>
    <x v="0"/>
  </r>
  <r>
    <x v="10"/>
    <s v="S221398674"/>
    <s v="AM"/>
    <s v="陳藍萍"/>
    <n v="4"/>
    <n v="0"/>
    <n v="0"/>
    <n v="2"/>
    <n v="63084"/>
    <n v="1"/>
    <n v="1"/>
    <n v="1"/>
    <n v="1"/>
    <n v="1"/>
    <n v="0"/>
    <x v="2"/>
  </r>
  <r>
    <x v="10"/>
    <m/>
    <s v="F120355413"/>
    <s v="童俊憲"/>
    <s v="ＵＭ"/>
    <n v="0"/>
    <n v="0"/>
    <n v="0"/>
    <n v="0"/>
    <n v="0"/>
    <n v="0"/>
    <n v="0"/>
    <m/>
    <n v="0"/>
    <m/>
    <x v="0"/>
  </r>
  <r>
    <x v="10"/>
    <m/>
    <s v="K221949399"/>
    <s v="傅采玄"/>
    <s v="CA"/>
    <n v="0"/>
    <n v="0"/>
    <n v="0"/>
    <n v="0"/>
    <n v="0"/>
    <n v="0"/>
    <n v="0"/>
    <n v="0"/>
    <n v="0"/>
    <m/>
    <x v="0"/>
  </r>
  <r>
    <x v="10"/>
    <m/>
    <s v="J221365472"/>
    <s v="邱淑貞"/>
    <s v="CA"/>
    <n v="0"/>
    <n v="0"/>
    <n v="1"/>
    <n v="6206"/>
    <n v="1"/>
    <n v="0"/>
    <n v="0"/>
    <n v="0"/>
    <n v="0"/>
    <m/>
    <x v="0"/>
  </r>
  <r>
    <x v="10"/>
    <m/>
    <s v="R222438792"/>
    <s v="吳錫安"/>
    <s v="CA"/>
    <n v="0"/>
    <n v="0"/>
    <n v="0"/>
    <n v="0"/>
    <n v="0"/>
    <n v="0"/>
    <n v="0"/>
    <n v="0"/>
    <n v="0"/>
    <m/>
    <x v="0"/>
  </r>
  <r>
    <x v="10"/>
    <m/>
    <s v="A220079586"/>
    <s v="歐佳音"/>
    <s v="CA"/>
    <n v="0"/>
    <n v="0"/>
    <n v="0"/>
    <n v="0"/>
    <n v="0"/>
    <n v="0"/>
    <n v="0"/>
    <n v="0"/>
    <n v="0"/>
    <m/>
    <x v="0"/>
  </r>
  <r>
    <x v="10"/>
    <m/>
    <s v="J122317530"/>
    <s v="陳柏安"/>
    <s v="CA"/>
    <n v="0"/>
    <n v="0"/>
    <n v="0"/>
    <n v="0"/>
    <n v="0"/>
    <n v="0"/>
    <n v="0"/>
    <n v="0"/>
    <n v="0"/>
    <m/>
    <x v="0"/>
  </r>
  <r>
    <x v="10"/>
    <m/>
    <s v="J222228834"/>
    <s v="詹旂"/>
    <s v="CA"/>
    <n v="0"/>
    <n v="0"/>
    <n v="1"/>
    <n v="29070"/>
    <n v="1"/>
    <n v="1"/>
    <n v="1"/>
    <n v="0"/>
    <n v="1"/>
    <m/>
    <x v="0"/>
  </r>
  <r>
    <x v="10"/>
    <s v="F120355413"/>
    <s v="UM"/>
    <s v="童俊憲"/>
    <n v="7"/>
    <n v="0"/>
    <n v="0"/>
    <n v="2"/>
    <n v="35276"/>
    <n v="2"/>
    <n v="1"/>
    <n v="1"/>
    <n v="0"/>
    <n v="1"/>
    <n v="0"/>
    <x v="5"/>
  </r>
  <r>
    <x v="10"/>
    <m/>
    <s v="O100135851"/>
    <s v="劉亦彤"/>
    <s v="SP"/>
    <n v="0"/>
    <n v="0"/>
    <n v="0"/>
    <n v="0"/>
    <n v="0"/>
    <n v="0"/>
    <n v="0"/>
    <m/>
    <n v="0"/>
    <m/>
    <x v="0"/>
  </r>
  <r>
    <x v="10"/>
    <m/>
    <s v="G121425915"/>
    <s v="陳慶穎"/>
    <s v="CA"/>
    <n v="0"/>
    <n v="0"/>
    <n v="0"/>
    <n v="0"/>
    <n v="0"/>
    <n v="0"/>
    <n v="0"/>
    <n v="1"/>
    <n v="0"/>
    <m/>
    <x v="0"/>
  </r>
  <r>
    <x v="10"/>
    <s v="O100135851"/>
    <s v="SP"/>
    <s v="劉亦彤"/>
    <n v="2"/>
    <n v="0"/>
    <n v="0"/>
    <n v="0"/>
    <n v="0"/>
    <n v="0"/>
    <n v="0"/>
    <n v="0"/>
    <n v="1"/>
    <n v="0"/>
    <n v="0"/>
    <x v="3"/>
  </r>
  <r>
    <x v="10"/>
    <m/>
    <s v="O200242906"/>
    <s v="張馨勻"/>
    <s v="SP"/>
    <n v="0"/>
    <n v="0"/>
    <n v="3"/>
    <n v="17722"/>
    <n v="1"/>
    <n v="0"/>
    <n v="0"/>
    <m/>
    <n v="0"/>
    <m/>
    <x v="0"/>
  </r>
  <r>
    <x v="10"/>
    <s v="O200242906"/>
    <s v="SP"/>
    <s v="張馨勻"/>
    <n v="1"/>
    <n v="0"/>
    <n v="0"/>
    <n v="3"/>
    <n v="17722"/>
    <n v="1"/>
    <n v="0"/>
    <n v="0"/>
    <n v="0"/>
    <n v="0"/>
    <n v="0"/>
    <x v="3"/>
  </r>
  <r>
    <x v="10"/>
    <m/>
    <m/>
    <m/>
    <n v="85"/>
    <n v="8"/>
    <n v="207751"/>
    <n v="39"/>
    <n v="643158"/>
    <n v="18"/>
    <n v="12"/>
    <n v="8"/>
    <n v="16"/>
    <n v="8"/>
    <n v="0"/>
    <x v="0"/>
  </r>
  <r>
    <x v="11"/>
    <m/>
    <s v="A123517027"/>
    <s v="       吳浚源　　"/>
    <s v="DM"/>
    <n v="0"/>
    <n v="0"/>
    <n v="0"/>
    <n v="0"/>
    <n v="0"/>
    <n v="0"/>
    <n v="0"/>
    <m/>
    <n v="0"/>
    <m/>
    <x v="0"/>
  </r>
  <r>
    <x v="11"/>
    <m/>
    <s v="N222938516"/>
    <s v="       王麗芳　　"/>
    <s v="CA"/>
    <n v="0"/>
    <n v="0"/>
    <n v="5"/>
    <n v="57933"/>
    <n v="1"/>
    <n v="1"/>
    <n v="1"/>
    <n v="0"/>
    <n v="1"/>
    <m/>
    <x v="0"/>
  </r>
  <r>
    <x v="11"/>
    <s v="A123517027"/>
    <s v="DM"/>
    <s v="吳浚源"/>
    <n v="2"/>
    <n v="0"/>
    <n v="0"/>
    <n v="5"/>
    <n v="57933"/>
    <n v="1"/>
    <n v="1"/>
    <n v="1"/>
    <n v="0"/>
    <n v="1"/>
    <n v="0"/>
    <x v="1"/>
  </r>
  <r>
    <x v="11"/>
    <m/>
    <s v="K221752038"/>
    <s v="蔡雅雯"/>
    <s v="AM"/>
    <n v="0"/>
    <n v="0"/>
    <n v="1"/>
    <n v="20093"/>
    <n v="1"/>
    <n v="1"/>
    <n v="0"/>
    <m/>
    <n v="0"/>
    <m/>
    <x v="0"/>
  </r>
  <r>
    <x v="11"/>
    <m/>
    <s v="K121896837"/>
    <s v="蔡志偉"/>
    <s v="CA"/>
    <n v="0"/>
    <n v="0"/>
    <n v="0"/>
    <n v="0"/>
    <n v="0"/>
    <n v="0"/>
    <n v="0"/>
    <n v="0"/>
    <n v="0"/>
    <m/>
    <x v="0"/>
  </r>
  <r>
    <x v="11"/>
    <s v="K221752038"/>
    <s v="AM"/>
    <s v="蔡雅雯"/>
    <n v="2"/>
    <n v="0"/>
    <n v="0"/>
    <n v="1"/>
    <n v="20093"/>
    <n v="1"/>
    <n v="1"/>
    <n v="0"/>
    <n v="0"/>
    <n v="0"/>
    <n v="0"/>
    <x v="2"/>
  </r>
  <r>
    <x v="11"/>
    <m/>
    <s v="U220790489"/>
    <s v="        余賽艷　　"/>
    <s v="RSA(不計人力)"/>
    <n v="0"/>
    <n v="0"/>
    <n v="0"/>
    <n v="0"/>
    <m/>
    <m/>
    <m/>
    <m/>
    <m/>
    <m/>
    <x v="0"/>
  </r>
  <r>
    <x v="11"/>
    <s v="U220790489"/>
    <s v="RSA"/>
    <s v="        余賽艷　　"/>
    <m/>
    <n v="0"/>
    <n v="0"/>
    <n v="0"/>
    <n v="0"/>
    <m/>
    <m/>
    <m/>
    <m/>
    <m/>
    <m/>
    <x v="0"/>
  </r>
  <r>
    <x v="11"/>
    <m/>
    <s v="O200073527"/>
    <s v="陳玉蓁"/>
    <s v="MS"/>
    <n v="0"/>
    <n v="0"/>
    <n v="2"/>
    <n v="4052"/>
    <n v="1"/>
    <n v="0"/>
    <n v="0"/>
    <m/>
    <n v="0"/>
    <m/>
    <x v="0"/>
  </r>
  <r>
    <x v="11"/>
    <s v="O200073527"/>
    <s v="MS"/>
    <s v="陳玉蓁"/>
    <n v="1"/>
    <n v="0"/>
    <n v="0"/>
    <n v="2"/>
    <n v="4052"/>
    <n v="1"/>
    <n v="0"/>
    <n v="0"/>
    <n v="0"/>
    <n v="0"/>
    <n v="0"/>
    <x v="4"/>
  </r>
  <r>
    <x v="11"/>
    <m/>
    <s v="J221658614"/>
    <s v="范曉涓"/>
    <s v="MS"/>
    <n v="0"/>
    <n v="0"/>
    <n v="4"/>
    <n v="12881"/>
    <n v="1"/>
    <n v="0"/>
    <n v="0"/>
    <m/>
    <n v="0"/>
    <m/>
    <x v="0"/>
  </r>
  <r>
    <x v="11"/>
    <s v="J221658614"/>
    <s v="MS"/>
    <s v="范曉涓"/>
    <n v="1"/>
    <n v="0"/>
    <n v="0"/>
    <n v="4"/>
    <n v="12881"/>
    <n v="1"/>
    <n v="0"/>
    <n v="0"/>
    <n v="0"/>
    <n v="0"/>
    <n v="0"/>
    <x v="4"/>
  </r>
  <r>
    <x v="11"/>
    <m/>
    <s v="L221793075"/>
    <s v="        羅淑實　　"/>
    <s v="RSA(不計人力)"/>
    <n v="0"/>
    <n v="0"/>
    <n v="0"/>
    <n v="0"/>
    <m/>
    <m/>
    <m/>
    <m/>
    <m/>
    <m/>
    <x v="0"/>
  </r>
  <r>
    <x v="11"/>
    <s v="L221793075"/>
    <s v="RSA"/>
    <s v="羅淑實"/>
    <m/>
    <n v="0"/>
    <n v="0"/>
    <n v="0"/>
    <n v="0"/>
    <m/>
    <m/>
    <m/>
    <m/>
    <m/>
    <m/>
    <x v="0"/>
  </r>
  <r>
    <x v="11"/>
    <m/>
    <s v="J121532784"/>
    <s v="        胡樹鴻　　"/>
    <s v="AM"/>
    <n v="0"/>
    <n v="0"/>
    <n v="1"/>
    <n v="18118"/>
    <n v="1"/>
    <n v="0"/>
    <n v="0"/>
    <m/>
    <n v="0"/>
    <m/>
    <x v="0"/>
  </r>
  <r>
    <x v="11"/>
    <m/>
    <s v="S125662235"/>
    <s v="廖偉豪"/>
    <s v="CA"/>
    <n v="0"/>
    <n v="0"/>
    <n v="1"/>
    <n v="5449"/>
    <n v="1"/>
    <n v="0"/>
    <n v="0"/>
    <n v="1"/>
    <n v="0"/>
    <m/>
    <x v="0"/>
  </r>
  <r>
    <x v="11"/>
    <m/>
    <s v="J122936302"/>
    <s v="劉睿峰"/>
    <s v="CA"/>
    <n v="0"/>
    <n v="0"/>
    <n v="1"/>
    <n v="15888"/>
    <n v="1"/>
    <n v="1"/>
    <n v="0"/>
    <n v="1"/>
    <n v="1"/>
    <m/>
    <x v="0"/>
  </r>
  <r>
    <x v="11"/>
    <m/>
    <s v="H223346787"/>
    <s v="高惠柔"/>
    <s v="CA"/>
    <n v="0"/>
    <n v="0"/>
    <n v="1"/>
    <n v="27754"/>
    <n v="1"/>
    <n v="1"/>
    <n v="1"/>
    <n v="1"/>
    <n v="1"/>
    <m/>
    <x v="0"/>
  </r>
  <r>
    <x v="11"/>
    <m/>
    <s v="J121601793"/>
    <s v="韋成龍"/>
    <s v="CA"/>
    <n v="0"/>
    <n v="0"/>
    <n v="0"/>
    <n v="0"/>
    <n v="0"/>
    <n v="0"/>
    <n v="0"/>
    <n v="1"/>
    <n v="0"/>
    <m/>
    <x v="0"/>
  </r>
  <r>
    <x v="11"/>
    <s v="J121532784"/>
    <s v="AM"/>
    <s v="胡樹鴻"/>
    <n v="5"/>
    <n v="0"/>
    <n v="0"/>
    <n v="4"/>
    <n v="67209"/>
    <n v="4"/>
    <n v="2"/>
    <n v="1"/>
    <n v="4"/>
    <n v="2"/>
    <n v="1"/>
    <x v="2"/>
  </r>
  <r>
    <x v="11"/>
    <m/>
    <s v="V221226103"/>
    <s v="蔡芸萱"/>
    <s v="AM"/>
    <n v="2"/>
    <n v="3282"/>
    <n v="5"/>
    <n v="6422"/>
    <n v="1"/>
    <n v="0"/>
    <n v="0"/>
    <m/>
    <n v="0"/>
    <m/>
    <x v="0"/>
  </r>
  <r>
    <x v="11"/>
    <m/>
    <s v="J223103612"/>
    <s v="陳寶兒"/>
    <s v="CA"/>
    <n v="0"/>
    <n v="0"/>
    <n v="0"/>
    <n v="0"/>
    <n v="0"/>
    <n v="0"/>
    <n v="0"/>
    <n v="0"/>
    <n v="0"/>
    <m/>
    <x v="0"/>
  </r>
  <r>
    <x v="11"/>
    <s v="V221226103"/>
    <s v="AM"/>
    <s v="蔡芸萱"/>
    <n v="2"/>
    <n v="2"/>
    <n v="3282"/>
    <n v="5"/>
    <n v="6422"/>
    <n v="1"/>
    <n v="0"/>
    <n v="0"/>
    <n v="0"/>
    <n v="0"/>
    <n v="0"/>
    <x v="2"/>
  </r>
  <r>
    <x v="11"/>
    <m/>
    <s v="J220035322"/>
    <s v="魏淑惠"/>
    <s v="UM"/>
    <n v="0"/>
    <n v="0"/>
    <n v="0"/>
    <n v="0"/>
    <n v="0"/>
    <n v="0"/>
    <n v="0"/>
    <m/>
    <n v="0"/>
    <m/>
    <x v="0"/>
  </r>
  <r>
    <x v="11"/>
    <m/>
    <s v="O100377779"/>
    <s v="胡家凱"/>
    <s v="CA"/>
    <n v="0"/>
    <n v="0"/>
    <n v="0"/>
    <n v="0"/>
    <n v="0"/>
    <n v="0"/>
    <n v="0"/>
    <n v="1"/>
    <n v="0"/>
    <m/>
    <x v="0"/>
  </r>
  <r>
    <x v="11"/>
    <s v="J220035322"/>
    <s v="UM"/>
    <s v="魏淑惠"/>
    <n v="2"/>
    <n v="0"/>
    <n v="0"/>
    <n v="0"/>
    <n v="0"/>
    <n v="0"/>
    <n v="0"/>
    <n v="0"/>
    <n v="1"/>
    <n v="0"/>
    <n v="0"/>
    <x v="5"/>
  </r>
  <r>
    <x v="11"/>
    <m/>
    <m/>
    <m/>
    <n v="15"/>
    <n v="2"/>
    <n v="3282"/>
    <n v="21"/>
    <n v="168590"/>
    <n v="9"/>
    <n v="4"/>
    <n v="2"/>
    <n v="5"/>
    <n v="3"/>
    <n v="1"/>
    <x v="0"/>
  </r>
  <r>
    <x v="12"/>
    <m/>
    <s v="K120992670"/>
    <s v="陳正和"/>
    <s v="DM"/>
    <n v="0"/>
    <n v="0"/>
    <n v="0"/>
    <n v="0"/>
    <n v="0"/>
    <n v="0"/>
    <n v="0"/>
    <m/>
    <n v="0"/>
    <m/>
    <x v="0"/>
  </r>
  <r>
    <x v="12"/>
    <m/>
    <s v="K220558670"/>
    <s v="吳明珠"/>
    <s v="CA"/>
    <n v="0"/>
    <n v="0"/>
    <n v="0"/>
    <n v="0"/>
    <n v="0"/>
    <n v="0"/>
    <n v="0"/>
    <n v="0"/>
    <n v="0"/>
    <m/>
    <x v="0"/>
  </r>
  <r>
    <x v="12"/>
    <m/>
    <s v="K220061958"/>
    <s v="詹慧苓"/>
    <s v="CA"/>
    <n v="0"/>
    <n v="0"/>
    <n v="0"/>
    <n v="0"/>
    <n v="0"/>
    <n v="0"/>
    <n v="0"/>
    <n v="0"/>
    <n v="0"/>
    <m/>
    <x v="0"/>
  </r>
  <r>
    <x v="12"/>
    <m/>
    <s v="E123271342"/>
    <s v="楊達堯"/>
    <s v="CA"/>
    <n v="0"/>
    <n v="0"/>
    <n v="2"/>
    <n v="18688"/>
    <n v="1"/>
    <n v="1"/>
    <n v="0"/>
    <n v="0"/>
    <n v="0"/>
    <m/>
    <x v="0"/>
  </r>
  <r>
    <x v="12"/>
    <s v="K120992670"/>
    <s v="DM"/>
    <s v="陳正和"/>
    <n v="4"/>
    <n v="0"/>
    <n v="0"/>
    <n v="2"/>
    <n v="18688"/>
    <n v="1"/>
    <n v="1"/>
    <n v="0"/>
    <n v="0"/>
    <n v="0"/>
    <n v="0"/>
    <x v="1"/>
  </r>
  <r>
    <x v="12"/>
    <m/>
    <s v="K101880128"/>
    <s v="湯榮喜"/>
    <s v="RSA(不計人力)"/>
    <n v="0"/>
    <n v="0"/>
    <n v="0"/>
    <n v="0"/>
    <m/>
    <m/>
    <m/>
    <m/>
    <m/>
    <m/>
    <x v="0"/>
  </r>
  <r>
    <x v="12"/>
    <s v="K101880128"/>
    <s v="RSA"/>
    <s v="湯榮喜"/>
    <m/>
    <n v="0"/>
    <n v="0"/>
    <n v="0"/>
    <n v="0"/>
    <m/>
    <m/>
    <m/>
    <m/>
    <m/>
    <m/>
    <x v="0"/>
  </r>
  <r>
    <x v="12"/>
    <m/>
    <s v="K120011063"/>
    <s v="邱俊穎"/>
    <s v="MS"/>
    <n v="0"/>
    <n v="0"/>
    <n v="0"/>
    <n v="0"/>
    <n v="0"/>
    <n v="0"/>
    <n v="0"/>
    <m/>
    <n v="0"/>
    <m/>
    <x v="0"/>
  </r>
  <r>
    <x v="12"/>
    <s v="K120011063"/>
    <s v="MS"/>
    <s v="邱俊穎"/>
    <n v="1"/>
    <n v="0"/>
    <n v="0"/>
    <n v="0"/>
    <n v="0"/>
    <n v="0"/>
    <n v="0"/>
    <n v="0"/>
    <n v="0"/>
    <n v="0"/>
    <n v="0"/>
    <x v="4"/>
  </r>
  <r>
    <x v="12"/>
    <m/>
    <s v="K121362818"/>
    <s v="蕭廣雲"/>
    <s v="MM"/>
    <n v="0"/>
    <n v="0"/>
    <n v="0"/>
    <n v="0"/>
    <n v="0"/>
    <n v="0"/>
    <n v="0"/>
    <m/>
    <n v="0"/>
    <m/>
    <x v="0"/>
  </r>
  <r>
    <x v="12"/>
    <s v="K121362818"/>
    <s v="MM"/>
    <s v="蕭廣雲"/>
    <n v="1"/>
    <n v="0"/>
    <n v="0"/>
    <n v="0"/>
    <n v="0"/>
    <n v="0"/>
    <n v="0"/>
    <n v="0"/>
    <n v="0"/>
    <n v="0"/>
    <n v="0"/>
    <x v="8"/>
  </r>
  <r>
    <x v="12"/>
    <m/>
    <s v="K121722609"/>
    <s v="湯志華"/>
    <s v="UM"/>
    <n v="0"/>
    <n v="0"/>
    <n v="0"/>
    <n v="0"/>
    <n v="0"/>
    <n v="0"/>
    <n v="0"/>
    <m/>
    <n v="0"/>
    <m/>
    <x v="0"/>
  </r>
  <r>
    <x v="12"/>
    <m/>
    <s v="E125799067"/>
    <s v="蔡承宇"/>
    <s v="CA"/>
    <n v="0"/>
    <n v="0"/>
    <n v="0"/>
    <n v="0"/>
    <n v="0"/>
    <n v="0"/>
    <n v="0"/>
    <n v="1"/>
    <n v="0"/>
    <m/>
    <x v="0"/>
  </r>
  <r>
    <x v="12"/>
    <m/>
    <s v="K221836422"/>
    <s v="鄒宜芳"/>
    <s v="CA"/>
    <n v="0"/>
    <n v="0"/>
    <n v="0"/>
    <n v="0"/>
    <n v="0"/>
    <n v="0"/>
    <n v="0"/>
    <n v="0"/>
    <n v="0"/>
    <m/>
    <x v="0"/>
  </r>
  <r>
    <x v="12"/>
    <m/>
    <s v="F231508182"/>
    <s v="陳淑琴"/>
    <s v="CA"/>
    <n v="0"/>
    <n v="0"/>
    <n v="0"/>
    <n v="0"/>
    <n v="0"/>
    <n v="0"/>
    <n v="0"/>
    <n v="0"/>
    <n v="0"/>
    <m/>
    <x v="0"/>
  </r>
  <r>
    <x v="12"/>
    <m/>
    <s v="K220055521"/>
    <s v="江錦蓮"/>
    <s v="CA"/>
    <n v="0"/>
    <n v="0"/>
    <n v="1"/>
    <n v="14629"/>
    <n v="1"/>
    <n v="1"/>
    <n v="0"/>
    <n v="0"/>
    <n v="0"/>
    <m/>
    <x v="0"/>
  </r>
  <r>
    <x v="12"/>
    <m/>
    <s v="K120127815"/>
    <s v="王行一"/>
    <s v="CA"/>
    <n v="0"/>
    <n v="0"/>
    <n v="0"/>
    <n v="0"/>
    <n v="0"/>
    <n v="0"/>
    <n v="0"/>
    <n v="0"/>
    <n v="0"/>
    <m/>
    <x v="0"/>
  </r>
  <r>
    <x v="12"/>
    <m/>
    <s v="R220319641"/>
    <s v="賴惠美"/>
    <s v="CA"/>
    <n v="0"/>
    <n v="0"/>
    <n v="0"/>
    <n v="0"/>
    <n v="0"/>
    <n v="0"/>
    <n v="0"/>
    <n v="0"/>
    <n v="0"/>
    <m/>
    <x v="0"/>
  </r>
  <r>
    <x v="12"/>
    <s v="K121722609"/>
    <s v="UM"/>
    <s v="湯志華"/>
    <n v="7"/>
    <n v="0"/>
    <n v="0"/>
    <n v="1"/>
    <n v="14629"/>
    <n v="1"/>
    <n v="1"/>
    <n v="0"/>
    <n v="1"/>
    <n v="0"/>
    <n v="0"/>
    <x v="5"/>
  </r>
  <r>
    <x v="12"/>
    <m/>
    <s v="K222074220"/>
    <s v="陳彥育"/>
    <s v="SP"/>
    <n v="1"/>
    <n v="31450"/>
    <n v="1"/>
    <n v="31450"/>
    <n v="1"/>
    <n v="1"/>
    <n v="1"/>
    <m/>
    <n v="1"/>
    <m/>
    <x v="0"/>
  </r>
  <r>
    <x v="12"/>
    <m/>
    <s v="K221409989"/>
    <s v="劉怡靜"/>
    <s v="CA"/>
    <n v="0"/>
    <n v="0"/>
    <n v="0"/>
    <n v="0"/>
    <n v="0"/>
    <n v="0"/>
    <n v="0"/>
    <n v="1"/>
    <n v="0"/>
    <m/>
    <x v="0"/>
  </r>
  <r>
    <x v="12"/>
    <m/>
    <s v="K122463789"/>
    <s v="鍾景豐"/>
    <s v="CA"/>
    <n v="0"/>
    <n v="0"/>
    <n v="0"/>
    <n v="0"/>
    <n v="0"/>
    <n v="0"/>
    <n v="0"/>
    <n v="1"/>
    <n v="0"/>
    <m/>
    <x v="0"/>
  </r>
  <r>
    <x v="12"/>
    <s v="K222074220"/>
    <s v="SP"/>
    <s v="陳彥育"/>
    <n v="3"/>
    <n v="1"/>
    <n v="31450"/>
    <n v="1"/>
    <n v="31450"/>
    <n v="1"/>
    <n v="1"/>
    <n v="1"/>
    <n v="2"/>
    <n v="1"/>
    <n v="1"/>
    <x v="3"/>
  </r>
  <r>
    <x v="12"/>
    <m/>
    <s v="K222496717"/>
    <s v="邱于玲"/>
    <s v="MS"/>
    <n v="0"/>
    <n v="0"/>
    <n v="0"/>
    <n v="0"/>
    <n v="0"/>
    <n v="0"/>
    <n v="0"/>
    <m/>
    <n v="0"/>
    <m/>
    <x v="0"/>
  </r>
  <r>
    <x v="12"/>
    <s v="K222496717"/>
    <s v="MS"/>
    <s v="邱于玲"/>
    <n v="1"/>
    <n v="0"/>
    <n v="0"/>
    <n v="0"/>
    <n v="0"/>
    <n v="0"/>
    <n v="0"/>
    <n v="0"/>
    <n v="0"/>
    <n v="0"/>
    <n v="0"/>
    <x v="4"/>
  </r>
  <r>
    <x v="12"/>
    <m/>
    <s v="K220708554"/>
    <s v="林詩茹"/>
    <s v="UM"/>
    <n v="0"/>
    <n v="0"/>
    <n v="1"/>
    <n v="3004"/>
    <n v="1"/>
    <n v="0"/>
    <n v="0"/>
    <m/>
    <n v="0"/>
    <m/>
    <x v="0"/>
  </r>
  <r>
    <x v="12"/>
    <m/>
    <s v="K120127708"/>
    <s v="王宜強"/>
    <s v="CA"/>
    <n v="0"/>
    <n v="0"/>
    <n v="0"/>
    <n v="0"/>
    <n v="0"/>
    <n v="0"/>
    <n v="0"/>
    <n v="0"/>
    <n v="0"/>
    <m/>
    <x v="0"/>
  </r>
  <r>
    <x v="12"/>
    <s v="K220708554"/>
    <s v="UM"/>
    <s v="林詩茹"/>
    <n v="2"/>
    <n v="0"/>
    <n v="0"/>
    <n v="1"/>
    <n v="3004"/>
    <n v="1"/>
    <n v="0"/>
    <n v="0"/>
    <n v="0"/>
    <n v="0"/>
    <n v="0"/>
    <x v="5"/>
  </r>
  <r>
    <x v="12"/>
    <m/>
    <s v="K120697456"/>
    <s v="連坤誌"/>
    <s v="UM"/>
    <n v="0"/>
    <n v="0"/>
    <n v="3.5"/>
    <n v="45693"/>
    <n v="1"/>
    <n v="1"/>
    <n v="1"/>
    <m/>
    <n v="1"/>
    <m/>
    <x v="0"/>
  </r>
  <r>
    <x v="12"/>
    <m/>
    <s v="K221394536"/>
    <s v="張栗榛"/>
    <s v="CA"/>
    <n v="0"/>
    <n v="0"/>
    <n v="0"/>
    <n v="0"/>
    <n v="0"/>
    <n v="0"/>
    <n v="0"/>
    <n v="1"/>
    <n v="0"/>
    <m/>
    <x v="0"/>
  </r>
  <r>
    <x v="12"/>
    <m/>
    <s v="K220487434"/>
    <s v="張瑞蓮"/>
    <s v="CA"/>
    <n v="0"/>
    <n v="0"/>
    <n v="2"/>
    <n v="11729"/>
    <n v="1"/>
    <n v="1"/>
    <n v="0"/>
    <n v="1"/>
    <n v="0"/>
    <m/>
    <x v="0"/>
  </r>
  <r>
    <x v="12"/>
    <s v="K120697456"/>
    <s v="UM"/>
    <s v="連坤誌"/>
    <n v="3"/>
    <n v="0"/>
    <n v="0"/>
    <n v="5.5"/>
    <n v="57422"/>
    <n v="2"/>
    <n v="2"/>
    <n v="1"/>
    <n v="2"/>
    <n v="1"/>
    <n v="0"/>
    <x v="5"/>
  </r>
  <r>
    <x v="12"/>
    <m/>
    <s v="K222966652"/>
    <s v="黃沛羚"/>
    <s v="SP"/>
    <n v="0"/>
    <n v="0"/>
    <n v="5.5"/>
    <n v="119847"/>
    <n v="1"/>
    <n v="1"/>
    <n v="1"/>
    <m/>
    <n v="1"/>
    <m/>
    <x v="0"/>
  </r>
  <r>
    <x v="12"/>
    <m/>
    <s v="K122998563"/>
    <s v="徐祥峰"/>
    <s v="CA"/>
    <n v="0"/>
    <n v="0"/>
    <n v="0"/>
    <n v="0"/>
    <n v="0"/>
    <n v="0"/>
    <n v="0"/>
    <n v="1"/>
    <n v="0"/>
    <m/>
    <x v="0"/>
  </r>
  <r>
    <x v="12"/>
    <m/>
    <s v="K222859581"/>
    <s v="邱宥婷"/>
    <s v="CA"/>
    <n v="0"/>
    <n v="0"/>
    <n v="1"/>
    <n v="6000"/>
    <n v="1"/>
    <n v="0"/>
    <n v="0"/>
    <n v="1"/>
    <n v="0"/>
    <m/>
    <x v="0"/>
  </r>
  <r>
    <x v="12"/>
    <s v="K222966652"/>
    <s v="SP"/>
    <s v="黃沛羚"/>
    <n v="3"/>
    <n v="0"/>
    <n v="0"/>
    <n v="6.5"/>
    <n v="125847"/>
    <n v="2"/>
    <n v="1"/>
    <n v="1"/>
    <n v="2"/>
    <n v="1"/>
    <n v="1"/>
    <x v="3"/>
  </r>
  <r>
    <x v="12"/>
    <m/>
    <s v="K120695774"/>
    <s v="連坤渝"/>
    <s v="MS"/>
    <n v="0"/>
    <n v="0"/>
    <n v="0"/>
    <n v="0"/>
    <n v="0"/>
    <n v="0"/>
    <n v="0"/>
    <m/>
    <n v="0"/>
    <m/>
    <x v="0"/>
  </r>
  <r>
    <x v="12"/>
    <s v="K120695774"/>
    <s v="MS"/>
    <s v="連坤渝"/>
    <n v="1"/>
    <n v="0"/>
    <n v="0"/>
    <n v="0"/>
    <n v="0"/>
    <n v="0"/>
    <n v="0"/>
    <n v="0"/>
    <n v="0"/>
    <n v="0"/>
    <n v="0"/>
    <x v="4"/>
  </r>
  <r>
    <x v="12"/>
    <m/>
    <s v="K222408244"/>
    <s v="張筠"/>
    <s v="AM"/>
    <n v="0"/>
    <n v="0"/>
    <n v="4"/>
    <n v="16345"/>
    <n v="1"/>
    <n v="0"/>
    <n v="0"/>
    <m/>
    <n v="0"/>
    <m/>
    <x v="0"/>
  </r>
  <r>
    <x v="12"/>
    <m/>
    <s v="K222408306"/>
    <s v="黃雅君"/>
    <s v="CA"/>
    <n v="0"/>
    <n v="0"/>
    <n v="0"/>
    <n v="0"/>
    <n v="0"/>
    <n v="0"/>
    <n v="0"/>
    <n v="0"/>
    <n v="0"/>
    <m/>
    <x v="0"/>
  </r>
  <r>
    <x v="12"/>
    <s v="K222408244"/>
    <s v="AM"/>
    <s v="張筠"/>
    <n v="2"/>
    <n v="0"/>
    <n v="0"/>
    <n v="4"/>
    <n v="16345"/>
    <n v="1"/>
    <n v="0"/>
    <n v="0"/>
    <n v="0"/>
    <n v="0"/>
    <n v="0"/>
    <x v="2"/>
  </r>
  <r>
    <x v="12"/>
    <m/>
    <s v="K220593188"/>
    <s v="鍾采樺"/>
    <s v="AM"/>
    <n v="0"/>
    <n v="0"/>
    <n v="2"/>
    <n v="33817"/>
    <n v="1"/>
    <n v="1"/>
    <n v="1"/>
    <m/>
    <n v="1"/>
    <m/>
    <x v="0"/>
  </r>
  <r>
    <x v="12"/>
    <m/>
    <s v="A122837717"/>
    <s v="陳玄峯"/>
    <s v="CA"/>
    <n v="0"/>
    <n v="0"/>
    <n v="0"/>
    <n v="0"/>
    <n v="0"/>
    <n v="0"/>
    <n v="0"/>
    <n v="0"/>
    <n v="0"/>
    <m/>
    <x v="0"/>
  </r>
  <r>
    <x v="12"/>
    <s v="K220593188"/>
    <s v="AM"/>
    <s v="鍾采樺"/>
    <n v="2"/>
    <n v="0"/>
    <n v="0"/>
    <n v="2"/>
    <n v="33817"/>
    <n v="1"/>
    <n v="1"/>
    <n v="1"/>
    <n v="0"/>
    <n v="1"/>
    <n v="0"/>
    <x v="2"/>
  </r>
  <r>
    <x v="12"/>
    <m/>
    <s v="K121974372"/>
    <s v="黃立峯"/>
    <s v="SP"/>
    <n v="0"/>
    <n v="0"/>
    <n v="0"/>
    <n v="0"/>
    <n v="0"/>
    <n v="0"/>
    <n v="0"/>
    <m/>
    <n v="0"/>
    <m/>
    <x v="0"/>
  </r>
  <r>
    <x v="12"/>
    <m/>
    <s v="K222175615"/>
    <s v="何若穎"/>
    <s v="CA"/>
    <n v="0"/>
    <n v="0"/>
    <n v="0"/>
    <n v="0"/>
    <n v="0"/>
    <n v="0"/>
    <n v="0"/>
    <n v="0"/>
    <n v="0"/>
    <m/>
    <x v="0"/>
  </r>
  <r>
    <x v="12"/>
    <s v="K121974372"/>
    <s v="SP"/>
    <s v="黃立峯"/>
    <n v="2"/>
    <n v="0"/>
    <n v="0"/>
    <n v="0"/>
    <n v="0"/>
    <n v="0"/>
    <n v="0"/>
    <n v="0"/>
    <n v="0"/>
    <n v="0"/>
    <n v="0"/>
    <x v="3"/>
  </r>
  <r>
    <x v="12"/>
    <m/>
    <s v="K121724014"/>
    <s v="吳忠明"/>
    <s v="SP"/>
    <n v="0"/>
    <n v="0"/>
    <n v="2"/>
    <n v="14407"/>
    <n v="1"/>
    <n v="0"/>
    <n v="0"/>
    <m/>
    <n v="0"/>
    <m/>
    <x v="0"/>
  </r>
  <r>
    <x v="12"/>
    <s v="K121724014"/>
    <s v="SP"/>
    <s v="吳忠明"/>
    <n v="1"/>
    <n v="0"/>
    <n v="0"/>
    <n v="2"/>
    <n v="14407"/>
    <n v="1"/>
    <n v="0"/>
    <n v="0"/>
    <n v="0"/>
    <n v="0"/>
    <n v="0"/>
    <x v="3"/>
  </r>
  <r>
    <x v="12"/>
    <m/>
    <s v="K121791337"/>
    <s v="馮丞浩"/>
    <s v="SP"/>
    <n v="0"/>
    <n v="0"/>
    <n v="0"/>
    <n v="0"/>
    <n v="0"/>
    <n v="0"/>
    <n v="0"/>
    <m/>
    <n v="0"/>
    <m/>
    <x v="0"/>
  </r>
  <r>
    <x v="12"/>
    <s v="K121791337"/>
    <s v="SP"/>
    <s v="馮丞浩"/>
    <n v="1"/>
    <n v="0"/>
    <n v="0"/>
    <n v="0"/>
    <n v="0"/>
    <n v="0"/>
    <n v="0"/>
    <n v="0"/>
    <n v="0"/>
    <n v="0"/>
    <n v="0"/>
    <x v="3"/>
  </r>
  <r>
    <x v="12"/>
    <m/>
    <s v="K220104618"/>
    <s v="蔡純惠"/>
    <s v="UM"/>
    <n v="0"/>
    <n v="0"/>
    <n v="1"/>
    <n v="14626"/>
    <n v="1"/>
    <n v="0"/>
    <n v="0"/>
    <m/>
    <n v="0"/>
    <m/>
    <x v="0"/>
  </r>
  <r>
    <x v="12"/>
    <m/>
    <s v="K220048580"/>
    <s v="趙子梅"/>
    <s v="CA"/>
    <n v="0"/>
    <n v="0"/>
    <n v="0"/>
    <n v="0"/>
    <n v="0"/>
    <n v="0"/>
    <n v="0"/>
    <n v="0"/>
    <n v="0"/>
    <m/>
    <x v="0"/>
  </r>
  <r>
    <x v="12"/>
    <m/>
    <s v="K222594530"/>
    <s v="李雅萍"/>
    <s v="CA"/>
    <n v="0"/>
    <n v="0"/>
    <n v="0"/>
    <n v="0"/>
    <n v="0"/>
    <n v="0"/>
    <n v="0"/>
    <n v="0"/>
    <n v="0"/>
    <m/>
    <x v="0"/>
  </r>
  <r>
    <x v="12"/>
    <m/>
    <s v="K222428755"/>
    <s v="張欣婷(育停)"/>
    <m/>
    <n v="0"/>
    <n v="0"/>
    <n v="0"/>
    <n v="0"/>
    <m/>
    <m/>
    <m/>
    <m/>
    <m/>
    <m/>
    <x v="0"/>
  </r>
  <r>
    <x v="12"/>
    <s v="K220104618"/>
    <s v="UM"/>
    <s v="蔡純惠"/>
    <n v="3"/>
    <n v="0"/>
    <n v="0"/>
    <n v="1"/>
    <n v="14626"/>
    <n v="1"/>
    <n v="0"/>
    <n v="0"/>
    <n v="0"/>
    <n v="0"/>
    <n v="0"/>
    <x v="5"/>
  </r>
  <r>
    <x v="12"/>
    <m/>
    <s v="N220687507"/>
    <s v="何淑娟"/>
    <s v="AM"/>
    <n v="0"/>
    <n v="0"/>
    <n v="2"/>
    <n v="6372"/>
    <n v="1"/>
    <n v="0"/>
    <n v="0"/>
    <m/>
    <n v="0"/>
    <m/>
    <x v="0"/>
  </r>
  <r>
    <x v="12"/>
    <m/>
    <s v="K120449138"/>
    <s v="黃立成"/>
    <s v="CA"/>
    <n v="0"/>
    <n v="0"/>
    <n v="0"/>
    <n v="0"/>
    <n v="0"/>
    <n v="0"/>
    <n v="0"/>
    <n v="0"/>
    <n v="0"/>
    <m/>
    <x v="0"/>
  </r>
  <r>
    <x v="12"/>
    <m/>
    <s v="K220650893"/>
    <s v="彭琇珍"/>
    <s v="CA"/>
    <n v="0"/>
    <n v="0"/>
    <n v="1"/>
    <n v="12125"/>
    <n v="1"/>
    <n v="1"/>
    <n v="0"/>
    <n v="0"/>
    <n v="0"/>
    <m/>
    <x v="0"/>
  </r>
  <r>
    <x v="12"/>
    <s v="N220687507"/>
    <s v="AM"/>
    <s v="何淑娟"/>
    <n v="3"/>
    <n v="0"/>
    <n v="0"/>
    <n v="3"/>
    <n v="18497"/>
    <n v="2"/>
    <n v="1"/>
    <n v="0"/>
    <n v="0"/>
    <n v="0"/>
    <n v="0"/>
    <x v="2"/>
  </r>
  <r>
    <x v="12"/>
    <m/>
    <m/>
    <m/>
    <n v="40"/>
    <n v="1"/>
    <n v="31450"/>
    <n v="29"/>
    <n v="348732"/>
    <n v="14"/>
    <n v="8"/>
    <n v="4"/>
    <n v="7"/>
    <n v="4"/>
    <n v="2"/>
    <x v="0"/>
  </r>
  <r>
    <x v="13"/>
    <m/>
    <s v="A223311803"/>
    <s v="陳婉琳"/>
    <s v="DM "/>
    <n v="0"/>
    <n v="0"/>
    <n v="1"/>
    <n v="28291"/>
    <n v="1"/>
    <n v="1"/>
    <n v="1"/>
    <m/>
    <n v="1"/>
    <m/>
    <x v="0"/>
  </r>
  <r>
    <x v="13"/>
    <m/>
    <s v="J221299464"/>
    <s v="田秀莉"/>
    <s v="CA "/>
    <n v="0"/>
    <n v="0"/>
    <n v="0"/>
    <n v="0"/>
    <n v="0"/>
    <n v="0"/>
    <n v="0"/>
    <n v="0"/>
    <n v="0"/>
    <m/>
    <x v="0"/>
  </r>
  <r>
    <x v="13"/>
    <m/>
    <s v="M222766493"/>
    <s v="蔡佳雯"/>
    <s v="CA"/>
    <n v="0"/>
    <n v="0"/>
    <n v="1"/>
    <n v="11083"/>
    <n v="1"/>
    <n v="1"/>
    <n v="0"/>
    <n v="0"/>
    <n v="0"/>
    <m/>
    <x v="0"/>
  </r>
  <r>
    <x v="13"/>
    <m/>
    <s v="J220182362"/>
    <s v="張素婷"/>
    <s v="CA"/>
    <n v="0"/>
    <n v="0"/>
    <n v="2"/>
    <n v="8689"/>
    <n v="1"/>
    <n v="0"/>
    <n v="0"/>
    <n v="0"/>
    <n v="0"/>
    <m/>
    <x v="0"/>
  </r>
  <r>
    <x v="13"/>
    <m/>
    <s v="J220555221"/>
    <s v="劉憶芳"/>
    <s v="CA "/>
    <n v="0"/>
    <n v="0"/>
    <n v="1"/>
    <n v="1972"/>
    <n v="1"/>
    <n v="0"/>
    <n v="0"/>
    <n v="0"/>
    <n v="0"/>
    <m/>
    <x v="0"/>
  </r>
  <r>
    <x v="13"/>
    <m/>
    <s v="J220139441"/>
    <s v="李依蓉"/>
    <s v="CA "/>
    <n v="0"/>
    <n v="0"/>
    <n v="1"/>
    <n v="14694"/>
    <n v="1"/>
    <n v="1"/>
    <n v="0"/>
    <n v="0"/>
    <n v="0"/>
    <m/>
    <x v="0"/>
  </r>
  <r>
    <x v="13"/>
    <s v="A223311803"/>
    <s v="DM"/>
    <s v="陳婉琳"/>
    <n v="6"/>
    <n v="0"/>
    <n v="0"/>
    <n v="6"/>
    <n v="64729"/>
    <n v="5"/>
    <n v="3"/>
    <n v="1"/>
    <n v="0"/>
    <n v="1"/>
    <n v="0"/>
    <x v="1"/>
  </r>
  <r>
    <x v="13"/>
    <m/>
    <s v="K221735788"/>
    <s v="林念萱"/>
    <s v="UM"/>
    <n v="0"/>
    <n v="0"/>
    <n v="3"/>
    <n v="22764"/>
    <n v="1"/>
    <n v="1"/>
    <n v="0"/>
    <m/>
    <n v="0"/>
    <m/>
    <x v="0"/>
  </r>
  <r>
    <x v="13"/>
    <m/>
    <s v="K221635578"/>
    <s v="林素青"/>
    <s v="CA "/>
    <n v="0"/>
    <n v="0"/>
    <n v="0"/>
    <n v="0"/>
    <n v="0"/>
    <n v="0"/>
    <n v="0"/>
    <n v="0"/>
    <n v="0"/>
    <m/>
    <x v="0"/>
  </r>
  <r>
    <x v="13"/>
    <m/>
    <s v="K221695109"/>
    <s v="田佩玉"/>
    <s v="CA "/>
    <n v="0"/>
    <n v="0"/>
    <n v="0"/>
    <n v="0"/>
    <n v="0"/>
    <n v="0"/>
    <n v="0"/>
    <n v="0"/>
    <n v="0"/>
    <m/>
    <x v="0"/>
  </r>
  <r>
    <x v="13"/>
    <s v="K221735788"/>
    <s v="UM"/>
    <s v="林念萱"/>
    <n v="3"/>
    <n v="0"/>
    <n v="0"/>
    <n v="3"/>
    <n v="22764"/>
    <n v="1"/>
    <n v="1"/>
    <n v="0"/>
    <n v="0"/>
    <n v="0"/>
    <n v="0"/>
    <x v="5"/>
  </r>
  <r>
    <x v="13"/>
    <m/>
    <s v="H121180823"/>
    <s v="萬柱石"/>
    <s v="UM "/>
    <n v="0"/>
    <n v="0"/>
    <n v="0"/>
    <n v="0"/>
    <n v="0"/>
    <n v="0"/>
    <n v="0"/>
    <m/>
    <n v="0"/>
    <m/>
    <x v="0"/>
  </r>
  <r>
    <x v="13"/>
    <m/>
    <s v="Q220938887"/>
    <s v="吳婕榕"/>
    <s v="NCT"/>
    <n v="0"/>
    <n v="0"/>
    <n v="2"/>
    <n v="14847"/>
    <n v="1"/>
    <n v="1"/>
    <n v="0"/>
    <n v="0"/>
    <n v="0"/>
    <m/>
    <x v="0"/>
  </r>
  <r>
    <x v="13"/>
    <m/>
    <s v="D220739222"/>
    <s v="劉家琪"/>
    <s v="CSS"/>
    <n v="0"/>
    <n v="0"/>
    <n v="0"/>
    <n v="0"/>
    <n v="0"/>
    <n v="0"/>
    <n v="0"/>
    <n v="0"/>
    <n v="0"/>
    <m/>
    <x v="0"/>
  </r>
  <r>
    <x v="13"/>
    <m/>
    <s v="F220389859"/>
    <s v="徐惠美"/>
    <s v="CA "/>
    <n v="0"/>
    <n v="0"/>
    <n v="0"/>
    <n v="0"/>
    <n v="0"/>
    <n v="0"/>
    <n v="0"/>
    <n v="0"/>
    <n v="0"/>
    <m/>
    <x v="0"/>
  </r>
  <r>
    <x v="13"/>
    <m/>
    <s v="J122709556"/>
    <s v="謝嘉文"/>
    <s v="CA "/>
    <n v="0"/>
    <n v="0"/>
    <n v="0"/>
    <n v="0"/>
    <n v="0"/>
    <n v="0"/>
    <n v="0"/>
    <n v="0"/>
    <n v="0"/>
    <m/>
    <x v="0"/>
  </r>
  <r>
    <x v="13"/>
    <s v="H121180823"/>
    <s v="UM"/>
    <s v="萬柱石"/>
    <n v="5"/>
    <n v="0"/>
    <n v="0"/>
    <n v="2"/>
    <n v="14847"/>
    <n v="1"/>
    <n v="1"/>
    <n v="0"/>
    <n v="0"/>
    <n v="0"/>
    <n v="0"/>
    <x v="5"/>
  </r>
  <r>
    <x v="13"/>
    <m/>
    <s v="T220174171"/>
    <s v="黃慧芳"/>
    <s v="MS"/>
    <n v="0"/>
    <n v="0"/>
    <n v="0"/>
    <n v="0"/>
    <n v="0"/>
    <n v="0"/>
    <n v="0"/>
    <m/>
    <n v="0"/>
    <m/>
    <x v="0"/>
  </r>
  <r>
    <x v="13"/>
    <s v="T220174171"/>
    <s v="MS"/>
    <s v="黃慧芳"/>
    <n v="1"/>
    <n v="0"/>
    <n v="0"/>
    <n v="0"/>
    <n v="0"/>
    <n v="0"/>
    <n v="0"/>
    <n v="0"/>
    <n v="0"/>
    <n v="0"/>
    <n v="0"/>
    <x v="4"/>
  </r>
  <r>
    <x v="13"/>
    <m/>
    <s v="J220562842"/>
    <s v="官千櫻"/>
    <s v="UM "/>
    <n v="1"/>
    <n v="8568"/>
    <n v="4"/>
    <n v="61909"/>
    <n v="1"/>
    <n v="1"/>
    <n v="1"/>
    <m/>
    <n v="1"/>
    <m/>
    <x v="0"/>
  </r>
  <r>
    <x v="13"/>
    <m/>
    <s v="F221568916"/>
    <s v="周玉典"/>
    <s v="CA "/>
    <n v="0"/>
    <n v="0"/>
    <n v="0"/>
    <n v="0"/>
    <n v="0"/>
    <n v="0"/>
    <n v="0"/>
    <n v="0"/>
    <n v="0"/>
    <m/>
    <x v="0"/>
  </r>
  <r>
    <x v="13"/>
    <m/>
    <s v="J120871237"/>
    <s v="吳東曄"/>
    <s v="CA "/>
    <n v="0"/>
    <n v="0"/>
    <n v="1"/>
    <n v="66830"/>
    <n v="1"/>
    <n v="1"/>
    <n v="1"/>
    <n v="0"/>
    <n v="1"/>
    <m/>
    <x v="0"/>
  </r>
  <r>
    <x v="13"/>
    <m/>
    <s v="K221016233"/>
    <s v="林淑"/>
    <s v="CA "/>
    <n v="0"/>
    <n v="0"/>
    <n v="0"/>
    <n v="0"/>
    <n v="0"/>
    <n v="0"/>
    <n v="0"/>
    <n v="0"/>
    <n v="0"/>
    <m/>
    <x v="0"/>
  </r>
  <r>
    <x v="13"/>
    <m/>
    <s v="O100178776"/>
    <s v="戴家緣"/>
    <s v="CSS"/>
    <n v="0"/>
    <n v="0"/>
    <n v="1"/>
    <n v="3082"/>
    <n v="1"/>
    <n v="0"/>
    <n v="0"/>
    <n v="0"/>
    <n v="0"/>
    <m/>
    <x v="0"/>
  </r>
  <r>
    <x v="13"/>
    <s v="J220562842"/>
    <s v="UM"/>
    <s v="官千櫻"/>
    <n v="5"/>
    <n v="1"/>
    <n v="8568"/>
    <n v="6"/>
    <n v="131821"/>
    <n v="3"/>
    <n v="2"/>
    <n v="2"/>
    <n v="0"/>
    <n v="2"/>
    <n v="0"/>
    <x v="5"/>
  </r>
  <r>
    <x v="13"/>
    <m/>
    <s v="S221148129"/>
    <s v="陳秀眉"/>
    <s v="AM "/>
    <n v="1"/>
    <n v="25895"/>
    <n v="1"/>
    <n v="30895"/>
    <n v="1"/>
    <n v="1"/>
    <n v="1"/>
    <m/>
    <n v="1"/>
    <m/>
    <x v="0"/>
  </r>
  <r>
    <x v="13"/>
    <m/>
    <s v="S223946294"/>
    <s v="陳薇如"/>
    <s v="CA "/>
    <n v="0"/>
    <n v="0"/>
    <n v="1"/>
    <n v="9989"/>
    <n v="1"/>
    <n v="0"/>
    <n v="0"/>
    <n v="0"/>
    <n v="0"/>
    <m/>
    <x v="0"/>
  </r>
  <r>
    <x v="13"/>
    <m/>
    <s v="A129131567"/>
    <s v="蔡尚霖"/>
    <s v="CA "/>
    <n v="0"/>
    <n v="0"/>
    <n v="0"/>
    <n v="0"/>
    <n v="0"/>
    <n v="0"/>
    <n v="0"/>
    <n v="0"/>
    <n v="0"/>
    <m/>
    <x v="0"/>
  </r>
  <r>
    <x v="13"/>
    <s v="S221148129"/>
    <s v="AM"/>
    <s v="陳秀眉"/>
    <n v="3"/>
    <n v="1"/>
    <n v="25895"/>
    <n v="2"/>
    <n v="40884"/>
    <n v="2"/>
    <n v="1"/>
    <n v="1"/>
    <n v="0"/>
    <n v="1"/>
    <n v="0"/>
    <x v="2"/>
  </r>
  <r>
    <x v="13"/>
    <m/>
    <s v="J221723590"/>
    <s v="翁秀玲"/>
    <s v="AM "/>
    <n v="0"/>
    <n v="0"/>
    <n v="1"/>
    <n v="25691"/>
    <n v="1"/>
    <n v="1"/>
    <n v="1"/>
    <m/>
    <n v="1"/>
    <m/>
    <x v="0"/>
  </r>
  <r>
    <x v="13"/>
    <s v="J221723590"/>
    <s v="AM"/>
    <s v="翁秀玲"/>
    <n v="1"/>
    <n v="0"/>
    <n v="0"/>
    <n v="1"/>
    <n v="25691"/>
    <n v="1"/>
    <n v="1"/>
    <n v="1"/>
    <n v="0"/>
    <n v="1"/>
    <n v="0"/>
    <x v="2"/>
  </r>
  <r>
    <x v="13"/>
    <m/>
    <s v="N220937486"/>
    <s v="蔡慧貞"/>
    <s v="UM "/>
    <n v="0"/>
    <n v="0"/>
    <n v="3"/>
    <n v="27179"/>
    <n v="1"/>
    <n v="1"/>
    <n v="1"/>
    <m/>
    <n v="1"/>
    <m/>
    <x v="0"/>
  </r>
  <r>
    <x v="13"/>
    <m/>
    <s v="J220336271"/>
    <s v="許寶月"/>
    <s v="CA "/>
    <n v="0"/>
    <n v="0"/>
    <n v="0"/>
    <n v="0"/>
    <n v="0"/>
    <n v="0"/>
    <n v="0"/>
    <n v="0"/>
    <n v="0"/>
    <m/>
    <x v="0"/>
  </r>
  <r>
    <x v="13"/>
    <m/>
    <s v="E221372606"/>
    <s v="葉慧絃"/>
    <s v="CA "/>
    <n v="0"/>
    <n v="0"/>
    <n v="2"/>
    <n v="2755"/>
    <n v="1"/>
    <n v="0"/>
    <n v="0"/>
    <n v="0"/>
    <n v="0"/>
    <m/>
    <x v="0"/>
  </r>
  <r>
    <x v="13"/>
    <m/>
    <s v="T221509829"/>
    <s v="劉詩華"/>
    <s v="CSS"/>
    <n v="0"/>
    <n v="0"/>
    <n v="0"/>
    <n v="0"/>
    <n v="0"/>
    <n v="0"/>
    <n v="0"/>
    <n v="0"/>
    <n v="0"/>
    <m/>
    <x v="0"/>
  </r>
  <r>
    <x v="13"/>
    <m/>
    <s v="J220574271"/>
    <s v="鄧鈺淳"/>
    <s v="CA "/>
    <n v="0"/>
    <n v="0"/>
    <n v="0"/>
    <n v="0"/>
    <n v="0"/>
    <n v="0"/>
    <n v="0"/>
    <n v="0"/>
    <n v="0"/>
    <m/>
    <x v="0"/>
  </r>
  <r>
    <x v="13"/>
    <m/>
    <s v="J220831075"/>
    <s v="曹秀英"/>
    <s v="CA "/>
    <n v="0"/>
    <n v="0"/>
    <n v="0"/>
    <n v="0"/>
    <n v="0"/>
    <n v="0"/>
    <n v="0"/>
    <n v="0"/>
    <n v="0"/>
    <m/>
    <x v="0"/>
  </r>
  <r>
    <x v="13"/>
    <m/>
    <s v="J220059939"/>
    <s v="鄭旭華"/>
    <s v="CA "/>
    <n v="0"/>
    <n v="0"/>
    <n v="2"/>
    <n v="7776"/>
    <n v="1"/>
    <n v="0"/>
    <n v="0"/>
    <n v="0"/>
    <n v="0"/>
    <m/>
    <x v="0"/>
  </r>
  <r>
    <x v="13"/>
    <s v="N220937486"/>
    <s v="UM"/>
    <s v="蔡慧貞"/>
    <n v="7"/>
    <n v="0"/>
    <n v="0"/>
    <n v="7"/>
    <n v="37710"/>
    <n v="3"/>
    <n v="1"/>
    <n v="1"/>
    <n v="0"/>
    <n v="1"/>
    <n v="0"/>
    <x v="5"/>
  </r>
  <r>
    <x v="13"/>
    <m/>
    <s v="U220066031"/>
    <s v="惠雯"/>
    <s v="AM "/>
    <n v="0"/>
    <n v="0"/>
    <n v="3.5"/>
    <n v="15810"/>
    <n v="1"/>
    <n v="0"/>
    <n v="0"/>
    <m/>
    <n v="0"/>
    <m/>
    <x v="0"/>
  </r>
  <r>
    <x v="13"/>
    <m/>
    <s v="J122948991"/>
    <s v="紀昱安"/>
    <s v="CA "/>
    <n v="0"/>
    <n v="0"/>
    <n v="1.5"/>
    <n v="12191"/>
    <n v="1"/>
    <n v="1"/>
    <n v="0"/>
    <n v="1"/>
    <n v="0"/>
    <m/>
    <x v="0"/>
  </r>
  <r>
    <x v="13"/>
    <s v="U220066031"/>
    <s v="AM"/>
    <s v="惠雯"/>
    <n v="2"/>
    <n v="0"/>
    <n v="0"/>
    <n v="5"/>
    <n v="28001"/>
    <n v="2"/>
    <n v="1"/>
    <n v="0"/>
    <n v="1"/>
    <n v="0"/>
    <n v="0"/>
    <x v="2"/>
  </r>
  <r>
    <x v="13"/>
    <m/>
    <m/>
    <m/>
    <n v="33"/>
    <n v="2"/>
    <n v="34463"/>
    <n v="32"/>
    <n v="366447"/>
    <n v="18"/>
    <n v="11"/>
    <n v="6"/>
    <n v="1"/>
    <n v="6"/>
    <n v="0"/>
    <x v="0"/>
  </r>
  <r>
    <x v="14"/>
    <m/>
    <s v="L120897009"/>
    <s v="金明建"/>
    <s v="DM "/>
    <n v="0"/>
    <n v="0"/>
    <n v="0"/>
    <n v="0"/>
    <n v="0"/>
    <n v="0"/>
    <n v="0"/>
    <m/>
    <n v="0"/>
    <m/>
    <x v="0"/>
  </r>
  <r>
    <x v="14"/>
    <m/>
    <s v="K221427450"/>
    <s v="傅劭萍"/>
    <s v="CA "/>
    <n v="0"/>
    <n v="0"/>
    <n v="1"/>
    <n v="6507"/>
    <n v="1"/>
    <n v="0"/>
    <n v="0"/>
    <n v="0"/>
    <n v="0"/>
    <m/>
    <x v="0"/>
  </r>
  <r>
    <x v="14"/>
    <m/>
    <s v="K221139660"/>
    <s v="張云瑄"/>
    <s v="CA "/>
    <n v="0"/>
    <n v="0"/>
    <n v="0"/>
    <n v="0"/>
    <n v="0"/>
    <n v="0"/>
    <n v="0"/>
    <n v="0"/>
    <n v="0"/>
    <m/>
    <x v="0"/>
  </r>
  <r>
    <x v="14"/>
    <m/>
    <s v="N223071976"/>
    <s v="林安如"/>
    <s v="CA "/>
    <n v="0"/>
    <n v="0"/>
    <n v="1"/>
    <n v="2262"/>
    <n v="1"/>
    <n v="0"/>
    <n v="0"/>
    <n v="0"/>
    <n v="0"/>
    <m/>
    <x v="0"/>
  </r>
  <r>
    <x v="14"/>
    <m/>
    <s v="K220844911"/>
    <s v="鍾月琴"/>
    <s v="CA "/>
    <n v="0"/>
    <n v="0"/>
    <n v="0"/>
    <n v="0"/>
    <n v="0"/>
    <n v="0"/>
    <n v="0"/>
    <n v="0"/>
    <n v="0"/>
    <m/>
    <x v="0"/>
  </r>
  <r>
    <x v="14"/>
    <s v="L120897009"/>
    <s v="DM"/>
    <s v="金明建"/>
    <n v="5"/>
    <n v="0"/>
    <n v="0"/>
    <n v="2"/>
    <n v="8769"/>
    <n v="2"/>
    <n v="0"/>
    <n v="0"/>
    <n v="0"/>
    <n v="0"/>
    <n v="0"/>
    <x v="1"/>
  </r>
  <r>
    <x v="14"/>
    <m/>
    <s v="K122796425"/>
    <s v="林煜晨"/>
    <s v="SP"/>
    <n v="0"/>
    <n v="0"/>
    <n v="0.5"/>
    <n v="3278"/>
    <n v="1"/>
    <n v="0"/>
    <n v="0"/>
    <m/>
    <n v="0"/>
    <m/>
    <x v="0"/>
  </r>
  <r>
    <x v="14"/>
    <m/>
    <s v="K221117897"/>
    <s v="鄧貴珍"/>
    <s v="CA"/>
    <n v="0"/>
    <n v="0"/>
    <n v="0.5"/>
    <n v="3278"/>
    <n v="1"/>
    <n v="0"/>
    <n v="0"/>
    <n v="0"/>
    <n v="0"/>
    <m/>
    <x v="0"/>
  </r>
  <r>
    <x v="14"/>
    <s v="K122796425"/>
    <s v="SP"/>
    <s v="林煜晨"/>
    <n v="2"/>
    <n v="0"/>
    <n v="0"/>
    <n v="1"/>
    <n v="6556"/>
    <n v="2"/>
    <n v="0"/>
    <n v="0"/>
    <n v="0"/>
    <n v="0"/>
    <n v="0"/>
    <x v="3"/>
  </r>
  <r>
    <x v="14"/>
    <m/>
    <s v="U220437058"/>
    <s v="張黽璿"/>
    <s v="SP"/>
    <n v="0"/>
    <n v="0"/>
    <n v="1"/>
    <n v="11064"/>
    <n v="1"/>
    <n v="0"/>
    <n v="0"/>
    <m/>
    <n v="0"/>
    <m/>
    <x v="0"/>
  </r>
  <r>
    <x v="14"/>
    <m/>
    <s v="I200192991"/>
    <s v="郭妍廷"/>
    <s v="CA"/>
    <n v="0"/>
    <n v="0"/>
    <n v="4"/>
    <n v="27027"/>
    <n v="1"/>
    <n v="1"/>
    <n v="1"/>
    <n v="0"/>
    <n v="1"/>
    <m/>
    <x v="0"/>
  </r>
  <r>
    <x v="14"/>
    <m/>
    <s v="K221780050"/>
    <s v="黃盈琪"/>
    <s v="CA"/>
    <n v="0"/>
    <n v="0"/>
    <n v="0"/>
    <n v="0"/>
    <n v="0"/>
    <n v="0"/>
    <n v="0"/>
    <n v="0"/>
    <n v="0"/>
    <m/>
    <x v="0"/>
  </r>
  <r>
    <x v="14"/>
    <s v="U220437058"/>
    <s v="SP"/>
    <s v="張黽璿"/>
    <n v="3"/>
    <n v="0"/>
    <n v="0"/>
    <n v="5"/>
    <n v="38091"/>
    <n v="2"/>
    <n v="1"/>
    <n v="1"/>
    <n v="0"/>
    <n v="1"/>
    <n v="1"/>
    <x v="3"/>
  </r>
  <r>
    <x v="14"/>
    <m/>
    <s v="K221108950"/>
    <s v="溫秋蘭"/>
    <s v="SP"/>
    <n v="0"/>
    <n v="0"/>
    <n v="0"/>
    <n v="0"/>
    <n v="0"/>
    <n v="0"/>
    <n v="0"/>
    <m/>
    <n v="0"/>
    <m/>
    <x v="0"/>
  </r>
  <r>
    <x v="14"/>
    <m/>
    <s v="A223587334"/>
    <s v="林榕葳"/>
    <s v="CA"/>
    <n v="0"/>
    <n v="0"/>
    <n v="0"/>
    <n v="0"/>
    <n v="0"/>
    <n v="0"/>
    <n v="0"/>
    <n v="0"/>
    <n v="0"/>
    <m/>
    <x v="0"/>
  </r>
  <r>
    <x v="14"/>
    <s v="K221108950"/>
    <s v="SP"/>
    <s v="溫秋蘭"/>
    <n v="2"/>
    <n v="0"/>
    <n v="0"/>
    <n v="0"/>
    <n v="0"/>
    <n v="0"/>
    <n v="0"/>
    <n v="0"/>
    <n v="0"/>
    <n v="0"/>
    <n v="0"/>
    <x v="3"/>
  </r>
  <r>
    <x v="14"/>
    <m/>
    <s v="K220686366"/>
    <s v="林淑英"/>
    <s v="SP"/>
    <n v="0"/>
    <n v="0"/>
    <n v="2.5"/>
    <n v="29844"/>
    <n v="1"/>
    <n v="1"/>
    <n v="1"/>
    <m/>
    <n v="1"/>
    <m/>
    <x v="0"/>
  </r>
  <r>
    <x v="14"/>
    <m/>
    <s v="T223631851"/>
    <s v="陳莉貞"/>
    <s v="CA"/>
    <n v="0"/>
    <n v="0"/>
    <n v="0"/>
    <n v="0"/>
    <n v="0"/>
    <n v="0"/>
    <n v="0"/>
    <n v="0"/>
    <n v="0"/>
    <m/>
    <x v="0"/>
  </r>
  <r>
    <x v="14"/>
    <m/>
    <s v="K122934621"/>
    <s v="劉丞峻"/>
    <s v="CA"/>
    <n v="0"/>
    <n v="0"/>
    <n v="3.5"/>
    <n v="84318"/>
    <n v="1"/>
    <n v="1"/>
    <n v="1"/>
    <n v="0"/>
    <n v="1"/>
    <m/>
    <x v="0"/>
  </r>
  <r>
    <x v="14"/>
    <s v="K220686366"/>
    <s v="SP"/>
    <s v="林淑英"/>
    <n v="3"/>
    <n v="0"/>
    <n v="0"/>
    <n v="6"/>
    <n v="114162"/>
    <n v="2"/>
    <n v="2"/>
    <n v="2"/>
    <n v="0"/>
    <n v="2"/>
    <n v="1"/>
    <x v="3"/>
  </r>
  <r>
    <x v="14"/>
    <m/>
    <s v="K222271434"/>
    <s v="林惠賢"/>
    <s v="MS"/>
    <n v="0"/>
    <n v="0"/>
    <n v="3"/>
    <n v="37602"/>
    <n v="1"/>
    <n v="1"/>
    <n v="1"/>
    <m/>
    <n v="1"/>
    <m/>
    <x v="0"/>
  </r>
  <r>
    <x v="14"/>
    <s v="K222271434"/>
    <s v="MS"/>
    <s v="林惠賢"/>
    <n v="1"/>
    <n v="0"/>
    <n v="0"/>
    <n v="3"/>
    <n v="37602"/>
    <n v="1"/>
    <n v="1"/>
    <n v="1"/>
    <n v="0"/>
    <n v="1"/>
    <n v="0"/>
    <x v="4"/>
  </r>
  <r>
    <x v="14"/>
    <m/>
    <s v="K220720210"/>
    <s v="林苙庭"/>
    <s v="AM"/>
    <n v="0"/>
    <n v="0"/>
    <n v="1"/>
    <n v="1051"/>
    <n v="1"/>
    <n v="0"/>
    <n v="0"/>
    <m/>
    <n v="0"/>
    <m/>
    <x v="0"/>
  </r>
  <r>
    <x v="14"/>
    <m/>
    <s v="S223666371"/>
    <s v="許嵐澤"/>
    <s v="CA"/>
    <n v="0"/>
    <n v="0"/>
    <n v="0"/>
    <n v="0"/>
    <n v="0"/>
    <n v="0"/>
    <n v="0"/>
    <n v="1"/>
    <n v="0"/>
    <m/>
    <x v="0"/>
  </r>
  <r>
    <x v="14"/>
    <s v="K220720210"/>
    <s v="AM"/>
    <s v="林苙庭"/>
    <n v="2"/>
    <n v="0"/>
    <n v="0"/>
    <n v="1"/>
    <n v="1051"/>
    <n v="1"/>
    <n v="0"/>
    <n v="0"/>
    <n v="1"/>
    <n v="0"/>
    <n v="0"/>
    <x v="2"/>
  </r>
  <r>
    <x v="14"/>
    <m/>
    <s v="K120857041"/>
    <s v="徐維新"/>
    <s v="SP"/>
    <n v="0"/>
    <n v="0"/>
    <n v="0"/>
    <n v="0"/>
    <n v="0"/>
    <n v="0"/>
    <n v="0"/>
    <m/>
    <n v="0"/>
    <m/>
    <x v="0"/>
  </r>
  <r>
    <x v="14"/>
    <m/>
    <s v="P221417466"/>
    <s v="許秀錦"/>
    <s v="CA"/>
    <n v="0"/>
    <n v="0"/>
    <n v="1"/>
    <n v="6640"/>
    <n v="1"/>
    <n v="0"/>
    <n v="0"/>
    <n v="0"/>
    <n v="0"/>
    <m/>
    <x v="0"/>
  </r>
  <r>
    <x v="14"/>
    <s v="K120857041"/>
    <s v="SP"/>
    <s v="徐維新"/>
    <n v="2"/>
    <n v="0"/>
    <n v="0"/>
    <n v="1"/>
    <n v="6640"/>
    <n v="1"/>
    <n v="0"/>
    <n v="0"/>
    <n v="0"/>
    <n v="0"/>
    <n v="0"/>
    <x v="3"/>
  </r>
  <r>
    <x v="14"/>
    <m/>
    <s v="K122205796"/>
    <s v="曾為生"/>
    <s v="AM"/>
    <n v="0"/>
    <n v="0"/>
    <n v="1"/>
    <n v="1108"/>
    <n v="1"/>
    <n v="0"/>
    <n v="0"/>
    <m/>
    <n v="0"/>
    <m/>
    <x v="0"/>
  </r>
  <r>
    <x v="14"/>
    <m/>
    <s v="N125479978"/>
    <s v="楊于漢"/>
    <s v="CA"/>
    <n v="0"/>
    <n v="0"/>
    <n v="1"/>
    <n v="11528"/>
    <n v="1"/>
    <n v="1"/>
    <n v="0"/>
    <n v="0"/>
    <n v="0"/>
    <m/>
    <x v="0"/>
  </r>
  <r>
    <x v="14"/>
    <m/>
    <s v="H124882735"/>
    <s v="朱德勝"/>
    <s v="CA"/>
    <n v="0"/>
    <n v="0"/>
    <n v="1"/>
    <n v="3287"/>
    <n v="1"/>
    <n v="0"/>
    <n v="0"/>
    <n v="0"/>
    <n v="0"/>
    <m/>
    <x v="0"/>
  </r>
  <r>
    <x v="14"/>
    <s v="K122205796"/>
    <s v="AM"/>
    <s v="曾為生"/>
    <n v="3"/>
    <n v="0"/>
    <n v="0"/>
    <n v="3"/>
    <n v="15923"/>
    <n v="3"/>
    <n v="1"/>
    <n v="0"/>
    <n v="0"/>
    <n v="0"/>
    <n v="0"/>
    <x v="2"/>
  </r>
  <r>
    <x v="14"/>
    <m/>
    <s v="A222300584"/>
    <s v="鍾宜珊"/>
    <s v="MM"/>
    <n v="0"/>
    <n v="0"/>
    <n v="0"/>
    <n v="0"/>
    <n v="0"/>
    <n v="0"/>
    <n v="0"/>
    <m/>
    <n v="0"/>
    <m/>
    <x v="0"/>
  </r>
  <r>
    <x v="14"/>
    <s v="A222300584"/>
    <s v="MM"/>
    <s v="鍾宜珊"/>
    <n v="1"/>
    <n v="0"/>
    <n v="0"/>
    <n v="0"/>
    <n v="0"/>
    <n v="0"/>
    <n v="0"/>
    <n v="0"/>
    <n v="0"/>
    <n v="0"/>
    <n v="0"/>
    <x v="8"/>
  </r>
  <r>
    <x v="14"/>
    <m/>
    <s v="K222094393"/>
    <s v="彭爰恩"/>
    <s v="UM"/>
    <n v="0"/>
    <n v="0"/>
    <n v="1"/>
    <n v="1146"/>
    <n v="1"/>
    <n v="0"/>
    <n v="0"/>
    <m/>
    <n v="0"/>
    <m/>
    <x v="0"/>
  </r>
  <r>
    <x v="14"/>
    <m/>
    <s v="K220971968"/>
    <s v="黃淑芬"/>
    <s v="CA "/>
    <n v="0"/>
    <n v="0"/>
    <n v="0.5"/>
    <n v="4864"/>
    <n v="1"/>
    <n v="0"/>
    <n v="0"/>
    <n v="0"/>
    <n v="0"/>
    <m/>
    <x v="0"/>
  </r>
  <r>
    <x v="14"/>
    <m/>
    <s v="K222562832"/>
    <s v="張巧蝶"/>
    <s v="CA "/>
    <n v="0"/>
    <n v="0"/>
    <n v="0.5"/>
    <n v="4864"/>
    <n v="1"/>
    <n v="0"/>
    <n v="0"/>
    <n v="0"/>
    <n v="0"/>
    <m/>
    <x v="0"/>
  </r>
  <r>
    <x v="14"/>
    <m/>
    <s v="K222094384"/>
    <s v="彭奕慈"/>
    <s v="CA "/>
    <n v="0"/>
    <n v="0"/>
    <n v="0.5"/>
    <n v="573"/>
    <n v="1"/>
    <n v="0"/>
    <n v="0"/>
    <n v="0"/>
    <n v="0"/>
    <m/>
    <x v="0"/>
  </r>
  <r>
    <x v="14"/>
    <m/>
    <s v="K122206506"/>
    <s v="朱進強"/>
    <s v="CA "/>
    <n v="0"/>
    <n v="0"/>
    <n v="0.5"/>
    <n v="573"/>
    <n v="1"/>
    <n v="0"/>
    <n v="0"/>
    <n v="0"/>
    <n v="0"/>
    <m/>
    <x v="0"/>
  </r>
  <r>
    <x v="14"/>
    <m/>
    <s v="K220713822"/>
    <s v="張瑟瑛"/>
    <s v="CA"/>
    <n v="0"/>
    <n v="0"/>
    <n v="3"/>
    <n v="19548"/>
    <n v="1"/>
    <n v="1"/>
    <n v="0"/>
    <n v="0"/>
    <n v="0"/>
    <m/>
    <x v="0"/>
  </r>
  <r>
    <x v="14"/>
    <s v="K222094393"/>
    <s v="UM"/>
    <s v="彭爰恩"/>
    <n v="6"/>
    <n v="0"/>
    <n v="0"/>
    <n v="6"/>
    <n v="31568"/>
    <n v="6"/>
    <n v="1"/>
    <n v="0"/>
    <n v="0"/>
    <n v="0"/>
    <n v="0"/>
    <x v="5"/>
  </r>
  <r>
    <x v="14"/>
    <m/>
    <s v="O200250211"/>
    <s v="顏詩穎"/>
    <s v="SP"/>
    <n v="0"/>
    <n v="0"/>
    <n v="0"/>
    <n v="0"/>
    <n v="0"/>
    <n v="0"/>
    <n v="0"/>
    <m/>
    <n v="0"/>
    <m/>
    <x v="0"/>
  </r>
  <r>
    <x v="14"/>
    <m/>
    <s v="K221638702"/>
    <s v="劉素安"/>
    <s v="CA"/>
    <n v="0"/>
    <n v="0"/>
    <n v="0"/>
    <n v="0"/>
    <n v="0"/>
    <n v="0"/>
    <n v="0"/>
    <n v="0"/>
    <n v="0"/>
    <m/>
    <x v="0"/>
  </r>
  <r>
    <x v="14"/>
    <s v="O200250211"/>
    <s v="SP"/>
    <s v="顏詩穎"/>
    <n v="2"/>
    <n v="0"/>
    <n v="0"/>
    <n v="0"/>
    <n v="0"/>
    <n v="0"/>
    <n v="0"/>
    <n v="0"/>
    <n v="0"/>
    <n v="0"/>
    <n v="0"/>
    <x v="3"/>
  </r>
  <r>
    <x v="14"/>
    <m/>
    <s v="K221751497"/>
    <s v="陳麗萍"/>
    <s v="AM"/>
    <n v="0"/>
    <n v="0"/>
    <n v="0"/>
    <n v="0"/>
    <n v="0"/>
    <n v="0"/>
    <n v="0"/>
    <m/>
    <n v="0"/>
    <m/>
    <x v="0"/>
  </r>
  <r>
    <x v="14"/>
    <m/>
    <s v="K221506554"/>
    <s v="黃淑芳"/>
    <s v="CA "/>
    <n v="0"/>
    <n v="0"/>
    <n v="0"/>
    <n v="0"/>
    <n v="0"/>
    <n v="0"/>
    <n v="0"/>
    <n v="0"/>
    <n v="0"/>
    <m/>
    <x v="0"/>
  </r>
  <r>
    <x v="14"/>
    <m/>
    <s v="K221710496"/>
    <s v="宋倩雯"/>
    <s v="CA "/>
    <n v="0"/>
    <n v="0"/>
    <n v="0"/>
    <n v="0"/>
    <n v="0"/>
    <n v="0"/>
    <n v="0"/>
    <n v="0"/>
    <n v="0"/>
    <m/>
    <x v="0"/>
  </r>
  <r>
    <x v="14"/>
    <m/>
    <s v="K122538629"/>
    <s v="黃鉦貴"/>
    <s v="CA"/>
    <n v="0"/>
    <n v="0"/>
    <n v="1"/>
    <n v="462"/>
    <n v="1"/>
    <n v="0"/>
    <n v="0"/>
    <n v="0"/>
    <n v="0"/>
    <m/>
    <x v="0"/>
  </r>
  <r>
    <x v="14"/>
    <s v="K221751497"/>
    <s v="AM"/>
    <s v="陳麗萍"/>
    <n v="4"/>
    <n v="0"/>
    <n v="0"/>
    <n v="1"/>
    <n v="462"/>
    <n v="1"/>
    <n v="0"/>
    <n v="0"/>
    <n v="0"/>
    <n v="0"/>
    <n v="0"/>
    <x v="2"/>
  </r>
  <r>
    <x v="14"/>
    <m/>
    <m/>
    <m/>
    <n v="36"/>
    <n v="0"/>
    <n v="0"/>
    <n v="29"/>
    <n v="260824"/>
    <n v="21"/>
    <n v="6"/>
    <n v="4"/>
    <n v="1"/>
    <n v="4"/>
    <n v="2"/>
    <x v="0"/>
  </r>
  <r>
    <x v="15"/>
    <m/>
    <s v="K220223798"/>
    <s v="樂芸"/>
    <s v="DM"/>
    <n v="0"/>
    <n v="0"/>
    <n v="0"/>
    <n v="0"/>
    <n v="0"/>
    <n v="0"/>
    <n v="0"/>
    <m/>
    <n v="0"/>
    <m/>
    <x v="0"/>
  </r>
  <r>
    <x v="15"/>
    <m/>
    <s v="L124824922"/>
    <s v="朱健豪"/>
    <s v="CA"/>
    <n v="0"/>
    <n v="0"/>
    <n v="1"/>
    <n v="7477"/>
    <n v="1"/>
    <n v="0"/>
    <n v="0"/>
    <n v="0"/>
    <n v="0"/>
    <m/>
    <x v="0"/>
  </r>
  <r>
    <x v="15"/>
    <m/>
    <s v="L220506041"/>
    <s v="李素秋"/>
    <s v="CA"/>
    <n v="0"/>
    <n v="0"/>
    <n v="0"/>
    <n v="0"/>
    <n v="0"/>
    <n v="0"/>
    <n v="0"/>
    <n v="0"/>
    <n v="0"/>
    <m/>
    <x v="0"/>
  </r>
  <r>
    <x v="15"/>
    <s v="K220223798"/>
    <s v="DM"/>
    <s v="樂芸"/>
    <n v="3"/>
    <n v="0"/>
    <n v="0"/>
    <n v="1"/>
    <n v="7477"/>
    <n v="1"/>
    <n v="0"/>
    <n v="0"/>
    <n v="0"/>
    <n v="0"/>
    <n v="0"/>
    <x v="1"/>
  </r>
  <r>
    <x v="15"/>
    <m/>
    <s v="K221817365"/>
    <s v="劉菀婷"/>
    <s v="MS"/>
    <n v="0"/>
    <n v="0"/>
    <n v="1"/>
    <n v="14868"/>
    <n v="1"/>
    <n v="0"/>
    <n v="0"/>
    <m/>
    <n v="0"/>
    <m/>
    <x v="0"/>
  </r>
  <r>
    <x v="15"/>
    <s v="K221817365"/>
    <s v="MS"/>
    <s v="劉菀婷"/>
    <n v="1"/>
    <n v="0"/>
    <n v="0"/>
    <n v="1"/>
    <n v="14868"/>
    <n v="1"/>
    <n v="0"/>
    <n v="0"/>
    <n v="0"/>
    <n v="0"/>
    <n v="0"/>
    <x v="4"/>
  </r>
  <r>
    <x v="15"/>
    <m/>
    <s v="K220353433"/>
    <s v="黃瑩珠"/>
    <s v="UM"/>
    <n v="0"/>
    <n v="0"/>
    <n v="1"/>
    <n v="11202"/>
    <n v="1"/>
    <n v="0"/>
    <n v="0"/>
    <m/>
    <n v="0"/>
    <m/>
    <x v="0"/>
  </r>
  <r>
    <x v="15"/>
    <m/>
    <s v="K220277705"/>
    <s v="李昱慧"/>
    <s v="CA"/>
    <n v="0"/>
    <n v="0"/>
    <n v="0"/>
    <n v="0"/>
    <n v="0"/>
    <n v="0"/>
    <n v="0"/>
    <n v="1"/>
    <n v="0"/>
    <m/>
    <x v="0"/>
  </r>
  <r>
    <x v="15"/>
    <s v="K220353433"/>
    <s v="UM"/>
    <s v="黃瑩珠"/>
    <n v="2"/>
    <n v="0"/>
    <n v="0"/>
    <n v="1"/>
    <n v="11202"/>
    <n v="1"/>
    <n v="0"/>
    <n v="0"/>
    <n v="1"/>
    <n v="0"/>
    <n v="0"/>
    <x v="5"/>
  </r>
  <r>
    <x v="15"/>
    <m/>
    <s v="J220471506"/>
    <s v="何玉芳"/>
    <s v="MS"/>
    <n v="0"/>
    <n v="0"/>
    <n v="0"/>
    <n v="0"/>
    <n v="0"/>
    <n v="0"/>
    <n v="0"/>
    <m/>
    <n v="0"/>
    <m/>
    <x v="0"/>
  </r>
  <r>
    <x v="15"/>
    <s v="J220471506"/>
    <s v="MS"/>
    <s v="何玉芳"/>
    <n v="1"/>
    <n v="0"/>
    <n v="0"/>
    <n v="0"/>
    <n v="0"/>
    <n v="0"/>
    <n v="0"/>
    <n v="0"/>
    <n v="0"/>
    <n v="0"/>
    <n v="0"/>
    <x v="4"/>
  </r>
  <r>
    <x v="15"/>
    <m/>
    <s v="L221036379"/>
    <s v="張麗華"/>
    <s v="AM"/>
    <n v="0"/>
    <n v="0"/>
    <n v="0"/>
    <n v="0"/>
    <n v="0"/>
    <n v="0"/>
    <n v="0"/>
    <m/>
    <n v="0"/>
    <m/>
    <x v="0"/>
  </r>
  <r>
    <x v="15"/>
    <m/>
    <s v="K222464671"/>
    <s v="沛晴"/>
    <s v="CA"/>
    <n v="0"/>
    <n v="0"/>
    <n v="0"/>
    <n v="0"/>
    <n v="0"/>
    <n v="0"/>
    <n v="0"/>
    <n v="0"/>
    <n v="0"/>
    <m/>
    <x v="0"/>
  </r>
  <r>
    <x v="15"/>
    <s v="L221036379"/>
    <s v="AM"/>
    <s v="張麗華"/>
    <n v="2"/>
    <n v="0"/>
    <n v="0"/>
    <n v="0"/>
    <n v="0"/>
    <n v="0"/>
    <n v="0"/>
    <n v="0"/>
    <n v="0"/>
    <n v="0"/>
    <n v="0"/>
    <x v="2"/>
  </r>
  <r>
    <x v="15"/>
    <m/>
    <s v="N224876902"/>
    <s v="李宥臻"/>
    <s v="SP"/>
    <n v="0"/>
    <n v="0"/>
    <n v="0"/>
    <n v="0"/>
    <n v="0"/>
    <n v="0"/>
    <n v="0"/>
    <m/>
    <n v="0"/>
    <m/>
    <x v="0"/>
  </r>
  <r>
    <x v="15"/>
    <m/>
    <s v="K222902032"/>
    <s v="方鐿璇"/>
    <s v="CA"/>
    <n v="0"/>
    <n v="0"/>
    <n v="0.5"/>
    <n v="3886"/>
    <n v="1"/>
    <n v="0"/>
    <n v="0"/>
    <n v="0"/>
    <n v="0"/>
    <m/>
    <x v="0"/>
  </r>
  <r>
    <x v="15"/>
    <m/>
    <s v="K222687067"/>
    <s v="李苡僑"/>
    <s v="CA"/>
    <n v="0"/>
    <n v="0"/>
    <n v="0.5"/>
    <n v="3886"/>
    <n v="1"/>
    <n v="0"/>
    <n v="0"/>
    <n v="0"/>
    <n v="0"/>
    <m/>
    <x v="0"/>
  </r>
  <r>
    <x v="15"/>
    <s v="N224876902"/>
    <s v="SP"/>
    <s v="李宥臻"/>
    <n v="3"/>
    <n v="0"/>
    <n v="0"/>
    <n v="1"/>
    <n v="7772"/>
    <n v="2"/>
    <n v="0"/>
    <n v="0"/>
    <n v="0"/>
    <n v="0"/>
    <n v="0"/>
    <x v="3"/>
  </r>
  <r>
    <x v="15"/>
    <m/>
    <s v="K220243932"/>
    <s v="黃美月"/>
    <s v="AM"/>
    <n v="0"/>
    <n v="0"/>
    <n v="0"/>
    <n v="39600"/>
    <n v="0"/>
    <n v="1"/>
    <n v="1"/>
    <m/>
    <n v="1"/>
    <m/>
    <x v="0"/>
  </r>
  <r>
    <x v="15"/>
    <m/>
    <s v="K222547657"/>
    <s v="劉佳葳"/>
    <s v="CA"/>
    <n v="0"/>
    <n v="0"/>
    <n v="0"/>
    <n v="0"/>
    <n v="0"/>
    <n v="0"/>
    <n v="0"/>
    <n v="0"/>
    <n v="0"/>
    <m/>
    <x v="0"/>
  </r>
  <r>
    <x v="15"/>
    <s v="K220243932"/>
    <s v="AM"/>
    <s v="黃美月"/>
    <n v="2"/>
    <n v="0"/>
    <n v="0"/>
    <n v="0"/>
    <n v="39600"/>
    <n v="0"/>
    <n v="1"/>
    <n v="1"/>
    <n v="0"/>
    <n v="1"/>
    <n v="0"/>
    <x v="2"/>
  </r>
  <r>
    <x v="15"/>
    <m/>
    <s v="L221418684"/>
    <s v="高毓伶"/>
    <s v="AM"/>
    <n v="0"/>
    <n v="0"/>
    <n v="3"/>
    <n v="12376"/>
    <n v="1"/>
    <n v="0"/>
    <n v="0"/>
    <m/>
    <n v="0"/>
    <m/>
    <x v="0"/>
  </r>
  <r>
    <x v="15"/>
    <m/>
    <s v="L222978901"/>
    <s v="郭佩如"/>
    <s v="CA"/>
    <n v="0"/>
    <n v="0"/>
    <n v="1"/>
    <n v="14052"/>
    <n v="1"/>
    <n v="1"/>
    <n v="0"/>
    <n v="1"/>
    <n v="0"/>
    <m/>
    <x v="0"/>
  </r>
  <r>
    <x v="15"/>
    <m/>
    <s v="L224627176"/>
    <s v="呂蕙君"/>
    <s v="CA"/>
    <n v="0"/>
    <n v="0"/>
    <n v="0"/>
    <n v="0"/>
    <n v="0"/>
    <n v="0"/>
    <n v="0"/>
    <n v="0"/>
    <n v="0"/>
    <m/>
    <x v="0"/>
  </r>
  <r>
    <x v="15"/>
    <m/>
    <s v="L224700232"/>
    <s v="柯靜愉"/>
    <s v="CA"/>
    <n v="0"/>
    <n v="0"/>
    <n v="0"/>
    <n v="0"/>
    <n v="0"/>
    <n v="0"/>
    <n v="0"/>
    <n v="0"/>
    <n v="0"/>
    <m/>
    <x v="0"/>
  </r>
  <r>
    <x v="15"/>
    <s v="L221418684"/>
    <s v="AM"/>
    <s v="高毓伶"/>
    <n v="4"/>
    <n v="0"/>
    <n v="0"/>
    <n v="4"/>
    <n v="26428"/>
    <n v="2"/>
    <n v="1"/>
    <n v="0"/>
    <n v="1"/>
    <n v="0"/>
    <n v="0"/>
    <x v="2"/>
  </r>
  <r>
    <x v="15"/>
    <m/>
    <s v="K220313028"/>
    <s v="陳妍樺"/>
    <s v="AM"/>
    <n v="0"/>
    <n v="0"/>
    <n v="4"/>
    <n v="44752"/>
    <n v="1"/>
    <n v="1"/>
    <n v="1"/>
    <m/>
    <n v="1"/>
    <m/>
    <x v="0"/>
  </r>
  <r>
    <x v="15"/>
    <m/>
    <s v="K223093292"/>
    <s v="莊子儀"/>
    <s v="CA"/>
    <n v="0"/>
    <n v="0"/>
    <n v="0"/>
    <n v="0"/>
    <n v="0"/>
    <n v="0"/>
    <n v="0"/>
    <n v="1"/>
    <n v="0"/>
    <m/>
    <x v="0"/>
  </r>
  <r>
    <x v="15"/>
    <s v="K220313028"/>
    <s v="AM"/>
    <s v="陳妍樺"/>
    <n v="2"/>
    <n v="0"/>
    <n v="0"/>
    <n v="4"/>
    <n v="44752"/>
    <n v="1"/>
    <n v="1"/>
    <n v="1"/>
    <n v="1"/>
    <n v="1"/>
    <n v="0"/>
    <x v="2"/>
  </r>
  <r>
    <x v="15"/>
    <m/>
    <s v="K221520572"/>
    <s v="黃珍"/>
    <s v="SP"/>
    <n v="0"/>
    <n v="0"/>
    <n v="1"/>
    <n v="14311"/>
    <n v="1"/>
    <n v="0"/>
    <n v="0"/>
    <m/>
    <n v="0"/>
    <m/>
    <x v="0"/>
  </r>
  <r>
    <x v="15"/>
    <m/>
    <s v="K220290824"/>
    <s v="張雅惠"/>
    <s v="CA"/>
    <n v="0"/>
    <n v="0"/>
    <n v="1"/>
    <n v="8631"/>
    <n v="1"/>
    <n v="0"/>
    <n v="0"/>
    <n v="0"/>
    <n v="0"/>
    <m/>
    <x v="0"/>
  </r>
  <r>
    <x v="15"/>
    <s v="K221520572"/>
    <s v="SP"/>
    <s v="黃珍"/>
    <n v="2"/>
    <n v="0"/>
    <n v="0"/>
    <n v="2"/>
    <n v="22942"/>
    <n v="2"/>
    <n v="0"/>
    <n v="0"/>
    <n v="0"/>
    <n v="0"/>
    <n v="0"/>
    <x v="3"/>
  </r>
  <r>
    <x v="15"/>
    <m/>
    <s v="K220393428"/>
    <s v="賴淑芬"/>
    <s v="UM"/>
    <n v="0"/>
    <n v="0"/>
    <n v="3"/>
    <n v="25709"/>
    <n v="1"/>
    <n v="1"/>
    <n v="1"/>
    <m/>
    <n v="1"/>
    <m/>
    <x v="0"/>
  </r>
  <r>
    <x v="15"/>
    <m/>
    <s v="K122593040"/>
    <s v="劉志翔"/>
    <s v="CA"/>
    <n v="0"/>
    <n v="0"/>
    <n v="1"/>
    <n v="389"/>
    <n v="1"/>
    <n v="0"/>
    <n v="0"/>
    <n v="0"/>
    <n v="0"/>
    <m/>
    <x v="0"/>
  </r>
  <r>
    <x v="15"/>
    <m/>
    <s v="G221865582"/>
    <s v="黃薰萱"/>
    <s v="CA"/>
    <n v="0"/>
    <n v="0"/>
    <n v="0"/>
    <n v="0"/>
    <n v="0"/>
    <n v="0"/>
    <n v="0"/>
    <n v="0"/>
    <n v="0"/>
    <m/>
    <x v="0"/>
  </r>
  <r>
    <x v="15"/>
    <m/>
    <s v="K122686773"/>
    <s v="賴文彥"/>
    <s v="CA"/>
    <n v="0"/>
    <n v="0"/>
    <n v="0"/>
    <n v="0"/>
    <n v="0"/>
    <n v="0"/>
    <n v="0"/>
    <n v="0"/>
    <n v="0"/>
    <m/>
    <x v="0"/>
  </r>
  <r>
    <x v="15"/>
    <s v="K220393428"/>
    <s v="UM"/>
    <s v="賴淑芬"/>
    <n v="4"/>
    <n v="0"/>
    <n v="0"/>
    <n v="4"/>
    <n v="26098"/>
    <n v="2"/>
    <n v="1"/>
    <n v="1"/>
    <n v="0"/>
    <n v="1"/>
    <n v="0"/>
    <x v="5"/>
  </r>
  <r>
    <x v="15"/>
    <m/>
    <s v="C121503705"/>
    <s v="陳國豪"/>
    <s v="SP"/>
    <n v="0"/>
    <n v="0"/>
    <n v="2"/>
    <n v="28888"/>
    <n v="1"/>
    <n v="1"/>
    <n v="1"/>
    <m/>
    <n v="1"/>
    <m/>
    <x v="0"/>
  </r>
  <r>
    <x v="15"/>
    <m/>
    <s v="K122784489"/>
    <s v="張皓閔"/>
    <s v="CA"/>
    <n v="0"/>
    <n v="0"/>
    <n v="0"/>
    <n v="0"/>
    <n v="0"/>
    <n v="0"/>
    <n v="0"/>
    <n v="0"/>
    <n v="0"/>
    <m/>
    <x v="0"/>
  </r>
  <r>
    <x v="15"/>
    <s v="C121503705"/>
    <s v="SP"/>
    <s v="陳國豪"/>
    <n v="2"/>
    <n v="0"/>
    <n v="0"/>
    <n v="2"/>
    <n v="28888"/>
    <n v="1"/>
    <n v="1"/>
    <n v="1"/>
    <n v="0"/>
    <n v="1"/>
    <n v="1"/>
    <x v="3"/>
  </r>
  <r>
    <x v="15"/>
    <m/>
    <s v="K120512109"/>
    <s v="盧德政"/>
    <s v="UM"/>
    <n v="0"/>
    <n v="0"/>
    <n v="0"/>
    <n v="0"/>
    <n v="0"/>
    <n v="0"/>
    <n v="0"/>
    <m/>
    <n v="0"/>
    <m/>
    <x v="0"/>
  </r>
  <r>
    <x v="15"/>
    <m/>
    <s v="L220644215"/>
    <s v="黃芷葳"/>
    <s v="CMP"/>
    <n v="0"/>
    <n v="0"/>
    <n v="1"/>
    <n v="17373"/>
    <n v="1"/>
    <n v="1"/>
    <n v="0"/>
    <n v="0"/>
    <n v="0"/>
    <m/>
    <x v="0"/>
  </r>
  <r>
    <x v="15"/>
    <m/>
    <s v="K220371931"/>
    <s v="賴美惠"/>
    <s v="CA"/>
    <n v="0"/>
    <n v="0"/>
    <n v="0"/>
    <n v="0"/>
    <n v="0"/>
    <n v="0"/>
    <n v="0"/>
    <n v="0"/>
    <n v="0"/>
    <m/>
    <x v="0"/>
  </r>
  <r>
    <x v="15"/>
    <m/>
    <s v="K220375975"/>
    <s v="朱春碧"/>
    <s v="CA"/>
    <n v="0"/>
    <n v="0"/>
    <n v="0"/>
    <n v="0"/>
    <n v="0"/>
    <n v="0"/>
    <n v="0"/>
    <n v="1"/>
    <n v="0"/>
    <m/>
    <x v="0"/>
  </r>
  <r>
    <x v="15"/>
    <m/>
    <s v="B222895481"/>
    <s v="蔡思怡"/>
    <s v="CA"/>
    <n v="0"/>
    <n v="0"/>
    <n v="3"/>
    <n v="303"/>
    <n v="1"/>
    <n v="0"/>
    <n v="0"/>
    <n v="0"/>
    <n v="0"/>
    <m/>
    <x v="0"/>
  </r>
  <r>
    <x v="15"/>
    <s v="K120512109"/>
    <s v="UM"/>
    <s v="盧德政"/>
    <n v="5"/>
    <n v="0"/>
    <n v="0"/>
    <n v="4"/>
    <n v="17676"/>
    <n v="2"/>
    <n v="1"/>
    <n v="0"/>
    <n v="1"/>
    <n v="0"/>
    <n v="0"/>
    <x v="5"/>
  </r>
  <r>
    <x v="15"/>
    <m/>
    <s v="K122718243"/>
    <s v="房家緯"/>
    <s v="AM"/>
    <n v="1"/>
    <n v="7492"/>
    <n v="2"/>
    <n v="14692"/>
    <n v="1"/>
    <n v="0"/>
    <n v="0"/>
    <m/>
    <n v="0"/>
    <m/>
    <x v="0"/>
  </r>
  <r>
    <x v="15"/>
    <m/>
    <s v="K221820424"/>
    <s v="吳嘉玲"/>
    <s v="CA"/>
    <n v="0"/>
    <n v="0"/>
    <n v="1"/>
    <n v="1332"/>
    <n v="1"/>
    <n v="0"/>
    <n v="0"/>
    <n v="0"/>
    <n v="0"/>
    <m/>
    <x v="0"/>
  </r>
  <r>
    <x v="15"/>
    <m/>
    <s v="L123896728"/>
    <s v="鄧凱鴻"/>
    <s v="CA"/>
    <n v="0"/>
    <n v="0"/>
    <n v="0"/>
    <n v="0"/>
    <n v="0"/>
    <n v="0"/>
    <n v="0"/>
    <n v="0"/>
    <n v="0"/>
    <m/>
    <x v="0"/>
  </r>
  <r>
    <x v="15"/>
    <s v="K122718243"/>
    <s v="AM"/>
    <s v="房家緯"/>
    <n v="3"/>
    <n v="1"/>
    <n v="7492"/>
    <n v="3"/>
    <n v="16024"/>
    <n v="2"/>
    <n v="0"/>
    <n v="0"/>
    <n v="0"/>
    <n v="0"/>
    <n v="0"/>
    <x v="2"/>
  </r>
  <r>
    <x v="15"/>
    <m/>
    <m/>
    <m/>
    <n v="36"/>
    <n v="1"/>
    <n v="7492"/>
    <n v="27"/>
    <n v="263727"/>
    <n v="17"/>
    <n v="6"/>
    <n v="4"/>
    <n v="4"/>
    <n v="4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樞紐分析表1" cacheId="2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3:L21" firstHeaderRow="1" firstDataRow="2" firstDataCol="1"/>
  <pivotFields count="16">
    <pivotField axis="axisRow" showAll="0">
      <items count="19">
        <item x="0"/>
        <item x="1"/>
        <item x="2"/>
        <item x="3"/>
        <item x="4"/>
        <item x="5"/>
        <item x="7"/>
        <item x="8"/>
        <item x="9"/>
        <item x="10"/>
        <item x="13"/>
        <item m="1" x="17"/>
        <item x="11"/>
        <item m="1" x="16"/>
        <item x="12"/>
        <item x="14"/>
        <item x="1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dataField="1" showAll="0" defaultSubtotal="0"/>
    <pivotField axis="axisCol" showAll="0">
      <items count="11">
        <item x="9"/>
        <item x="6"/>
        <item x="1"/>
        <item x="5"/>
        <item x="2"/>
        <item x="3"/>
        <item x="8"/>
        <item x="7"/>
        <item x="4"/>
        <item x="0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>
      <x v="16"/>
    </i>
    <i>
      <x v="17"/>
    </i>
    <i t="grand">
      <x/>
    </i>
  </rowItems>
  <colFields count="1">
    <field x="1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加總 - 組織壯實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847E-BAB5-4ECA-9BF9-A444CC478881}">
  <sheetPr codeName="工作表10">
    <tabColor rgb="FF0070C0"/>
  </sheetPr>
  <dimension ref="A1:AU61"/>
  <sheetViews>
    <sheetView showGridLines="0" tabSelected="1" view="pageBreakPreview" zoomScale="34" zoomScaleNormal="80" zoomScaleSheetLayoutView="34" workbookViewId="0">
      <selection activeCell="D5" sqref="D5:D6"/>
    </sheetView>
  </sheetViews>
  <sheetFormatPr baseColWidth="10" defaultColWidth="9.83203125" defaultRowHeight="26" outlineLevelCol="1"/>
  <cols>
    <col min="1" max="1" width="8.5" style="361" customWidth="1"/>
    <col min="2" max="2" width="9" style="361" customWidth="1"/>
    <col min="3" max="4" width="27.83203125" style="365" customWidth="1"/>
    <col min="5" max="5" width="20.83203125" style="365" customWidth="1"/>
    <col min="6" max="6" width="28.1640625" style="365" bestFit="1" customWidth="1"/>
    <col min="7" max="7" width="17.83203125" style="361" customWidth="1"/>
    <col min="8" max="8" width="35.83203125" style="365" customWidth="1"/>
    <col min="9" max="9" width="24" style="365" customWidth="1"/>
    <col min="10" max="10" width="19.1640625" style="365" customWidth="1"/>
    <col min="11" max="11" width="35.83203125" style="365" customWidth="1"/>
    <col min="12" max="12" width="23.1640625" style="362" customWidth="1"/>
    <col min="13" max="13" width="35.83203125" style="464" hidden="1" customWidth="1"/>
    <col min="14" max="14" width="21.1640625" style="362" hidden="1" customWidth="1"/>
    <col min="15" max="15" width="28.83203125" style="464" hidden="1" customWidth="1" outlineLevel="1"/>
    <col min="16" max="16" width="22.83203125" style="362" hidden="1" customWidth="1" outlineLevel="1"/>
    <col min="17" max="17" width="15.83203125" style="362" customWidth="1" collapsed="1"/>
    <col min="18" max="18" width="20.83203125" style="362" customWidth="1"/>
    <col min="19" max="19" width="15.83203125" style="362" customWidth="1"/>
    <col min="20" max="20" width="20.83203125" style="362" customWidth="1"/>
    <col min="21" max="21" width="15.83203125" style="362" customWidth="1"/>
    <col min="22" max="22" width="20.83203125" style="362" customWidth="1"/>
    <col min="23" max="23" width="23.83203125" style="362" hidden="1" customWidth="1" outlineLevel="1"/>
    <col min="24" max="24" width="17.83203125" style="362" hidden="1" customWidth="1" outlineLevel="1"/>
    <col min="25" max="25" width="27.5" style="362" hidden="1" customWidth="1" outlineLevel="1"/>
    <col min="26" max="26" width="17.83203125" style="362" hidden="1" customWidth="1" outlineLevel="1"/>
    <col min="27" max="27" width="19.83203125" style="359" hidden="1" customWidth="1" collapsed="1"/>
    <col min="28" max="28" width="31.5" style="382" hidden="1" customWidth="1"/>
    <col min="29" max="29" width="21" style="359" hidden="1" customWidth="1"/>
    <col min="30" max="30" width="8.83203125" style="359" hidden="1" customWidth="1"/>
    <col min="31" max="31" width="19.83203125" style="359" customWidth="1" outlineLevel="1"/>
    <col min="32" max="32" width="30.83203125" style="382" customWidth="1" outlineLevel="1"/>
    <col min="33" max="33" width="18" style="359" customWidth="1" outlineLevel="1"/>
    <col min="34" max="34" width="8.83203125" style="359" customWidth="1" outlineLevel="1"/>
    <col min="35" max="36" width="12.83203125" style="359" customWidth="1" outlineLevel="1"/>
    <col min="37" max="37" width="16.5" style="356" customWidth="1"/>
    <col min="38" max="38" width="19.83203125" style="375" customWidth="1"/>
    <col min="39" max="39" width="11.33203125" style="361" bestFit="1" customWidth="1"/>
    <col min="40" max="41" width="9.83203125" style="361"/>
    <col min="42" max="42" width="16.83203125" style="361" bestFit="1" customWidth="1"/>
    <col min="43" max="45" width="9.83203125" style="361"/>
    <col min="46" max="46" width="16.83203125" style="361" bestFit="1" customWidth="1"/>
    <col min="47" max="47" width="21" style="361" customWidth="1"/>
    <col min="48" max="16384" width="9.83203125" style="361"/>
  </cols>
  <sheetData>
    <row r="1" spans="1:47" s="360" customFormat="1" ht="54.5" customHeight="1">
      <c r="A1" s="919" t="s">
        <v>911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919"/>
      <c r="O1" s="919"/>
      <c r="P1" s="919"/>
      <c r="Q1" s="919"/>
      <c r="R1" s="919"/>
      <c r="S1" s="919"/>
      <c r="T1" s="919"/>
      <c r="U1" s="611"/>
      <c r="V1" s="611"/>
      <c r="W1" s="611"/>
      <c r="X1" s="611"/>
      <c r="Y1" s="611"/>
      <c r="Z1" s="611"/>
      <c r="AA1" s="611"/>
      <c r="AB1" s="611"/>
      <c r="AC1" s="611"/>
      <c r="AD1" s="611"/>
      <c r="AE1" s="611"/>
      <c r="AF1" s="611"/>
      <c r="AG1" s="611"/>
      <c r="AH1" s="611"/>
      <c r="AI1" s="611"/>
      <c r="AJ1" s="611"/>
      <c r="AK1" s="356"/>
      <c r="AL1" s="357" t="s">
        <v>929</v>
      </c>
      <c r="AM1" s="357" t="s">
        <v>929</v>
      </c>
      <c r="AN1" s="612" t="s">
        <v>929</v>
      </c>
      <c r="AO1" s="612" t="s">
        <v>929</v>
      </c>
      <c r="AP1" s="612" t="s">
        <v>929</v>
      </c>
      <c r="AQ1" s="359"/>
      <c r="AR1" s="359"/>
      <c r="AS1" s="359"/>
      <c r="AT1" s="834" t="s">
        <v>860</v>
      </c>
      <c r="AU1" s="834"/>
    </row>
    <row r="2" spans="1:47" s="371" customFormat="1" ht="6.5" customHeight="1">
      <c r="B2" s="506"/>
      <c r="C2" s="507"/>
      <c r="D2" s="507"/>
      <c r="E2" s="507"/>
      <c r="F2" s="507"/>
      <c r="G2" s="508"/>
      <c r="H2" s="507"/>
      <c r="I2" s="507"/>
      <c r="J2" s="507"/>
      <c r="K2" s="507"/>
      <c r="L2" s="509"/>
      <c r="M2" s="510"/>
      <c r="N2" s="509"/>
      <c r="O2" s="510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11"/>
      <c r="AB2" s="363"/>
      <c r="AC2" s="511"/>
      <c r="AD2" s="511"/>
      <c r="AE2" s="511"/>
      <c r="AF2" s="363"/>
      <c r="AG2" s="511"/>
      <c r="AH2" s="511"/>
      <c r="AI2" s="511"/>
      <c r="AJ2" s="511"/>
      <c r="AK2" s="512"/>
      <c r="AL2" s="513"/>
      <c r="AM2" s="363"/>
      <c r="AN2" s="363"/>
      <c r="AO2" s="363"/>
      <c r="AP2" s="363"/>
      <c r="AQ2" s="363"/>
      <c r="AR2" s="363"/>
      <c r="AS2" s="363"/>
    </row>
    <row r="3" spans="1:47" s="371" customFormat="1" ht="5.5" customHeight="1">
      <c r="B3" s="514"/>
      <c r="C3" s="363"/>
      <c r="D3" s="363"/>
      <c r="E3" s="363"/>
      <c r="F3" s="363"/>
      <c r="H3" s="363"/>
      <c r="I3" s="363"/>
      <c r="J3" s="363"/>
      <c r="K3" s="363"/>
      <c r="L3" s="509"/>
      <c r="M3" s="510"/>
      <c r="N3" s="509"/>
      <c r="O3" s="510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11"/>
      <c r="AB3" s="363"/>
      <c r="AC3" s="511"/>
      <c r="AD3" s="511"/>
      <c r="AE3" s="511"/>
      <c r="AF3" s="363"/>
      <c r="AG3" s="511"/>
      <c r="AH3" s="511"/>
      <c r="AI3" s="511"/>
      <c r="AJ3" s="511"/>
      <c r="AK3" s="512"/>
      <c r="AL3" s="513"/>
      <c r="AM3" s="363"/>
      <c r="AN3" s="363"/>
      <c r="AO3" s="363"/>
      <c r="AP3" s="363"/>
      <c r="AQ3" s="363"/>
      <c r="AR3" s="363"/>
      <c r="AS3" s="363"/>
    </row>
    <row r="4" spans="1:47" s="476" customFormat="1" ht="34.25" customHeight="1" thickBot="1">
      <c r="B4" s="610" t="s">
        <v>927</v>
      </c>
      <c r="C4" s="477"/>
      <c r="D4" s="478"/>
      <c r="E4" s="477"/>
      <c r="F4" s="479"/>
      <c r="G4" s="480" t="s">
        <v>192</v>
      </c>
      <c r="H4" s="481"/>
      <c r="I4" s="482"/>
      <c r="J4" s="483" t="s">
        <v>912</v>
      </c>
      <c r="K4" s="483"/>
      <c r="L4" s="484"/>
      <c r="M4" s="485"/>
      <c r="N4" s="484"/>
      <c r="O4" s="485"/>
      <c r="P4" s="484"/>
      <c r="Q4" s="486"/>
      <c r="R4" s="484"/>
      <c r="S4" s="484"/>
      <c r="T4" s="484"/>
      <c r="U4" s="484"/>
      <c r="V4" s="484"/>
      <c r="W4" s="927"/>
      <c r="X4" s="927"/>
      <c r="Y4" s="927"/>
      <c r="Z4" s="927"/>
      <c r="AA4" s="486"/>
      <c r="AB4" s="487"/>
      <c r="AC4" s="479"/>
      <c r="AD4" s="488"/>
      <c r="AE4" s="486"/>
      <c r="AF4" s="487"/>
      <c r="AG4" s="479"/>
      <c r="AH4" s="488"/>
      <c r="AI4" s="488"/>
      <c r="AJ4" s="488"/>
      <c r="AK4" s="489"/>
      <c r="AL4" s="490"/>
      <c r="AM4" s="491"/>
      <c r="AN4" s="491"/>
      <c r="AO4" s="491"/>
      <c r="AP4" s="491"/>
      <c r="AQ4" s="491"/>
      <c r="AR4" s="491"/>
      <c r="AS4" s="491"/>
    </row>
    <row r="5" spans="1:47" s="368" customFormat="1" ht="60" customHeight="1" thickTop="1">
      <c r="A5" s="920" t="s">
        <v>553</v>
      </c>
      <c r="B5" s="597" t="s">
        <v>333</v>
      </c>
      <c r="C5" s="929" t="s">
        <v>5</v>
      </c>
      <c r="D5" s="922" t="s">
        <v>525</v>
      </c>
      <c r="E5" s="923" t="s">
        <v>190</v>
      </c>
      <c r="F5" s="923" t="s">
        <v>919</v>
      </c>
      <c r="G5" s="932" t="s">
        <v>511</v>
      </c>
      <c r="H5" s="933"/>
      <c r="I5" s="934"/>
      <c r="J5" s="935" t="s">
        <v>913</v>
      </c>
      <c r="K5" s="935"/>
      <c r="L5" s="936"/>
      <c r="M5" s="937" t="s">
        <v>896</v>
      </c>
      <c r="N5" s="938"/>
      <c r="O5" s="938"/>
      <c r="P5" s="938"/>
      <c r="Q5" s="915" t="s">
        <v>647</v>
      </c>
      <c r="R5" s="915"/>
      <c r="S5" s="916" t="s">
        <v>701</v>
      </c>
      <c r="T5" s="917"/>
      <c r="U5" s="918" t="s">
        <v>876</v>
      </c>
      <c r="V5" s="918"/>
      <c r="W5" s="924" t="s">
        <v>687</v>
      </c>
      <c r="X5" s="924"/>
      <c r="Y5" s="924"/>
      <c r="Z5" s="924"/>
      <c r="AA5" s="925" t="s">
        <v>811</v>
      </c>
      <c r="AB5" s="925" t="s">
        <v>823</v>
      </c>
      <c r="AC5" s="925"/>
      <c r="AD5" s="925"/>
      <c r="AE5" s="920" t="s">
        <v>900</v>
      </c>
      <c r="AF5" s="922" t="s">
        <v>914</v>
      </c>
      <c r="AG5" s="922"/>
      <c r="AH5" s="923"/>
      <c r="AI5" s="907" t="s">
        <v>904</v>
      </c>
      <c r="AJ5" s="909" t="s">
        <v>905</v>
      </c>
      <c r="AK5" s="367"/>
      <c r="AL5" s="358"/>
      <c r="AM5" s="359"/>
      <c r="AN5" s="359"/>
      <c r="AO5" s="359"/>
      <c r="AP5" s="359"/>
      <c r="AQ5" s="359"/>
      <c r="AR5" s="359"/>
      <c r="AS5" s="359"/>
    </row>
    <row r="6" spans="1:47" s="368" customFormat="1" ht="60" customHeight="1" thickBot="1">
      <c r="A6" s="928"/>
      <c r="B6" s="598" t="s">
        <v>193</v>
      </c>
      <c r="C6" s="930"/>
      <c r="D6" s="930"/>
      <c r="E6" s="931"/>
      <c r="F6" s="931"/>
      <c r="G6" s="599" t="s">
        <v>0</v>
      </c>
      <c r="H6" s="600" t="s">
        <v>330</v>
      </c>
      <c r="I6" s="601" t="s">
        <v>191</v>
      </c>
      <c r="J6" s="602" t="s">
        <v>0</v>
      </c>
      <c r="K6" s="603" t="s">
        <v>288</v>
      </c>
      <c r="L6" s="603" t="s">
        <v>191</v>
      </c>
      <c r="M6" s="604" t="s">
        <v>890</v>
      </c>
      <c r="N6" s="605" t="s">
        <v>679</v>
      </c>
      <c r="O6" s="606" t="s">
        <v>822</v>
      </c>
      <c r="P6" s="607" t="s">
        <v>710</v>
      </c>
      <c r="Q6" s="608" t="s">
        <v>505</v>
      </c>
      <c r="R6" s="609" t="s">
        <v>506</v>
      </c>
      <c r="S6" s="608" t="s">
        <v>505</v>
      </c>
      <c r="T6" s="609" t="s">
        <v>548</v>
      </c>
      <c r="U6" s="823" t="s">
        <v>505</v>
      </c>
      <c r="V6" s="609" t="s">
        <v>548</v>
      </c>
      <c r="W6" s="821" t="s">
        <v>743</v>
      </c>
      <c r="X6" s="821" t="s">
        <v>679</v>
      </c>
      <c r="Y6" s="821" t="s">
        <v>744</v>
      </c>
      <c r="Z6" s="821" t="s">
        <v>680</v>
      </c>
      <c r="AA6" s="926"/>
      <c r="AB6" s="822" t="s">
        <v>331</v>
      </c>
      <c r="AC6" s="822" t="s">
        <v>332</v>
      </c>
      <c r="AD6" s="822" t="s">
        <v>193</v>
      </c>
      <c r="AE6" s="921"/>
      <c r="AF6" s="840" t="s">
        <v>331</v>
      </c>
      <c r="AG6" s="841" t="s">
        <v>332</v>
      </c>
      <c r="AH6" s="854" t="s">
        <v>193</v>
      </c>
      <c r="AI6" s="908"/>
      <c r="AJ6" s="910"/>
      <c r="AM6" s="358"/>
      <c r="AN6" s="358"/>
      <c r="AO6" s="358"/>
      <c r="AP6" s="358"/>
      <c r="AQ6" s="358"/>
      <c r="AR6" s="358"/>
      <c r="AS6" s="358"/>
    </row>
    <row r="7" spans="1:47" ht="70" customHeight="1">
      <c r="A7" s="911" t="s">
        <v>632</v>
      </c>
      <c r="B7" s="614">
        <v>1</v>
      </c>
      <c r="C7" s="615" t="s">
        <v>847</v>
      </c>
      <c r="D7" s="615" t="s">
        <v>848</v>
      </c>
      <c r="E7" s="616">
        <v>33</v>
      </c>
      <c r="F7" s="617">
        <v>141</v>
      </c>
      <c r="G7" s="618">
        <v>4</v>
      </c>
      <c r="H7" s="619">
        <v>62242</v>
      </c>
      <c r="I7" s="620">
        <v>4.4143262411347521E-2</v>
      </c>
      <c r="J7" s="879">
        <v>32</v>
      </c>
      <c r="K7" s="621">
        <v>991024</v>
      </c>
      <c r="L7" s="880">
        <v>0.70285390070921983</v>
      </c>
      <c r="M7" s="881"/>
      <c r="N7" s="882"/>
      <c r="O7" s="883"/>
      <c r="P7" s="884"/>
      <c r="Q7" s="622">
        <v>14</v>
      </c>
      <c r="R7" s="885">
        <v>0.42424242424242425</v>
      </c>
      <c r="S7" s="622">
        <v>14</v>
      </c>
      <c r="T7" s="885">
        <v>0.42424242424242425</v>
      </c>
      <c r="U7" s="622">
        <v>12</v>
      </c>
      <c r="V7" s="623">
        <v>0.36363636363636365</v>
      </c>
      <c r="W7" s="783" t="e">
        <v>#N/A</v>
      </c>
      <c r="X7" s="784" t="s">
        <v>930</v>
      </c>
      <c r="Y7" s="783" t="e">
        <v>#N/A</v>
      </c>
      <c r="Z7" s="784" t="s">
        <v>930</v>
      </c>
      <c r="AA7" s="785">
        <v>440</v>
      </c>
      <c r="AB7" s="786">
        <v>991024</v>
      </c>
      <c r="AC7" s="787">
        <v>0.22523272727272728</v>
      </c>
      <c r="AD7" s="788">
        <v>1</v>
      </c>
      <c r="AE7" s="846">
        <v>1660</v>
      </c>
      <c r="AF7" s="842">
        <v>5064943</v>
      </c>
      <c r="AG7" s="851">
        <v>0.30511704819277108</v>
      </c>
      <c r="AH7" s="856">
        <v>4</v>
      </c>
      <c r="AI7" s="866"/>
      <c r="AJ7" s="869"/>
      <c r="AK7" s="861"/>
      <c r="AL7" s="369"/>
    </row>
    <row r="8" spans="1:47" ht="70" customHeight="1">
      <c r="A8" s="912"/>
      <c r="B8" s="624">
        <v>2</v>
      </c>
      <c r="C8" s="625" t="s">
        <v>7</v>
      </c>
      <c r="D8" s="625" t="s">
        <v>74</v>
      </c>
      <c r="E8" s="626">
        <v>89</v>
      </c>
      <c r="F8" s="627">
        <v>472</v>
      </c>
      <c r="G8" s="628">
        <v>9</v>
      </c>
      <c r="H8" s="629">
        <v>239029</v>
      </c>
      <c r="I8" s="630">
        <v>5.0641737288135591E-2</v>
      </c>
      <c r="J8" s="631">
        <v>83</v>
      </c>
      <c r="K8" s="632">
        <v>2916022</v>
      </c>
      <c r="L8" s="633">
        <v>0.61780127118644068</v>
      </c>
      <c r="M8" s="634">
        <v>3843122</v>
      </c>
      <c r="N8" s="635">
        <v>0.75876383835850125</v>
      </c>
      <c r="O8" s="636">
        <v>0</v>
      </c>
      <c r="P8" s="637" t="e">
        <v>#DIV/0!</v>
      </c>
      <c r="Q8" s="638">
        <v>36</v>
      </c>
      <c r="R8" s="639">
        <v>0.4044943820224719</v>
      </c>
      <c r="S8" s="638">
        <v>30</v>
      </c>
      <c r="T8" s="639">
        <v>0.33707865168539325</v>
      </c>
      <c r="U8" s="638">
        <v>25</v>
      </c>
      <c r="V8" s="639">
        <v>0.2808988764044944</v>
      </c>
      <c r="W8" s="789">
        <v>0</v>
      </c>
      <c r="X8" s="790" t="s">
        <v>930</v>
      </c>
      <c r="Y8" s="789">
        <v>0</v>
      </c>
      <c r="Z8" s="790" t="s">
        <v>930</v>
      </c>
      <c r="AA8" s="791">
        <v>1475</v>
      </c>
      <c r="AB8" s="792">
        <v>2916022</v>
      </c>
      <c r="AC8" s="793">
        <v>0.19769640677966102</v>
      </c>
      <c r="AD8" s="788">
        <v>2</v>
      </c>
      <c r="AE8" s="847">
        <v>5563</v>
      </c>
      <c r="AF8" s="474">
        <v>21232178</v>
      </c>
      <c r="AG8" s="475">
        <v>0.38166776918928635</v>
      </c>
      <c r="AH8" s="856">
        <v>3</v>
      </c>
      <c r="AI8" s="863">
        <v>1</v>
      </c>
      <c r="AJ8" s="868">
        <v>4</v>
      </c>
      <c r="AK8" s="370"/>
      <c r="AL8" s="400"/>
    </row>
    <row r="9" spans="1:47" ht="70" customHeight="1">
      <c r="A9" s="912"/>
      <c r="B9" s="640">
        <v>3</v>
      </c>
      <c r="C9" s="641" t="s">
        <v>830</v>
      </c>
      <c r="D9" s="641" t="s">
        <v>831</v>
      </c>
      <c r="E9" s="626">
        <v>30</v>
      </c>
      <c r="F9" s="627">
        <v>202</v>
      </c>
      <c r="G9" s="628">
        <v>3</v>
      </c>
      <c r="H9" s="629">
        <v>160827</v>
      </c>
      <c r="I9" s="630">
        <v>7.9617326732673271E-2</v>
      </c>
      <c r="J9" s="631">
        <v>26</v>
      </c>
      <c r="K9" s="632">
        <v>1216836</v>
      </c>
      <c r="L9" s="633">
        <v>0.6023940594059406</v>
      </c>
      <c r="M9" s="887"/>
      <c r="N9" s="888"/>
      <c r="O9" s="889"/>
      <c r="P9" s="890"/>
      <c r="Q9" s="638">
        <v>11</v>
      </c>
      <c r="R9" s="639">
        <v>0.36666666666666664</v>
      </c>
      <c r="S9" s="638">
        <v>10</v>
      </c>
      <c r="T9" s="639">
        <v>0.33333333333333331</v>
      </c>
      <c r="U9" s="638">
        <v>8</v>
      </c>
      <c r="V9" s="639">
        <v>0.26666666666666666</v>
      </c>
      <c r="W9" s="789" t="e">
        <v>#N/A</v>
      </c>
      <c r="X9" s="790" t="s">
        <v>930</v>
      </c>
      <c r="Y9" s="789" t="e">
        <v>#N/A</v>
      </c>
      <c r="Z9" s="790" t="s">
        <v>930</v>
      </c>
      <c r="AA9" s="791">
        <v>633</v>
      </c>
      <c r="AB9" s="792">
        <v>1216836</v>
      </c>
      <c r="AC9" s="793">
        <v>0.19223317535545023</v>
      </c>
      <c r="AD9" s="788">
        <v>3</v>
      </c>
      <c r="AE9" s="847">
        <v>2390</v>
      </c>
      <c r="AF9" s="474">
        <v>10935062</v>
      </c>
      <c r="AG9" s="475">
        <v>0.45753397489539749</v>
      </c>
      <c r="AH9" s="856">
        <v>1</v>
      </c>
      <c r="AI9" s="866"/>
      <c r="AJ9" s="869"/>
      <c r="AK9" s="370"/>
      <c r="AL9" s="518"/>
    </row>
    <row r="10" spans="1:47" ht="70" customHeight="1">
      <c r="A10" s="912"/>
      <c r="B10" s="640">
        <v>4</v>
      </c>
      <c r="C10" s="625" t="s">
        <v>217</v>
      </c>
      <c r="D10" s="625" t="s">
        <v>69</v>
      </c>
      <c r="E10" s="626">
        <v>40</v>
      </c>
      <c r="F10" s="627">
        <v>154</v>
      </c>
      <c r="G10" s="666">
        <v>3</v>
      </c>
      <c r="H10" s="667">
        <v>39103</v>
      </c>
      <c r="I10" s="668">
        <v>2.5391558441558441E-2</v>
      </c>
      <c r="J10" s="669">
        <v>37</v>
      </c>
      <c r="K10" s="670">
        <v>523761</v>
      </c>
      <c r="L10" s="671">
        <v>0.34010454545454544</v>
      </c>
      <c r="M10" s="672">
        <v>1129236</v>
      </c>
      <c r="N10" s="673">
        <v>0.46381890056640063</v>
      </c>
      <c r="O10" s="674">
        <v>0</v>
      </c>
      <c r="P10" s="675" t="e">
        <v>#DIV/0!</v>
      </c>
      <c r="Q10" s="676">
        <v>16</v>
      </c>
      <c r="R10" s="677">
        <v>0.4</v>
      </c>
      <c r="S10" s="676">
        <v>11</v>
      </c>
      <c r="T10" s="639">
        <v>0.27500000000000002</v>
      </c>
      <c r="U10" s="638">
        <v>5</v>
      </c>
      <c r="V10" s="639">
        <v>0.125</v>
      </c>
      <c r="W10" s="789"/>
      <c r="X10" s="790"/>
      <c r="Y10" s="789"/>
      <c r="Z10" s="790"/>
      <c r="AA10" s="791"/>
      <c r="AB10" s="792"/>
      <c r="AC10" s="793"/>
      <c r="AD10" s="788"/>
      <c r="AE10" s="847">
        <v>1817</v>
      </c>
      <c r="AF10" s="474">
        <v>7100231</v>
      </c>
      <c r="AG10" s="475">
        <v>0.39076670335718217</v>
      </c>
      <c r="AH10" s="856">
        <v>2</v>
      </c>
      <c r="AI10" s="863">
        <v>0</v>
      </c>
      <c r="AJ10" s="868">
        <v>0</v>
      </c>
      <c r="AK10" s="370"/>
      <c r="AL10" s="369"/>
    </row>
    <row r="11" spans="1:47" ht="70" customHeight="1">
      <c r="A11" s="912"/>
      <c r="B11" s="640">
        <v>5</v>
      </c>
      <c r="C11" s="625" t="s">
        <v>206</v>
      </c>
      <c r="D11" s="625" t="s">
        <v>485</v>
      </c>
      <c r="E11" s="626">
        <v>42</v>
      </c>
      <c r="F11" s="627">
        <v>158</v>
      </c>
      <c r="G11" s="628">
        <v>6</v>
      </c>
      <c r="H11" s="629">
        <v>93101</v>
      </c>
      <c r="I11" s="630">
        <v>5.8924683544303795E-2</v>
      </c>
      <c r="J11" s="631">
        <v>37</v>
      </c>
      <c r="K11" s="632">
        <v>470412</v>
      </c>
      <c r="L11" s="633">
        <v>0.29772911392405066</v>
      </c>
      <c r="M11" s="634">
        <v>1007123</v>
      </c>
      <c r="N11" s="635">
        <v>0.46708495387355864</v>
      </c>
      <c r="O11" s="636">
        <v>0</v>
      </c>
      <c r="P11" s="637" t="e">
        <v>#DIV/0!</v>
      </c>
      <c r="Q11" s="638">
        <v>15</v>
      </c>
      <c r="R11" s="639">
        <v>0.35714285714285715</v>
      </c>
      <c r="S11" s="638">
        <v>9</v>
      </c>
      <c r="T11" s="639">
        <v>0.21428571428571427</v>
      </c>
      <c r="U11" s="638">
        <v>5</v>
      </c>
      <c r="V11" s="639">
        <v>0.11904761904761904</v>
      </c>
      <c r="W11" s="789">
        <v>0</v>
      </c>
      <c r="X11" s="790" t="s">
        <v>930</v>
      </c>
      <c r="Y11" s="789">
        <v>0</v>
      </c>
      <c r="Z11" s="790" t="s">
        <v>930</v>
      </c>
      <c r="AA11" s="791">
        <v>492</v>
      </c>
      <c r="AB11" s="792">
        <v>470412</v>
      </c>
      <c r="AC11" s="793">
        <v>9.5612195121951224E-2</v>
      </c>
      <c r="AD11" s="788">
        <v>4</v>
      </c>
      <c r="AE11" s="847">
        <v>1859</v>
      </c>
      <c r="AF11" s="474">
        <v>5619305</v>
      </c>
      <c r="AG11" s="475">
        <v>0.30227568585260894</v>
      </c>
      <c r="AH11" s="856">
        <v>5</v>
      </c>
      <c r="AI11" s="863">
        <v>0</v>
      </c>
      <c r="AJ11" s="868">
        <v>2</v>
      </c>
      <c r="AK11" s="370"/>
      <c r="AL11" s="369"/>
    </row>
    <row r="12" spans="1:47" ht="70" customHeight="1">
      <c r="A12" s="912"/>
      <c r="B12" s="640">
        <v>6</v>
      </c>
      <c r="C12" s="625" t="s">
        <v>9</v>
      </c>
      <c r="D12" s="625" t="s">
        <v>661</v>
      </c>
      <c r="E12" s="626">
        <v>39</v>
      </c>
      <c r="F12" s="627">
        <v>174</v>
      </c>
      <c r="G12" s="628">
        <v>2</v>
      </c>
      <c r="H12" s="629">
        <v>85241</v>
      </c>
      <c r="I12" s="630">
        <v>4.8989080459770115E-2</v>
      </c>
      <c r="J12" s="631">
        <v>29</v>
      </c>
      <c r="K12" s="632">
        <v>371767</v>
      </c>
      <c r="L12" s="633">
        <v>0.21365919540229886</v>
      </c>
      <c r="M12" s="634">
        <v>1381736</v>
      </c>
      <c r="N12" s="635">
        <v>0.26905790975989624</v>
      </c>
      <c r="O12" s="636">
        <v>0</v>
      </c>
      <c r="P12" s="637" t="e">
        <v>#DIV/0!</v>
      </c>
      <c r="Q12" s="638">
        <v>15</v>
      </c>
      <c r="R12" s="639">
        <v>0.38461538461538464</v>
      </c>
      <c r="S12" s="638">
        <v>6</v>
      </c>
      <c r="T12" s="639">
        <v>0.15384615384615385</v>
      </c>
      <c r="U12" s="638">
        <v>6</v>
      </c>
      <c r="V12" s="639">
        <v>0.15384615384615385</v>
      </c>
      <c r="W12" s="789">
        <v>0</v>
      </c>
      <c r="X12" s="790" t="s">
        <v>930</v>
      </c>
      <c r="Y12" s="789">
        <v>0</v>
      </c>
      <c r="Z12" s="790" t="s">
        <v>930</v>
      </c>
      <c r="AA12" s="791">
        <v>540</v>
      </c>
      <c r="AB12" s="792">
        <v>371767</v>
      </c>
      <c r="AC12" s="793">
        <v>6.8845740740740735E-2</v>
      </c>
      <c r="AD12" s="788">
        <v>5</v>
      </c>
      <c r="AE12" s="847">
        <v>2045</v>
      </c>
      <c r="AF12" s="474">
        <v>5523146</v>
      </c>
      <c r="AG12" s="475">
        <v>0.27008048899755499</v>
      </c>
      <c r="AH12" s="856">
        <v>6</v>
      </c>
      <c r="AI12" s="863">
        <v>0</v>
      </c>
      <c r="AJ12" s="868">
        <v>0</v>
      </c>
      <c r="AK12" s="370"/>
      <c r="AL12" s="369"/>
    </row>
    <row r="13" spans="1:47" ht="70" customHeight="1">
      <c r="A13" s="912"/>
      <c r="B13" s="640">
        <v>7</v>
      </c>
      <c r="C13" s="642" t="s">
        <v>11</v>
      </c>
      <c r="D13" s="642" t="s">
        <v>149</v>
      </c>
      <c r="E13" s="643">
        <v>109</v>
      </c>
      <c r="F13" s="627">
        <v>353</v>
      </c>
      <c r="G13" s="644">
        <v>7</v>
      </c>
      <c r="H13" s="645">
        <v>88429</v>
      </c>
      <c r="I13" s="630">
        <v>2.5050708215297451E-2</v>
      </c>
      <c r="J13" s="646">
        <v>38</v>
      </c>
      <c r="K13" s="647">
        <v>631091</v>
      </c>
      <c r="L13" s="633">
        <v>0.17877932011331446</v>
      </c>
      <c r="M13" s="825">
        <v>3181813</v>
      </c>
      <c r="N13" s="826">
        <v>0.19834320873036851</v>
      </c>
      <c r="O13" s="827">
        <v>0</v>
      </c>
      <c r="P13" s="828" t="e">
        <v>#DIV/0!</v>
      </c>
      <c r="Q13" s="648">
        <v>19</v>
      </c>
      <c r="R13" s="649">
        <v>0.1743119266055046</v>
      </c>
      <c r="S13" s="648">
        <v>14</v>
      </c>
      <c r="T13" s="649">
        <v>0.12844036697247707</v>
      </c>
      <c r="U13" s="648">
        <v>11</v>
      </c>
      <c r="V13" s="649">
        <v>0.10091743119266056</v>
      </c>
      <c r="W13" s="794">
        <v>0</v>
      </c>
      <c r="X13" s="795" t="s">
        <v>930</v>
      </c>
      <c r="Y13" s="794">
        <v>0</v>
      </c>
      <c r="Z13" s="795" t="s">
        <v>930</v>
      </c>
      <c r="AA13" s="796">
        <v>1100</v>
      </c>
      <c r="AB13" s="797">
        <v>631091</v>
      </c>
      <c r="AC13" s="798">
        <v>5.7371909090909091E-2</v>
      </c>
      <c r="AD13" s="799">
        <v>6</v>
      </c>
      <c r="AE13" s="848">
        <v>4147</v>
      </c>
      <c r="AF13" s="843">
        <v>9883740</v>
      </c>
      <c r="AG13" s="852">
        <v>0.23833469978297564</v>
      </c>
      <c r="AH13" s="873">
        <v>7</v>
      </c>
      <c r="AI13" s="863">
        <v>1</v>
      </c>
      <c r="AJ13" s="868">
        <v>3</v>
      </c>
      <c r="AK13" s="370"/>
      <c r="AL13" s="369"/>
    </row>
    <row r="14" spans="1:47" ht="70" customHeight="1" thickBot="1">
      <c r="A14" s="912"/>
      <c r="B14" s="650">
        <v>8</v>
      </c>
      <c r="C14" s="642" t="s">
        <v>10</v>
      </c>
      <c r="D14" s="642" t="s">
        <v>130</v>
      </c>
      <c r="E14" s="643">
        <v>46</v>
      </c>
      <c r="F14" s="627">
        <v>195</v>
      </c>
      <c r="G14" s="644">
        <v>2</v>
      </c>
      <c r="H14" s="645">
        <v>11271</v>
      </c>
      <c r="I14" s="651">
        <v>5.7800000000000004E-3</v>
      </c>
      <c r="J14" s="646">
        <v>18</v>
      </c>
      <c r="K14" s="647">
        <v>151091</v>
      </c>
      <c r="L14" s="839">
        <v>7.74825641025641E-2</v>
      </c>
      <c r="M14" s="825">
        <v>1823112</v>
      </c>
      <c r="N14" s="826">
        <v>8.2875325268003286E-2</v>
      </c>
      <c r="O14" s="827">
        <v>0</v>
      </c>
      <c r="P14" s="828" t="e">
        <v>#DIV/0!</v>
      </c>
      <c r="Q14" s="648">
        <v>9</v>
      </c>
      <c r="R14" s="649">
        <v>0.19565217391304349</v>
      </c>
      <c r="S14" s="648">
        <v>3</v>
      </c>
      <c r="T14" s="649">
        <v>6.5217391304347824E-2</v>
      </c>
      <c r="U14" s="648">
        <v>1</v>
      </c>
      <c r="V14" s="649">
        <v>2.1739130434782608E-2</v>
      </c>
      <c r="W14" s="794">
        <v>0</v>
      </c>
      <c r="X14" s="795" t="s">
        <v>930</v>
      </c>
      <c r="Y14" s="794">
        <v>0</v>
      </c>
      <c r="Z14" s="795" t="s">
        <v>930</v>
      </c>
      <c r="AA14" s="796">
        <v>610</v>
      </c>
      <c r="AB14" s="797">
        <v>151091</v>
      </c>
      <c r="AC14" s="798">
        <v>2.4769016393442624E-2</v>
      </c>
      <c r="AD14" s="799">
        <v>7</v>
      </c>
      <c r="AE14" s="848">
        <v>2298</v>
      </c>
      <c r="AF14" s="843">
        <v>5190652</v>
      </c>
      <c r="AG14" s="852">
        <v>0.22587693646649259</v>
      </c>
      <c r="AH14" s="857">
        <v>8</v>
      </c>
      <c r="AI14" s="864">
        <v>1</v>
      </c>
      <c r="AJ14" s="870">
        <v>1</v>
      </c>
      <c r="AK14" s="370"/>
      <c r="AL14" s="369"/>
    </row>
    <row r="15" spans="1:47" ht="70" customHeight="1" thickTop="1">
      <c r="A15" s="913" t="s">
        <v>633</v>
      </c>
      <c r="B15" s="652">
        <v>1</v>
      </c>
      <c r="C15" s="653" t="s">
        <v>784</v>
      </c>
      <c r="D15" s="653" t="s">
        <v>850</v>
      </c>
      <c r="E15" s="654">
        <v>40</v>
      </c>
      <c r="F15" s="655">
        <v>135</v>
      </c>
      <c r="G15" s="656">
        <v>2</v>
      </c>
      <c r="H15" s="657">
        <v>17646</v>
      </c>
      <c r="I15" s="658">
        <v>1.3071111111111111E-2</v>
      </c>
      <c r="J15" s="659">
        <v>16</v>
      </c>
      <c r="K15" s="660">
        <v>921055</v>
      </c>
      <c r="L15" s="891">
        <v>0.68226296296296296</v>
      </c>
      <c r="M15" s="893">
        <v>878438</v>
      </c>
      <c r="N15" s="894">
        <v>1.0485145223681125</v>
      </c>
      <c r="O15" s="895">
        <v>0</v>
      </c>
      <c r="P15" s="896" t="e">
        <v>#DIV/0!</v>
      </c>
      <c r="Q15" s="661">
        <v>13</v>
      </c>
      <c r="R15" s="897">
        <v>0.32500000000000001</v>
      </c>
      <c r="S15" s="661">
        <v>8</v>
      </c>
      <c r="T15" s="897">
        <v>0.2</v>
      </c>
      <c r="U15" s="661">
        <v>4</v>
      </c>
      <c r="V15" s="662">
        <v>0.1</v>
      </c>
      <c r="W15" s="800">
        <v>0</v>
      </c>
      <c r="X15" s="801" t="s">
        <v>930</v>
      </c>
      <c r="Y15" s="800">
        <v>0</v>
      </c>
      <c r="Z15" s="801" t="s">
        <v>930</v>
      </c>
      <c r="AA15" s="802">
        <v>416</v>
      </c>
      <c r="AB15" s="803">
        <v>921055</v>
      </c>
      <c r="AC15" s="804">
        <v>0.22140745192307693</v>
      </c>
      <c r="AD15" s="805">
        <v>1</v>
      </c>
      <c r="AE15" s="849">
        <v>1583</v>
      </c>
      <c r="AF15" s="844">
        <v>5790243</v>
      </c>
      <c r="AG15" s="853">
        <v>0.3657765634870499</v>
      </c>
      <c r="AH15" s="858">
        <v>2</v>
      </c>
      <c r="AI15" s="865">
        <v>0</v>
      </c>
      <c r="AJ15" s="871">
        <v>3</v>
      </c>
      <c r="AK15" s="862"/>
      <c r="AL15" s="369"/>
    </row>
    <row r="16" spans="1:47" ht="70" customHeight="1">
      <c r="A16" s="914"/>
      <c r="B16" s="663">
        <v>2</v>
      </c>
      <c r="C16" s="625" t="s">
        <v>891</v>
      </c>
      <c r="D16" s="625" t="s">
        <v>892</v>
      </c>
      <c r="E16" s="626">
        <v>15</v>
      </c>
      <c r="F16" s="664">
        <v>66</v>
      </c>
      <c r="G16" s="628">
        <v>4</v>
      </c>
      <c r="H16" s="629">
        <v>62681</v>
      </c>
      <c r="I16" s="630">
        <v>9.4971212121212123E-2</v>
      </c>
      <c r="J16" s="631">
        <v>19</v>
      </c>
      <c r="K16" s="632">
        <v>400134</v>
      </c>
      <c r="L16" s="892">
        <v>0.60626363636363634</v>
      </c>
      <c r="M16" s="899">
        <v>206911</v>
      </c>
      <c r="N16" s="901">
        <v>1.9338459530909424</v>
      </c>
      <c r="O16" s="903">
        <v>0</v>
      </c>
      <c r="P16" s="905" t="e">
        <v>#DIV/0!</v>
      </c>
      <c r="Q16" s="638">
        <v>8</v>
      </c>
      <c r="R16" s="680">
        <v>0.53333333333333333</v>
      </c>
      <c r="S16" s="638">
        <v>3</v>
      </c>
      <c r="T16" s="680">
        <v>0.2</v>
      </c>
      <c r="U16" s="638">
        <v>3</v>
      </c>
      <c r="V16" s="639">
        <v>0.2</v>
      </c>
      <c r="W16" s="789">
        <v>0</v>
      </c>
      <c r="X16" s="790" t="s">
        <v>930</v>
      </c>
      <c r="Y16" s="789">
        <v>0</v>
      </c>
      <c r="Z16" s="790" t="s">
        <v>930</v>
      </c>
      <c r="AA16" s="791">
        <v>209</v>
      </c>
      <c r="AB16" s="792">
        <v>400134</v>
      </c>
      <c r="AC16" s="793">
        <v>0.19145167464114832</v>
      </c>
      <c r="AD16" s="806">
        <v>2</v>
      </c>
      <c r="AE16" s="847">
        <v>780</v>
      </c>
      <c r="AF16" s="474">
        <v>2998706</v>
      </c>
      <c r="AG16" s="475">
        <v>0.38444948717948718</v>
      </c>
      <c r="AH16" s="859">
        <v>1</v>
      </c>
      <c r="AI16" s="863">
        <v>0</v>
      </c>
      <c r="AJ16" s="868">
        <v>1</v>
      </c>
      <c r="AK16" s="370"/>
      <c r="AL16" s="369"/>
    </row>
    <row r="17" spans="1:38" ht="70" customHeight="1">
      <c r="A17" s="914"/>
      <c r="B17" s="624">
        <v>3</v>
      </c>
      <c r="C17" s="898" t="s">
        <v>825</v>
      </c>
      <c r="D17" s="641" t="s">
        <v>832</v>
      </c>
      <c r="E17" s="665">
        <v>26</v>
      </c>
      <c r="F17" s="627">
        <v>129</v>
      </c>
      <c r="G17" s="666">
        <v>2</v>
      </c>
      <c r="H17" s="667">
        <v>15960</v>
      </c>
      <c r="I17" s="668">
        <v>1.2372093023255815E-2</v>
      </c>
      <c r="J17" s="669">
        <v>25</v>
      </c>
      <c r="K17" s="670">
        <v>708162</v>
      </c>
      <c r="L17" s="678">
        <v>0.5489627906976744</v>
      </c>
      <c r="M17" s="900"/>
      <c r="N17" s="902"/>
      <c r="O17" s="904"/>
      <c r="P17" s="906"/>
      <c r="Q17" s="676">
        <v>11</v>
      </c>
      <c r="R17" s="679">
        <v>0.42307692307692307</v>
      </c>
      <c r="S17" s="676">
        <v>6</v>
      </c>
      <c r="T17" s="680">
        <v>0.23076923076923078</v>
      </c>
      <c r="U17" s="676">
        <v>5</v>
      </c>
      <c r="V17" s="639">
        <v>0.19230769230769232</v>
      </c>
      <c r="W17" s="789" t="e">
        <v>#N/A</v>
      </c>
      <c r="X17" s="790" t="s">
        <v>930</v>
      </c>
      <c r="Y17" s="789" t="e">
        <v>#N/A</v>
      </c>
      <c r="Z17" s="790" t="s">
        <v>930</v>
      </c>
      <c r="AA17" s="791">
        <v>402</v>
      </c>
      <c r="AB17" s="792">
        <v>708162</v>
      </c>
      <c r="AC17" s="793">
        <v>0.17615970149253732</v>
      </c>
      <c r="AD17" s="788">
        <v>3</v>
      </c>
      <c r="AE17" s="847">
        <v>1513</v>
      </c>
      <c r="AF17" s="474">
        <v>5232173</v>
      </c>
      <c r="AG17" s="475">
        <v>0.34581447455386649</v>
      </c>
      <c r="AH17" s="856">
        <v>3</v>
      </c>
      <c r="AI17" s="866"/>
      <c r="AJ17" s="869"/>
      <c r="AK17" s="370"/>
      <c r="AL17" s="369"/>
    </row>
    <row r="18" spans="1:38" ht="70" customHeight="1">
      <c r="A18" s="914"/>
      <c r="B18" s="624">
        <v>4</v>
      </c>
      <c r="C18" s="641" t="s">
        <v>387</v>
      </c>
      <c r="D18" s="641" t="s">
        <v>388</v>
      </c>
      <c r="E18" s="665">
        <v>31</v>
      </c>
      <c r="F18" s="627">
        <v>129</v>
      </c>
      <c r="G18" s="666">
        <v>6</v>
      </c>
      <c r="H18" s="667">
        <v>90555</v>
      </c>
      <c r="I18" s="668">
        <v>7.0197674418604653E-2</v>
      </c>
      <c r="J18" s="669">
        <v>34</v>
      </c>
      <c r="K18" s="670">
        <v>638997</v>
      </c>
      <c r="L18" s="671">
        <v>0.49534651162790699</v>
      </c>
      <c r="M18" s="672">
        <v>586060</v>
      </c>
      <c r="N18" s="673">
        <v>1.0903269289833806</v>
      </c>
      <c r="O18" s="674">
        <v>0</v>
      </c>
      <c r="P18" s="675" t="e">
        <v>#DIV/0!</v>
      </c>
      <c r="Q18" s="676">
        <v>13</v>
      </c>
      <c r="R18" s="677">
        <v>0.41935483870967744</v>
      </c>
      <c r="S18" s="676">
        <v>12</v>
      </c>
      <c r="T18" s="639">
        <v>0.38709677419354838</v>
      </c>
      <c r="U18" s="676">
        <v>8</v>
      </c>
      <c r="V18" s="680">
        <v>0.25806451612903225</v>
      </c>
      <c r="W18" s="789">
        <v>0</v>
      </c>
      <c r="X18" s="790" t="s">
        <v>930</v>
      </c>
      <c r="Y18" s="789">
        <v>0</v>
      </c>
      <c r="Z18" s="790" t="s">
        <v>930</v>
      </c>
      <c r="AA18" s="791">
        <v>398</v>
      </c>
      <c r="AB18" s="792">
        <v>638997</v>
      </c>
      <c r="AC18" s="793">
        <v>0.16055201005025124</v>
      </c>
      <c r="AD18" s="788">
        <v>4</v>
      </c>
      <c r="AE18" s="847">
        <v>1512</v>
      </c>
      <c r="AF18" s="474">
        <v>4150431</v>
      </c>
      <c r="AG18" s="475">
        <v>0.27449940476190476</v>
      </c>
      <c r="AH18" s="856">
        <v>5</v>
      </c>
      <c r="AI18" s="863">
        <v>0</v>
      </c>
      <c r="AJ18" s="868">
        <v>0</v>
      </c>
      <c r="AK18" s="370"/>
      <c r="AL18" s="369"/>
    </row>
    <row r="19" spans="1:38" ht="70" customHeight="1">
      <c r="A19" s="914"/>
      <c r="B19" s="624">
        <v>5</v>
      </c>
      <c r="C19" s="641" t="s">
        <v>8</v>
      </c>
      <c r="D19" s="641" t="s">
        <v>53</v>
      </c>
      <c r="E19" s="665">
        <v>19</v>
      </c>
      <c r="F19" s="627">
        <v>66</v>
      </c>
      <c r="G19" s="666">
        <v>1</v>
      </c>
      <c r="H19" s="667">
        <v>6731</v>
      </c>
      <c r="I19" s="668">
        <v>1.0198484848484849E-2</v>
      </c>
      <c r="J19" s="669">
        <v>13</v>
      </c>
      <c r="K19" s="670">
        <v>264246</v>
      </c>
      <c r="L19" s="671">
        <v>0.40037272727272727</v>
      </c>
      <c r="M19" s="672">
        <v>946027</v>
      </c>
      <c r="N19" s="673">
        <v>0.27932183753740641</v>
      </c>
      <c r="O19" s="674">
        <v>0</v>
      </c>
      <c r="P19" s="675" t="e">
        <v>#DIV/0!</v>
      </c>
      <c r="Q19" s="676">
        <v>9</v>
      </c>
      <c r="R19" s="677">
        <v>0.47368421052631576</v>
      </c>
      <c r="S19" s="676">
        <v>4</v>
      </c>
      <c r="T19" s="639">
        <v>0.21052631578947367</v>
      </c>
      <c r="U19" s="676">
        <v>3</v>
      </c>
      <c r="V19" s="639">
        <v>0.15789473684210525</v>
      </c>
      <c r="W19" s="789">
        <v>0</v>
      </c>
      <c r="X19" s="790" t="s">
        <v>930</v>
      </c>
      <c r="Y19" s="789">
        <v>0</v>
      </c>
      <c r="Z19" s="790" t="s">
        <v>930</v>
      </c>
      <c r="AA19" s="791">
        <v>209</v>
      </c>
      <c r="AB19" s="792">
        <v>264246</v>
      </c>
      <c r="AC19" s="793">
        <v>0.12643349282296651</v>
      </c>
      <c r="AD19" s="788">
        <v>5</v>
      </c>
      <c r="AE19" s="847">
        <v>780</v>
      </c>
      <c r="AF19" s="474">
        <v>2186789</v>
      </c>
      <c r="AG19" s="475">
        <v>0.28035756410256413</v>
      </c>
      <c r="AH19" s="856">
        <v>4</v>
      </c>
      <c r="AI19" s="863">
        <v>0</v>
      </c>
      <c r="AJ19" s="868">
        <v>0</v>
      </c>
      <c r="AK19" s="370"/>
      <c r="AL19" s="369"/>
    </row>
    <row r="20" spans="1:38" ht="70" customHeight="1">
      <c r="A20" s="914"/>
      <c r="B20" s="624">
        <v>6</v>
      </c>
      <c r="C20" s="641" t="s">
        <v>462</v>
      </c>
      <c r="D20" s="641" t="s">
        <v>425</v>
      </c>
      <c r="E20" s="665">
        <v>33</v>
      </c>
      <c r="F20" s="627">
        <v>116</v>
      </c>
      <c r="G20" s="666">
        <v>0</v>
      </c>
      <c r="H20" s="667">
        <v>12720</v>
      </c>
      <c r="I20" s="668">
        <v>1.096551724137931E-2</v>
      </c>
      <c r="J20" s="669">
        <v>17</v>
      </c>
      <c r="K20" s="670">
        <v>369711</v>
      </c>
      <c r="L20" s="671">
        <v>0.31871637931034486</v>
      </c>
      <c r="M20" s="672">
        <v>932202</v>
      </c>
      <c r="N20" s="673">
        <v>0.39659966402131724</v>
      </c>
      <c r="O20" s="674">
        <v>0</v>
      </c>
      <c r="P20" s="675" t="e">
        <v>#DIV/0!</v>
      </c>
      <c r="Q20" s="676">
        <v>9</v>
      </c>
      <c r="R20" s="677">
        <v>0.27272727272727271</v>
      </c>
      <c r="S20" s="676">
        <v>5</v>
      </c>
      <c r="T20" s="639">
        <v>0.15151515151515152</v>
      </c>
      <c r="U20" s="676">
        <v>4</v>
      </c>
      <c r="V20" s="680">
        <v>0.12121212121212122</v>
      </c>
      <c r="W20" s="789"/>
      <c r="X20" s="790"/>
      <c r="Y20" s="789"/>
      <c r="Z20" s="790"/>
      <c r="AA20" s="791"/>
      <c r="AB20" s="792"/>
      <c r="AC20" s="793"/>
      <c r="AD20" s="788"/>
      <c r="AE20" s="847">
        <v>1370</v>
      </c>
      <c r="AF20" s="474">
        <v>2938504</v>
      </c>
      <c r="AG20" s="475">
        <v>0.21448934306569342</v>
      </c>
      <c r="AH20" s="856">
        <v>8</v>
      </c>
      <c r="AI20" s="863">
        <v>0</v>
      </c>
      <c r="AJ20" s="868">
        <v>1</v>
      </c>
      <c r="AK20" s="370"/>
      <c r="AL20" s="369"/>
    </row>
    <row r="21" spans="1:38" ht="70" customHeight="1">
      <c r="A21" s="914"/>
      <c r="B21" s="624">
        <v>7</v>
      </c>
      <c r="C21" s="641" t="s">
        <v>268</v>
      </c>
      <c r="D21" s="641" t="s">
        <v>81</v>
      </c>
      <c r="E21" s="665">
        <v>19</v>
      </c>
      <c r="F21" s="627">
        <v>73</v>
      </c>
      <c r="G21" s="666">
        <v>2</v>
      </c>
      <c r="H21" s="667">
        <v>48633</v>
      </c>
      <c r="I21" s="668">
        <v>6.6620547945205486E-2</v>
      </c>
      <c r="J21" s="669">
        <v>14</v>
      </c>
      <c r="K21" s="670">
        <v>191845</v>
      </c>
      <c r="L21" s="671">
        <v>0.26280136986301372</v>
      </c>
      <c r="M21" s="672">
        <v>374446</v>
      </c>
      <c r="N21" s="673">
        <v>0.51234356889912025</v>
      </c>
      <c r="O21" s="674">
        <v>0</v>
      </c>
      <c r="P21" s="675" t="e">
        <v>#DIV/0!</v>
      </c>
      <c r="Q21" s="676">
        <v>7</v>
      </c>
      <c r="R21" s="677">
        <v>0.36842105263157893</v>
      </c>
      <c r="S21" s="676">
        <v>4</v>
      </c>
      <c r="T21" s="639">
        <v>0.21052631578947367</v>
      </c>
      <c r="U21" s="676">
        <v>3</v>
      </c>
      <c r="V21" s="680">
        <v>0.15789473684210525</v>
      </c>
      <c r="W21" s="789"/>
      <c r="X21" s="790"/>
      <c r="Y21" s="789"/>
      <c r="Z21" s="790"/>
      <c r="AA21" s="791"/>
      <c r="AB21" s="792"/>
      <c r="AC21" s="793"/>
      <c r="AD21" s="788"/>
      <c r="AE21" s="847">
        <v>860</v>
      </c>
      <c r="AF21" s="474">
        <v>2199989</v>
      </c>
      <c r="AG21" s="475">
        <v>0.25581267441860467</v>
      </c>
      <c r="AH21" s="856">
        <v>6</v>
      </c>
      <c r="AI21" s="863">
        <v>0</v>
      </c>
      <c r="AJ21" s="868">
        <v>0</v>
      </c>
      <c r="AK21" s="370"/>
      <c r="AL21" s="369"/>
    </row>
    <row r="22" spans="1:38" ht="70" customHeight="1">
      <c r="A22" s="914"/>
      <c r="B22" s="624">
        <v>8</v>
      </c>
      <c r="C22" s="641" t="s">
        <v>584</v>
      </c>
      <c r="D22" s="641" t="s">
        <v>849</v>
      </c>
      <c r="E22" s="665">
        <v>36</v>
      </c>
      <c r="F22" s="627">
        <v>141</v>
      </c>
      <c r="G22" s="666">
        <v>0</v>
      </c>
      <c r="H22" s="667">
        <v>0</v>
      </c>
      <c r="I22" s="668">
        <v>0</v>
      </c>
      <c r="J22" s="669">
        <v>25</v>
      </c>
      <c r="K22" s="670">
        <v>267620</v>
      </c>
      <c r="L22" s="671">
        <v>0.18980141843971632</v>
      </c>
      <c r="M22" s="672">
        <v>1064780</v>
      </c>
      <c r="N22" s="673">
        <v>0.2513383046263078</v>
      </c>
      <c r="O22" s="674">
        <v>0</v>
      </c>
      <c r="P22" s="675" t="e">
        <v>#DIV/0!</v>
      </c>
      <c r="Q22" s="676">
        <v>13</v>
      </c>
      <c r="R22" s="677">
        <v>0.3611111111111111</v>
      </c>
      <c r="S22" s="676">
        <v>8</v>
      </c>
      <c r="T22" s="639">
        <v>0.22222222222222221</v>
      </c>
      <c r="U22" s="676">
        <v>4</v>
      </c>
      <c r="V22" s="639">
        <v>0.1111111111111111</v>
      </c>
      <c r="W22" s="789">
        <v>0</v>
      </c>
      <c r="X22" s="790" t="s">
        <v>930</v>
      </c>
      <c r="Y22" s="789">
        <v>0</v>
      </c>
      <c r="Z22" s="790" t="s">
        <v>930</v>
      </c>
      <c r="AA22" s="791">
        <v>443</v>
      </c>
      <c r="AB22" s="792">
        <v>267620</v>
      </c>
      <c r="AC22" s="793">
        <v>6.0410835214446949E-2</v>
      </c>
      <c r="AD22" s="788">
        <v>6</v>
      </c>
      <c r="AE22" s="847">
        <v>1663</v>
      </c>
      <c r="AF22" s="474">
        <v>3380470</v>
      </c>
      <c r="AG22" s="475">
        <v>0.20327540589296453</v>
      </c>
      <c r="AH22" s="856">
        <v>9</v>
      </c>
      <c r="AI22" s="863">
        <v>0</v>
      </c>
      <c r="AJ22" s="868">
        <v>2</v>
      </c>
      <c r="AK22" s="370"/>
      <c r="AL22" s="369"/>
    </row>
    <row r="23" spans="1:38" ht="70" customHeight="1">
      <c r="A23" s="914"/>
      <c r="B23" s="650">
        <v>9</v>
      </c>
      <c r="C23" s="625" t="s">
        <v>479</v>
      </c>
      <c r="D23" s="681" t="s">
        <v>662</v>
      </c>
      <c r="E23" s="665">
        <v>32</v>
      </c>
      <c r="F23" s="627">
        <v>139</v>
      </c>
      <c r="G23" s="666">
        <v>1</v>
      </c>
      <c r="H23" s="667">
        <v>6491</v>
      </c>
      <c r="I23" s="668">
        <v>4.6697841726618707E-3</v>
      </c>
      <c r="J23" s="669">
        <v>13</v>
      </c>
      <c r="K23" s="670">
        <v>156360</v>
      </c>
      <c r="L23" s="671">
        <v>0.11248920863309353</v>
      </c>
      <c r="M23" s="672">
        <v>835525</v>
      </c>
      <c r="N23" s="673">
        <v>0.18713982226743664</v>
      </c>
      <c r="O23" s="674">
        <v>0</v>
      </c>
      <c r="P23" s="675" t="e">
        <v>#DIV/0!</v>
      </c>
      <c r="Q23" s="676">
        <v>7</v>
      </c>
      <c r="R23" s="677">
        <v>0.21875</v>
      </c>
      <c r="S23" s="676">
        <v>3</v>
      </c>
      <c r="T23" s="639">
        <v>9.375E-2</v>
      </c>
      <c r="U23" s="676">
        <v>2</v>
      </c>
      <c r="V23" s="639">
        <v>6.25E-2</v>
      </c>
      <c r="W23" s="789">
        <v>0</v>
      </c>
      <c r="X23" s="790" t="s">
        <v>930</v>
      </c>
      <c r="Y23" s="789">
        <v>0</v>
      </c>
      <c r="Z23" s="790" t="s">
        <v>930</v>
      </c>
      <c r="AA23" s="791">
        <v>432</v>
      </c>
      <c r="AB23" s="792">
        <v>156360</v>
      </c>
      <c r="AC23" s="793">
        <v>3.6194444444444446E-2</v>
      </c>
      <c r="AD23" s="788">
        <v>7</v>
      </c>
      <c r="AE23" s="847">
        <v>1631</v>
      </c>
      <c r="AF23" s="474">
        <v>3903257</v>
      </c>
      <c r="AG23" s="475">
        <v>0.23931679950950338</v>
      </c>
      <c r="AH23" s="856">
        <v>7</v>
      </c>
      <c r="AI23" s="863">
        <v>0</v>
      </c>
      <c r="AJ23" s="868">
        <v>1</v>
      </c>
      <c r="AK23" s="370"/>
      <c r="AL23" s="369"/>
    </row>
    <row r="24" spans="1:38" ht="70" customHeight="1" thickBot="1">
      <c r="A24" s="402"/>
      <c r="B24" s="682" t="s">
        <v>626</v>
      </c>
      <c r="C24" s="682" t="s">
        <v>376</v>
      </c>
      <c r="D24" s="683" t="s">
        <v>614</v>
      </c>
      <c r="E24" s="684">
        <v>590</v>
      </c>
      <c r="F24" s="685">
        <v>2366</v>
      </c>
      <c r="G24" s="686">
        <v>45</v>
      </c>
      <c r="H24" s="687">
        <v>801631</v>
      </c>
      <c r="I24" s="688">
        <v>3.3881276415891802E-2</v>
      </c>
      <c r="J24" s="689">
        <v>393</v>
      </c>
      <c r="K24" s="690">
        <v>8274112</v>
      </c>
      <c r="L24" s="691">
        <v>0.34970887573964499</v>
      </c>
      <c r="M24" s="692">
        <v>18190531</v>
      </c>
      <c r="N24" s="693">
        <v>0.45485818968121383</v>
      </c>
      <c r="O24" s="694">
        <v>0</v>
      </c>
      <c r="P24" s="695" t="e">
        <v>#DIV/0!</v>
      </c>
      <c r="Q24" s="696">
        <v>189</v>
      </c>
      <c r="R24" s="697">
        <v>0.32033898305084746</v>
      </c>
      <c r="S24" s="696">
        <v>120</v>
      </c>
      <c r="T24" s="697">
        <v>0.20338983050847459</v>
      </c>
      <c r="U24" s="696">
        <v>84</v>
      </c>
      <c r="V24" s="697">
        <v>0.14237288135593221</v>
      </c>
      <c r="W24" s="807">
        <v>0</v>
      </c>
      <c r="X24" s="808" t="s">
        <v>930</v>
      </c>
      <c r="Y24" s="807">
        <v>0</v>
      </c>
      <c r="Z24" s="808" t="s">
        <v>930</v>
      </c>
      <c r="AA24" s="809">
        <v>7378</v>
      </c>
      <c r="AB24" s="810">
        <v>8274112</v>
      </c>
      <c r="AC24" s="811">
        <v>0.11214573055028464</v>
      </c>
      <c r="AD24" s="812"/>
      <c r="AE24" s="850">
        <v>27838</v>
      </c>
      <c r="AF24" s="845">
        <v>82097641</v>
      </c>
      <c r="AG24" s="403">
        <v>0.29491213808463251</v>
      </c>
      <c r="AH24" s="860"/>
      <c r="AI24" s="867">
        <v>3</v>
      </c>
      <c r="AJ24" s="872">
        <v>18</v>
      </c>
      <c r="AK24" s="370"/>
      <c r="AL24" s="369"/>
    </row>
    <row r="25" spans="1:38" ht="9" customHeight="1" thickTop="1">
      <c r="A25" s="371"/>
      <c r="B25" s="574"/>
      <c r="C25" s="575"/>
      <c r="D25" s="575"/>
      <c r="E25" s="575"/>
      <c r="F25" s="575"/>
      <c r="G25" s="574"/>
      <c r="H25" s="575"/>
      <c r="I25" s="575"/>
      <c r="J25" s="575"/>
      <c r="K25" s="575"/>
      <c r="L25" s="576"/>
      <c r="M25" s="577"/>
      <c r="N25" s="576"/>
      <c r="O25" s="577"/>
      <c r="P25" s="576"/>
      <c r="Q25" s="578"/>
      <c r="R25" s="578"/>
      <c r="S25" s="578"/>
      <c r="T25" s="578"/>
      <c r="U25" s="373"/>
      <c r="V25" s="373"/>
      <c r="W25" s="447"/>
      <c r="X25" s="450"/>
      <c r="Y25" s="448"/>
      <c r="Z25" s="451"/>
      <c r="AA25" s="374"/>
      <c r="AB25" s="372"/>
      <c r="AC25" s="374"/>
      <c r="AD25" s="374"/>
      <c r="AE25" s="374"/>
      <c r="AF25" s="372"/>
      <c r="AG25" s="374"/>
      <c r="AH25" s="374"/>
      <c r="AI25" s="374"/>
      <c r="AJ25" s="374"/>
    </row>
    <row r="26" spans="1:38" s="380" customFormat="1" ht="79.75" customHeight="1" thickBot="1">
      <c r="A26" s="399"/>
      <c r="B26" s="596" t="s">
        <v>627</v>
      </c>
      <c r="C26" s="579" t="s">
        <v>536</v>
      </c>
      <c r="D26" s="580"/>
      <c r="E26" s="581">
        <v>17275</v>
      </c>
      <c r="F26" s="582">
        <v>69746</v>
      </c>
      <c r="G26" s="613">
        <v>1158</v>
      </c>
      <c r="H26" s="583">
        <v>19067294</v>
      </c>
      <c r="I26" s="584">
        <v>2.7338190003727812E-2</v>
      </c>
      <c r="J26" s="585">
        <v>13295</v>
      </c>
      <c r="K26" s="586">
        <v>249360828</v>
      </c>
      <c r="L26" s="587">
        <v>0.35749999999999998</v>
      </c>
      <c r="M26" s="588">
        <v>510301120</v>
      </c>
      <c r="N26" s="589">
        <v>0.48865428318087956</v>
      </c>
      <c r="O26" s="590">
        <v>0</v>
      </c>
      <c r="P26" s="591" t="e">
        <v>#DIV/0!</v>
      </c>
      <c r="Q26" s="592">
        <v>6578</v>
      </c>
      <c r="R26" s="593">
        <v>0.38080000000000003</v>
      </c>
      <c r="S26" s="594"/>
      <c r="T26" s="595"/>
      <c r="U26" s="376"/>
      <c r="V26" s="813"/>
      <c r="W26" s="814">
        <v>0</v>
      </c>
      <c r="X26" s="815" t="s">
        <v>930</v>
      </c>
      <c r="Y26" s="814">
        <v>0</v>
      </c>
      <c r="Z26" s="815" t="s">
        <v>930</v>
      </c>
      <c r="AA26" s="816">
        <v>217444</v>
      </c>
      <c r="AB26" s="817">
        <v>249360828</v>
      </c>
      <c r="AC26" s="818">
        <v>0.11467818288846783</v>
      </c>
      <c r="AD26" s="819"/>
      <c r="AE26" s="820">
        <v>820544</v>
      </c>
      <c r="AF26" s="377">
        <v>2431038749</v>
      </c>
      <c r="AG26" s="378">
        <v>0.29627158921398489</v>
      </c>
      <c r="AH26" s="379"/>
      <c r="AI26" s="855"/>
      <c r="AJ26" s="855"/>
      <c r="AL26" s="381"/>
    </row>
    <row r="27" spans="1:38" ht="49.25" customHeight="1" thickTop="1">
      <c r="C27" s="491" t="s">
        <v>846</v>
      </c>
      <c r="E27" s="466">
        <v>89</v>
      </c>
      <c r="F27" s="465">
        <v>472</v>
      </c>
      <c r="G27" s="494">
        <v>9</v>
      </c>
      <c r="H27" s="467">
        <v>239029</v>
      </c>
      <c r="I27" s="495">
        <v>5.0641737288135591E-2</v>
      </c>
      <c r="J27" s="493">
        <v>83</v>
      </c>
      <c r="K27" s="468">
        <v>2916022</v>
      </c>
      <c r="L27" s="492">
        <v>0.61780127118644068</v>
      </c>
      <c r="M27" s="496">
        <v>0</v>
      </c>
      <c r="N27" s="515" t="s">
        <v>930</v>
      </c>
      <c r="O27" s="516">
        <v>0</v>
      </c>
      <c r="P27" s="517" t="e">
        <v>#DIV/0!</v>
      </c>
      <c r="Q27" s="471">
        <v>36</v>
      </c>
      <c r="R27" s="472">
        <v>0.4044943820224719</v>
      </c>
      <c r="S27" s="471">
        <v>30</v>
      </c>
      <c r="T27" s="469">
        <v>0.33707865168539325</v>
      </c>
      <c r="U27" s="471">
        <v>25</v>
      </c>
      <c r="V27" s="470">
        <v>0.2808988764044944</v>
      </c>
      <c r="W27" s="445">
        <v>0</v>
      </c>
      <c r="X27" s="449" t="s">
        <v>930</v>
      </c>
      <c r="Y27" s="446">
        <v>0</v>
      </c>
      <c r="Z27" s="449" t="s">
        <v>930</v>
      </c>
      <c r="AA27" s="497">
        <v>1475</v>
      </c>
      <c r="AB27" s="474">
        <v>2916022</v>
      </c>
      <c r="AC27" s="475">
        <v>0.19769640677966102</v>
      </c>
      <c r="AD27" s="473"/>
    </row>
    <row r="28" spans="1:38" ht="57" customHeight="1">
      <c r="G28" s="476" t="s">
        <v>851</v>
      </c>
      <c r="L28" s="365"/>
      <c r="M28" s="364"/>
      <c r="N28" s="365"/>
      <c r="O28" s="364"/>
      <c r="P28" s="365"/>
      <c r="Q28" s="365"/>
      <c r="R28" s="365"/>
      <c r="S28" s="365"/>
      <c r="T28" s="365"/>
      <c r="U28" s="365"/>
      <c r="V28" s="365"/>
      <c r="W28" s="365"/>
      <c r="X28" s="365"/>
      <c r="Y28" s="365"/>
      <c r="Z28" s="365"/>
      <c r="AA28" s="365"/>
      <c r="AB28" s="365"/>
      <c r="AC28" s="365"/>
      <c r="AE28" s="365"/>
      <c r="AF28" s="365"/>
      <c r="AG28" s="365"/>
    </row>
    <row r="29" spans="1:38" s="360" customFormat="1" ht="30" customHeight="1">
      <c r="C29" s="359"/>
      <c r="D29" s="359"/>
      <c r="E29" s="824"/>
      <c r="F29" s="824"/>
      <c r="H29" s="359"/>
      <c r="I29" s="359"/>
      <c r="J29" s="359"/>
      <c r="K29" s="359"/>
      <c r="L29" s="359"/>
      <c r="M29" s="500"/>
      <c r="N29" s="501"/>
      <c r="O29" s="358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498"/>
      <c r="AC29" s="359"/>
      <c r="AD29" s="359"/>
      <c r="AE29" s="359"/>
      <c r="AF29" s="498"/>
      <c r="AG29" s="359"/>
      <c r="AH29" s="359"/>
      <c r="AI29" s="359"/>
      <c r="AJ29" s="359"/>
      <c r="AK29" s="356"/>
      <c r="AL29" s="499"/>
    </row>
    <row r="30" spans="1:38" ht="43">
      <c r="C30" s="829"/>
      <c r="D30" s="830"/>
      <c r="E30" s="753"/>
      <c r="F30" s="753"/>
      <c r="G30" s="757"/>
      <c r="I30" s="761"/>
      <c r="J30" s="757"/>
      <c r="K30" s="757"/>
      <c r="L30" s="762"/>
      <c r="M30" s="763"/>
      <c r="W30" s="366"/>
      <c r="X30" s="366"/>
    </row>
    <row r="31" spans="1:38" ht="43">
      <c r="C31" s="829"/>
      <c r="D31" s="830"/>
      <c r="E31" s="753"/>
      <c r="F31" s="753"/>
      <c r="G31" s="753"/>
      <c r="I31" s="759"/>
      <c r="J31" s="753"/>
      <c r="K31" s="754"/>
      <c r="L31" s="764"/>
      <c r="M31" s="765"/>
      <c r="W31" s="366"/>
      <c r="X31" s="366"/>
    </row>
    <row r="32" spans="1:38" ht="43">
      <c r="C32" s="753"/>
      <c r="D32" s="754"/>
      <c r="E32" s="753"/>
      <c r="F32" s="753"/>
      <c r="G32" s="753"/>
      <c r="I32" s="759"/>
      <c r="J32" s="753"/>
      <c r="K32" s="754"/>
      <c r="L32" s="764"/>
      <c r="M32" s="765"/>
      <c r="N32" s="760"/>
    </row>
    <row r="33" spans="3:14" ht="43">
      <c r="C33" s="753"/>
      <c r="D33" s="754"/>
      <c r="E33" s="753"/>
      <c r="F33" s="753"/>
      <c r="G33" s="753"/>
      <c r="I33" s="758"/>
      <c r="J33" s="758"/>
      <c r="K33" s="758"/>
      <c r="N33" s="760"/>
    </row>
    <row r="34" spans="3:14" ht="52">
      <c r="C34" s="755"/>
      <c r="D34" s="756"/>
      <c r="E34" s="753"/>
      <c r="F34" s="753"/>
      <c r="G34" s="757"/>
    </row>
    <row r="35" spans="3:14" ht="43">
      <c r="C35" s="829"/>
      <c r="D35" s="830"/>
      <c r="E35" s="753"/>
      <c r="F35" s="753"/>
      <c r="G35" s="753"/>
    </row>
    <row r="36" spans="3:14" ht="43">
      <c r="C36" s="829"/>
      <c r="D36" s="830"/>
      <c r="E36" s="753"/>
      <c r="F36" s="753"/>
      <c r="G36" s="753"/>
    </row>
    <row r="37" spans="3:14" ht="43">
      <c r="C37" s="832"/>
      <c r="D37" s="833"/>
      <c r="E37" s="753"/>
      <c r="F37" s="753"/>
      <c r="G37" s="753"/>
    </row>
    <row r="38" spans="3:14" ht="43">
      <c r="C38" s="832"/>
      <c r="D38" s="833"/>
      <c r="E38" s="753"/>
      <c r="F38" s="753"/>
      <c r="G38" s="753"/>
    </row>
    <row r="39" spans="3:14" ht="52">
      <c r="C39" s="755"/>
      <c r="D39" s="756"/>
      <c r="E39" s="753"/>
      <c r="F39" s="753"/>
      <c r="G39" s="757"/>
    </row>
    <row r="40" spans="3:14" ht="43">
      <c r="C40" s="829"/>
      <c r="D40" s="830"/>
      <c r="E40" s="753"/>
      <c r="F40" s="753"/>
      <c r="G40" s="753"/>
    </row>
    <row r="41" spans="3:14" ht="43">
      <c r="C41" s="832"/>
      <c r="D41" s="833"/>
      <c r="E41" s="753"/>
      <c r="F41" s="753"/>
      <c r="G41" s="753"/>
    </row>
    <row r="42" spans="3:14" ht="43">
      <c r="C42" s="753"/>
      <c r="D42" s="754"/>
      <c r="E42" s="753"/>
      <c r="F42" s="753"/>
      <c r="G42" s="753"/>
    </row>
    <row r="43" spans="3:14" ht="43">
      <c r="C43" s="753"/>
      <c r="D43" s="754"/>
      <c r="E43" s="753"/>
      <c r="F43" s="753"/>
      <c r="G43" s="753"/>
    </row>
    <row r="44" spans="3:14" ht="52">
      <c r="C44" s="755"/>
      <c r="D44" s="756"/>
      <c r="E44" s="753"/>
      <c r="F44" s="753"/>
      <c r="G44" s="757"/>
    </row>
    <row r="45" spans="3:14" ht="43">
      <c r="C45" s="829"/>
      <c r="D45" s="830"/>
      <c r="E45" s="753"/>
      <c r="F45" s="753"/>
      <c r="G45" s="753"/>
    </row>
    <row r="46" spans="3:14" ht="43">
      <c r="C46" s="829"/>
      <c r="D46" s="830"/>
      <c r="E46" s="753"/>
      <c r="F46" s="753"/>
      <c r="G46" s="753"/>
    </row>
    <row r="47" spans="3:14" ht="52">
      <c r="C47" s="755"/>
      <c r="D47" s="756"/>
      <c r="E47" s="753"/>
      <c r="F47" s="753"/>
      <c r="G47" s="753"/>
    </row>
    <row r="48" spans="3:14" ht="43">
      <c r="D48" s="753"/>
      <c r="E48" s="753"/>
      <c r="F48" s="753"/>
      <c r="G48" s="753"/>
    </row>
    <row r="49" spans="4:7" ht="43">
      <c r="D49" s="753"/>
      <c r="E49" s="753"/>
      <c r="F49" s="753"/>
      <c r="G49" s="753"/>
    </row>
    <row r="50" spans="4:7" ht="52">
      <c r="D50" s="756"/>
      <c r="E50" s="753"/>
      <c r="F50" s="831"/>
      <c r="G50" s="753"/>
    </row>
    <row r="51" spans="4:7" ht="43">
      <c r="D51" s="753"/>
      <c r="E51" s="753"/>
      <c r="F51" s="753"/>
      <c r="G51" s="753"/>
    </row>
    <row r="52" spans="4:7" ht="43">
      <c r="D52" s="753"/>
      <c r="E52" s="753"/>
      <c r="F52" s="753"/>
      <c r="G52" s="753"/>
    </row>
    <row r="53" spans="4:7" ht="43">
      <c r="D53" s="753"/>
      <c r="E53" s="753"/>
      <c r="F53" s="753"/>
      <c r="G53" s="753"/>
    </row>
    <row r="54" spans="4:7" ht="43">
      <c r="D54" s="753"/>
      <c r="E54" s="753"/>
      <c r="F54" s="753"/>
      <c r="G54" s="753"/>
    </row>
    <row r="55" spans="4:7" ht="43">
      <c r="D55" s="753"/>
      <c r="E55" s="753"/>
      <c r="F55" s="753"/>
      <c r="G55" s="753"/>
    </row>
    <row r="56" spans="4:7" ht="43">
      <c r="D56" s="753"/>
      <c r="E56" s="753"/>
      <c r="F56" s="753"/>
      <c r="G56" s="753"/>
    </row>
    <row r="57" spans="4:7" ht="43">
      <c r="D57" s="753"/>
      <c r="E57" s="753"/>
      <c r="F57" s="753"/>
      <c r="G57" s="753"/>
    </row>
    <row r="58" spans="4:7" ht="43">
      <c r="D58" s="753"/>
      <c r="E58" s="753"/>
      <c r="F58" s="753"/>
      <c r="G58" s="753"/>
    </row>
    <row r="59" spans="4:7" ht="43">
      <c r="D59" s="753"/>
      <c r="E59" s="753"/>
      <c r="F59" s="753"/>
      <c r="G59" s="753"/>
    </row>
    <row r="60" spans="4:7" ht="43">
      <c r="D60" s="753"/>
      <c r="E60" s="753"/>
      <c r="F60" s="753"/>
      <c r="G60" s="753"/>
    </row>
    <row r="61" spans="4:7" ht="43">
      <c r="D61" s="753"/>
      <c r="E61" s="753"/>
      <c r="F61" s="753"/>
      <c r="G61" s="753"/>
    </row>
  </sheetData>
  <sortState xmlns:xlrd2="http://schemas.microsoft.com/office/spreadsheetml/2017/richdata2" ref="C15:AJ23">
    <sortCondition descending="1" ref="L15:L23"/>
  </sortState>
  <mergeCells count="22">
    <mergeCell ref="A1:T1"/>
    <mergeCell ref="AE5:AE6"/>
    <mergeCell ref="AF5:AH5"/>
    <mergeCell ref="W5:Z5"/>
    <mergeCell ref="AA5:AA6"/>
    <mergeCell ref="AB5:AD5"/>
    <mergeCell ref="W4:Z4"/>
    <mergeCell ref="A5:A6"/>
    <mergeCell ref="C5:C6"/>
    <mergeCell ref="D5:D6"/>
    <mergeCell ref="E5:E6"/>
    <mergeCell ref="F5:F6"/>
    <mergeCell ref="G5:I5"/>
    <mergeCell ref="J5:L5"/>
    <mergeCell ref="M5:P5"/>
    <mergeCell ref="AI5:AI6"/>
    <mergeCell ref="AJ5:AJ6"/>
    <mergeCell ref="A7:A14"/>
    <mergeCell ref="A15:A23"/>
    <mergeCell ref="Q5:R5"/>
    <mergeCell ref="S5:T5"/>
    <mergeCell ref="U5:V5"/>
  </mergeCells>
  <phoneticPr fontId="180" type="noConversion"/>
  <conditionalFormatting sqref="L24 L7:L13 L15:L22">
    <cfRule type="cellIs" dxfId="282" priority="34" stopIfTrue="1" operator="greaterThanOrEqual">
      <formula>1</formula>
    </cfRule>
  </conditionalFormatting>
  <conditionalFormatting sqref="AG24 AG7:AG13 AG15:AG22">
    <cfRule type="cellIs" dxfId="281" priority="33" stopIfTrue="1" operator="greaterThanOrEqual">
      <formula>1</formula>
    </cfRule>
  </conditionalFormatting>
  <conditionalFormatting sqref="AH24">
    <cfRule type="cellIs" dxfId="280" priority="32" stopIfTrue="1" operator="greaterThanOrEqual">
      <formula>1</formula>
    </cfRule>
  </conditionalFormatting>
  <conditionalFormatting sqref="AG7:AG13 AG15:AG22 L24 AG24 AC24 L7:L13 L15:L22">
    <cfRule type="cellIs" dxfId="279" priority="31" stopIfTrue="1" operator="greaterThan">
      <formula>1</formula>
    </cfRule>
  </conditionalFormatting>
  <conditionalFormatting sqref="L24 L7:L13 L15:L22">
    <cfRule type="cellIs" dxfId="278" priority="30" stopIfTrue="1" operator="greaterThan">
      <formula>1</formula>
    </cfRule>
  </conditionalFormatting>
  <conditionalFormatting sqref="AH7:AH13 AH15:AH23 B7:B23">
    <cfRule type="cellIs" dxfId="277" priority="29" operator="lessThan">
      <formula>3</formula>
    </cfRule>
  </conditionalFormatting>
  <conditionalFormatting sqref="L23">
    <cfRule type="cellIs" dxfId="276" priority="28" stopIfTrue="1" operator="greaterThanOrEqual">
      <formula>1</formula>
    </cfRule>
  </conditionalFormatting>
  <conditionalFormatting sqref="AG23">
    <cfRule type="cellIs" dxfId="275" priority="27" stopIfTrue="1" operator="greaterThanOrEqual">
      <formula>1</formula>
    </cfRule>
  </conditionalFormatting>
  <conditionalFormatting sqref="AG23 L23">
    <cfRule type="cellIs" dxfId="274" priority="26" stopIfTrue="1" operator="greaterThan">
      <formula>1</formula>
    </cfRule>
  </conditionalFormatting>
  <conditionalFormatting sqref="L23">
    <cfRule type="cellIs" dxfId="273" priority="25" stopIfTrue="1" operator="greaterThan">
      <formula>1</formula>
    </cfRule>
  </conditionalFormatting>
  <conditionalFormatting sqref="L14">
    <cfRule type="cellIs" dxfId="272" priority="24" stopIfTrue="1" operator="greaterThanOrEqual">
      <formula>1</formula>
    </cfRule>
  </conditionalFormatting>
  <conditionalFormatting sqref="AG14">
    <cfRule type="cellIs" dxfId="271" priority="23" stopIfTrue="1" operator="greaterThanOrEqual">
      <formula>1</formula>
    </cfRule>
  </conditionalFormatting>
  <conditionalFormatting sqref="AG14 L14">
    <cfRule type="cellIs" dxfId="270" priority="22" stopIfTrue="1" operator="greaterThan">
      <formula>1</formula>
    </cfRule>
  </conditionalFormatting>
  <conditionalFormatting sqref="L14">
    <cfRule type="cellIs" dxfId="269" priority="21" stopIfTrue="1" operator="greaterThan">
      <formula>1</formula>
    </cfRule>
  </conditionalFormatting>
  <conditionalFormatting sqref="AH14">
    <cfRule type="cellIs" dxfId="268" priority="20" operator="lessThan">
      <formula>3</formula>
    </cfRule>
  </conditionalFormatting>
  <conditionalFormatting sqref="AC24 AC7:AC13 AC15:AC22">
    <cfRule type="cellIs" dxfId="267" priority="19" stopIfTrue="1" operator="greaterThanOrEqual">
      <formula>1</formula>
    </cfRule>
  </conditionalFormatting>
  <conditionalFormatting sqref="AD24">
    <cfRule type="cellIs" dxfId="266" priority="18" stopIfTrue="1" operator="greaterThanOrEqual">
      <formula>1</formula>
    </cfRule>
  </conditionalFormatting>
  <conditionalFormatting sqref="AC7:AC13 AC15:AC22">
    <cfRule type="cellIs" dxfId="265" priority="17" stopIfTrue="1" operator="greaterThan">
      <formula>1</formula>
    </cfRule>
  </conditionalFormatting>
  <conditionalFormatting sqref="AD7:AD13 AD15:AD23">
    <cfRule type="cellIs" dxfId="264" priority="16" operator="lessThan">
      <formula>3</formula>
    </cfRule>
  </conditionalFormatting>
  <conditionalFormatting sqref="AC23">
    <cfRule type="cellIs" dxfId="263" priority="15" stopIfTrue="1" operator="greaterThanOrEqual">
      <formula>1</formula>
    </cfRule>
  </conditionalFormatting>
  <conditionalFormatting sqref="AC23">
    <cfRule type="cellIs" dxfId="262" priority="14" stopIfTrue="1" operator="greaterThan">
      <formula>1</formula>
    </cfRule>
  </conditionalFormatting>
  <conditionalFormatting sqref="AC14">
    <cfRule type="cellIs" dxfId="261" priority="13" stopIfTrue="1" operator="greaterThanOrEqual">
      <formula>1</formula>
    </cfRule>
  </conditionalFormatting>
  <conditionalFormatting sqref="AC14">
    <cfRule type="cellIs" dxfId="260" priority="12" stopIfTrue="1" operator="greaterThan">
      <formula>1</formula>
    </cfRule>
  </conditionalFormatting>
  <conditionalFormatting sqref="AD14">
    <cfRule type="cellIs" dxfId="259" priority="11" operator="lessThan">
      <formula>3</formula>
    </cfRule>
  </conditionalFormatting>
  <conditionalFormatting sqref="L27">
    <cfRule type="cellIs" dxfId="258" priority="10" stopIfTrue="1" operator="greaterThanOrEqual">
      <formula>1</formula>
    </cfRule>
  </conditionalFormatting>
  <conditionalFormatting sqref="L27">
    <cfRule type="cellIs" dxfId="257" priority="9" stopIfTrue="1" operator="greaterThan">
      <formula>1</formula>
    </cfRule>
  </conditionalFormatting>
  <conditionalFormatting sqref="L27">
    <cfRule type="cellIs" dxfId="256" priority="8" stopIfTrue="1" operator="greaterThan">
      <formula>1</formula>
    </cfRule>
  </conditionalFormatting>
  <conditionalFormatting sqref="AD27">
    <cfRule type="cellIs" dxfId="255" priority="7" operator="lessThan">
      <formula>3</formula>
    </cfRule>
  </conditionalFormatting>
  <conditionalFormatting sqref="AC27">
    <cfRule type="cellIs" dxfId="254" priority="6" stopIfTrue="1" operator="greaterThanOrEqual">
      <formula>1</formula>
    </cfRule>
  </conditionalFormatting>
  <conditionalFormatting sqref="AC27">
    <cfRule type="cellIs" dxfId="253" priority="5" stopIfTrue="1" operator="greaterThan">
      <formula>1</formula>
    </cfRule>
  </conditionalFormatting>
  <conditionalFormatting sqref="C7:C23">
    <cfRule type="cellIs" dxfId="252" priority="2" operator="equal">
      <formula>"竹佑二分處"</formula>
    </cfRule>
    <cfRule type="cellIs" dxfId="251" priority="3" operator="equal">
      <formula>"竹佑一分處"</formula>
    </cfRule>
    <cfRule type="cellIs" dxfId="250" priority="4" operator="equal">
      <formula>"竹佑本部"</formula>
    </cfRule>
  </conditionalFormatting>
  <conditionalFormatting sqref="AI7:AJ23">
    <cfRule type="cellIs" dxfId="249" priority="1" operator="equal">
      <formula>0</formula>
    </cfRule>
  </conditionalFormatting>
  <printOptions horizontalCentered="1"/>
  <pageMargins left="0.11811023622047245" right="0.11811023622047245" top="0.15748031496062992" bottom="0.15748031496062992" header="0.31496062992125984" footer="0.31496062992125984"/>
  <pageSetup paperSize="9" scale="2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C687-E1BF-4426-BE91-A6EBE84E4046}">
  <sheetPr codeName="工作表6">
    <tabColor rgb="FF0070C0"/>
  </sheetPr>
  <dimension ref="A1:Q877"/>
  <sheetViews>
    <sheetView view="pageBreakPreview" zoomScaleNormal="100" zoomScaleSheetLayoutView="100" workbookViewId="0">
      <selection activeCell="F9" sqref="F9"/>
    </sheetView>
  </sheetViews>
  <sheetFormatPr baseColWidth="10" defaultColWidth="9.83203125" defaultRowHeight="20" outlineLevelRow="3"/>
  <cols>
    <col min="1" max="1" width="9.83203125" style="570"/>
    <col min="2" max="3" width="11" style="1" customWidth="1"/>
    <col min="4" max="4" width="8.1640625" style="1" customWidth="1"/>
    <col min="5" max="5" width="7.5" style="1" customWidth="1"/>
    <col min="6" max="6" width="14.1640625" style="1" customWidth="1"/>
    <col min="7" max="7" width="7.5" style="1" customWidth="1"/>
    <col min="8" max="8" width="16" style="1" customWidth="1"/>
    <col min="9" max="9" width="12.83203125" style="292" customWidth="1"/>
    <col min="10" max="11" width="12.83203125" style="307" customWidth="1"/>
    <col min="12" max="12" width="3" style="424" customWidth="1"/>
    <col min="13" max="13" width="9.83203125" style="1"/>
    <col min="14" max="14" width="10.33203125" style="1" bestFit="1" customWidth="1"/>
  </cols>
  <sheetData>
    <row r="1" spans="2:17" ht="23">
      <c r="B1" s="939" t="s">
        <v>915</v>
      </c>
      <c r="C1" s="939"/>
      <c r="D1" s="939"/>
      <c r="E1" s="939"/>
      <c r="F1" s="939"/>
      <c r="G1" s="939"/>
      <c r="H1" s="939"/>
      <c r="I1" s="939"/>
      <c r="M1" s="401"/>
      <c r="O1" s="75"/>
      <c r="P1" s="51"/>
      <c r="Q1" s="51"/>
    </row>
    <row r="2" spans="2:17" ht="18" customHeight="1" thickBot="1">
      <c r="B2" s="2"/>
      <c r="C2" s="3"/>
      <c r="D2" s="3"/>
      <c r="E2" s="3"/>
      <c r="F2" s="3"/>
      <c r="G2" s="3"/>
      <c r="H2" s="3"/>
      <c r="I2" s="308"/>
      <c r="J2" s="309"/>
      <c r="K2" s="875" t="s">
        <v>865</v>
      </c>
      <c r="L2" s="425"/>
      <c r="M2" s="401" t="s">
        <v>886</v>
      </c>
      <c r="N2" s="291"/>
      <c r="O2" s="51"/>
      <c r="P2" s="51"/>
      <c r="Q2" s="51"/>
    </row>
    <row r="3" spans="2:17" ht="19.5" customHeight="1" thickBot="1">
      <c r="B3" s="940"/>
      <c r="C3" s="940"/>
      <c r="D3" s="4"/>
      <c r="E3" s="941" t="s">
        <v>12</v>
      </c>
      <c r="F3" s="942"/>
      <c r="G3" s="943" t="s">
        <v>289</v>
      </c>
      <c r="H3" s="944"/>
      <c r="I3" s="348" t="s">
        <v>924</v>
      </c>
      <c r="J3" s="877" t="s">
        <v>925</v>
      </c>
      <c r="K3" s="886" t="s">
        <v>926</v>
      </c>
      <c r="L3" s="766"/>
      <c r="M3" s="401"/>
      <c r="N3" s="292"/>
    </row>
    <row r="4" spans="2:17" ht="17" customHeight="1">
      <c r="B4" s="183" t="s">
        <v>5</v>
      </c>
      <c r="C4" s="184" t="s">
        <v>13</v>
      </c>
      <c r="D4" s="185" t="s">
        <v>14</v>
      </c>
      <c r="E4" s="181" t="s">
        <v>15</v>
      </c>
      <c r="F4" s="182" t="s">
        <v>552</v>
      </c>
      <c r="G4" s="181" t="s">
        <v>15</v>
      </c>
      <c r="H4" s="234" t="s">
        <v>552</v>
      </c>
      <c r="I4" s="349" t="s">
        <v>551</v>
      </c>
      <c r="J4" s="404" t="s">
        <v>549</v>
      </c>
      <c r="K4" s="350" t="s">
        <v>664</v>
      </c>
      <c r="L4" s="876" t="s">
        <v>727</v>
      </c>
      <c r="M4" s="1" t="s">
        <v>665</v>
      </c>
    </row>
    <row r="5" spans="2:17" ht="18.25" customHeight="1" outlineLevel="2">
      <c r="B5" s="5" t="s">
        <v>8</v>
      </c>
      <c r="C5" s="6" t="s">
        <v>53</v>
      </c>
      <c r="D5" s="7" t="s">
        <v>54</v>
      </c>
      <c r="E5" s="8">
        <v>0</v>
      </c>
      <c r="F5" s="9">
        <v>0</v>
      </c>
      <c r="G5" s="8">
        <v>0</v>
      </c>
      <c r="H5" s="10">
        <v>0</v>
      </c>
      <c r="I5" s="310">
        <v>0</v>
      </c>
      <c r="J5" s="405">
        <v>0</v>
      </c>
      <c r="K5" s="409">
        <v>0</v>
      </c>
      <c r="L5" s="426"/>
    </row>
    <row r="6" spans="2:17" ht="18.25" customHeight="1" outlineLevel="2">
      <c r="B6" s="5" t="s">
        <v>8</v>
      </c>
      <c r="C6" s="6" t="s">
        <v>238</v>
      </c>
      <c r="D6" s="7" t="s">
        <v>17</v>
      </c>
      <c r="E6" s="8">
        <v>0</v>
      </c>
      <c r="F6" s="9">
        <v>0</v>
      </c>
      <c r="G6" s="8">
        <v>0</v>
      </c>
      <c r="H6" s="10">
        <v>0</v>
      </c>
      <c r="I6" s="310">
        <v>0</v>
      </c>
      <c r="J6" s="405">
        <v>0</v>
      </c>
      <c r="K6" s="409">
        <v>0</v>
      </c>
      <c r="L6" s="426"/>
    </row>
    <row r="7" spans="2:17" ht="18.25" customHeight="1" outlineLevel="2">
      <c r="B7" s="5" t="s">
        <v>8</v>
      </c>
      <c r="C7" s="6" t="s">
        <v>55</v>
      </c>
      <c r="D7" s="7" t="s">
        <v>17</v>
      </c>
      <c r="E7" s="8">
        <v>0</v>
      </c>
      <c r="F7" s="9">
        <v>0</v>
      </c>
      <c r="G7" s="8">
        <v>0</v>
      </c>
      <c r="H7" s="10">
        <v>0</v>
      </c>
      <c r="I7" s="310">
        <v>0</v>
      </c>
      <c r="J7" s="405">
        <v>0</v>
      </c>
      <c r="K7" s="409">
        <v>0</v>
      </c>
      <c r="L7" s="426"/>
    </row>
    <row r="8" spans="2:17" ht="18.25" customHeight="1" outlineLevel="1">
      <c r="B8" s="12" t="s">
        <v>8</v>
      </c>
      <c r="C8" s="13" t="s">
        <v>56</v>
      </c>
      <c r="D8" s="14">
        <v>3</v>
      </c>
      <c r="E8" s="15">
        <v>0</v>
      </c>
      <c r="F8" s="16">
        <v>0</v>
      </c>
      <c r="G8" s="15">
        <v>0</v>
      </c>
      <c r="H8" s="17">
        <v>0</v>
      </c>
      <c r="I8" s="311">
        <v>0</v>
      </c>
      <c r="J8" s="312">
        <v>0</v>
      </c>
      <c r="K8" s="410">
        <v>0</v>
      </c>
      <c r="L8" s="427">
        <v>0</v>
      </c>
      <c r="M8" s="1" t="s">
        <v>167</v>
      </c>
    </row>
    <row r="9" spans="2:17" ht="18.25" customHeight="1" outlineLevel="2">
      <c r="B9" s="5" t="s">
        <v>8</v>
      </c>
      <c r="C9" s="6" t="s">
        <v>636</v>
      </c>
      <c r="D9" s="7" t="s">
        <v>25</v>
      </c>
      <c r="E9" s="8">
        <v>0</v>
      </c>
      <c r="F9" s="9">
        <v>0</v>
      </c>
      <c r="G9" s="8">
        <v>1</v>
      </c>
      <c r="H9" s="10">
        <v>11130</v>
      </c>
      <c r="I9" s="310">
        <v>1</v>
      </c>
      <c r="J9" s="405">
        <v>0</v>
      </c>
      <c r="K9" s="409">
        <v>0</v>
      </c>
      <c r="L9" s="426"/>
    </row>
    <row r="10" spans="2:17" ht="18.25" customHeight="1" outlineLevel="2">
      <c r="B10" s="5" t="s">
        <v>8</v>
      </c>
      <c r="C10" s="6" t="s">
        <v>740</v>
      </c>
      <c r="D10" s="7" t="s">
        <v>17</v>
      </c>
      <c r="E10" s="8">
        <v>0</v>
      </c>
      <c r="F10" s="9">
        <v>0</v>
      </c>
      <c r="G10" s="8">
        <v>0</v>
      </c>
      <c r="H10" s="10">
        <v>0</v>
      </c>
      <c r="I10" s="310">
        <v>0</v>
      </c>
      <c r="J10" s="405">
        <v>0</v>
      </c>
      <c r="K10" s="409">
        <v>0</v>
      </c>
      <c r="L10" s="426"/>
    </row>
    <row r="11" spans="2:17" ht="18.25" customHeight="1" outlineLevel="1">
      <c r="B11" s="12" t="s">
        <v>8</v>
      </c>
      <c r="C11" s="13" t="s">
        <v>636</v>
      </c>
      <c r="D11" s="14">
        <v>2</v>
      </c>
      <c r="E11" s="15">
        <v>0</v>
      </c>
      <c r="F11" s="16">
        <v>0</v>
      </c>
      <c r="G11" s="15">
        <v>1</v>
      </c>
      <c r="H11" s="17">
        <v>11130</v>
      </c>
      <c r="I11" s="311">
        <v>1</v>
      </c>
      <c r="J11" s="312">
        <v>0</v>
      </c>
      <c r="K11" s="410">
        <v>0</v>
      </c>
      <c r="L11" s="427">
        <v>0</v>
      </c>
      <c r="M11" s="1" t="s">
        <v>169</v>
      </c>
    </row>
    <row r="12" spans="2:17" ht="18.25" customHeight="1" outlineLevel="2">
      <c r="B12" s="5" t="s">
        <v>8</v>
      </c>
      <c r="C12" s="6" t="s">
        <v>270</v>
      </c>
      <c r="D12" s="7" t="s">
        <v>47</v>
      </c>
      <c r="E12" s="8">
        <v>0</v>
      </c>
      <c r="F12" s="9">
        <v>0</v>
      </c>
      <c r="G12" s="8">
        <v>2.5</v>
      </c>
      <c r="H12" s="10">
        <v>44438</v>
      </c>
      <c r="I12" s="310">
        <v>1</v>
      </c>
      <c r="J12" s="405">
        <v>1</v>
      </c>
      <c r="K12" s="409">
        <v>1</v>
      </c>
      <c r="L12" s="426"/>
    </row>
    <row r="13" spans="2:17" ht="18.25" customHeight="1" outlineLevel="2">
      <c r="B13" s="5" t="s">
        <v>8</v>
      </c>
      <c r="C13" s="6" t="s">
        <v>726</v>
      </c>
      <c r="D13" s="7" t="s">
        <v>17</v>
      </c>
      <c r="E13" s="8">
        <v>0</v>
      </c>
      <c r="F13" s="9">
        <v>0</v>
      </c>
      <c r="G13" s="8">
        <v>0.5</v>
      </c>
      <c r="H13" s="10">
        <v>8636</v>
      </c>
      <c r="I13" s="310">
        <v>1</v>
      </c>
      <c r="J13" s="405">
        <v>0</v>
      </c>
      <c r="K13" s="409">
        <v>0</v>
      </c>
      <c r="L13" s="426"/>
    </row>
    <row r="14" spans="2:17" ht="18.25" customHeight="1" outlineLevel="2">
      <c r="B14" s="5" t="s">
        <v>8</v>
      </c>
      <c r="C14" s="6" t="s">
        <v>298</v>
      </c>
      <c r="D14" s="7" t="s">
        <v>17</v>
      </c>
      <c r="E14" s="8">
        <v>0</v>
      </c>
      <c r="F14" s="9">
        <v>0</v>
      </c>
      <c r="G14" s="8">
        <v>0</v>
      </c>
      <c r="H14" s="10">
        <v>0</v>
      </c>
      <c r="I14" s="310">
        <v>0</v>
      </c>
      <c r="J14" s="405">
        <v>0</v>
      </c>
      <c r="K14" s="409">
        <v>0</v>
      </c>
      <c r="L14" s="426"/>
    </row>
    <row r="15" spans="2:17" ht="18.25" customHeight="1" outlineLevel="1">
      <c r="B15" s="12" t="s">
        <v>8</v>
      </c>
      <c r="C15" s="13" t="s">
        <v>57</v>
      </c>
      <c r="D15" s="14">
        <v>3</v>
      </c>
      <c r="E15" s="15">
        <v>0</v>
      </c>
      <c r="F15" s="16">
        <v>0</v>
      </c>
      <c r="G15" s="15">
        <v>3</v>
      </c>
      <c r="H15" s="17">
        <v>53074</v>
      </c>
      <c r="I15" s="311">
        <v>2</v>
      </c>
      <c r="J15" s="312">
        <v>1</v>
      </c>
      <c r="K15" s="410">
        <v>1</v>
      </c>
      <c r="L15" s="427">
        <v>0</v>
      </c>
      <c r="M15" s="1" t="s">
        <v>51</v>
      </c>
    </row>
    <row r="16" spans="2:17" ht="18.25" customHeight="1" outlineLevel="2">
      <c r="B16" s="5" t="s">
        <v>8</v>
      </c>
      <c r="C16" s="18" t="s">
        <v>58</v>
      </c>
      <c r="D16" s="7" t="s">
        <v>25</v>
      </c>
      <c r="E16" s="8">
        <v>0</v>
      </c>
      <c r="F16" s="9">
        <v>0</v>
      </c>
      <c r="G16" s="8">
        <v>4.5</v>
      </c>
      <c r="H16" s="10">
        <v>100625</v>
      </c>
      <c r="I16" s="310">
        <v>1</v>
      </c>
      <c r="J16" s="405">
        <v>1</v>
      </c>
      <c r="K16" s="409">
        <v>1</v>
      </c>
      <c r="L16" s="426"/>
    </row>
    <row r="17" spans="1:14" ht="18.25" customHeight="1" outlineLevel="2">
      <c r="B17" s="5" t="s">
        <v>8</v>
      </c>
      <c r="C17" s="6" t="s">
        <v>792</v>
      </c>
      <c r="D17" s="7" t="s">
        <v>17</v>
      </c>
      <c r="E17" s="8">
        <v>0</v>
      </c>
      <c r="F17" s="9">
        <v>0</v>
      </c>
      <c r="G17" s="8">
        <v>0</v>
      </c>
      <c r="H17" s="10">
        <v>0</v>
      </c>
      <c r="I17" s="310">
        <v>0</v>
      </c>
      <c r="J17" s="405">
        <v>0</v>
      </c>
      <c r="K17" s="409">
        <v>0</v>
      </c>
      <c r="L17" s="426"/>
    </row>
    <row r="18" spans="1:14" ht="18.25" customHeight="1" outlineLevel="2">
      <c r="B18" s="5" t="s">
        <v>8</v>
      </c>
      <c r="C18" s="6" t="s">
        <v>715</v>
      </c>
      <c r="D18" s="7" t="s">
        <v>17</v>
      </c>
      <c r="E18" s="8">
        <v>0</v>
      </c>
      <c r="F18" s="9">
        <v>0</v>
      </c>
      <c r="G18" s="8">
        <v>0.5</v>
      </c>
      <c r="H18" s="10">
        <v>1603</v>
      </c>
      <c r="I18" s="310">
        <v>1</v>
      </c>
      <c r="J18" s="405">
        <v>0</v>
      </c>
      <c r="K18" s="409">
        <v>0</v>
      </c>
      <c r="L18" s="426"/>
    </row>
    <row r="19" spans="1:14" ht="18.25" customHeight="1" outlineLevel="1">
      <c r="B19" s="12" t="s">
        <v>8</v>
      </c>
      <c r="C19" s="13" t="s">
        <v>58</v>
      </c>
      <c r="D19" s="14">
        <v>3</v>
      </c>
      <c r="E19" s="15">
        <v>0</v>
      </c>
      <c r="F19" s="16">
        <v>0</v>
      </c>
      <c r="G19" s="15">
        <v>5</v>
      </c>
      <c r="H19" s="17">
        <v>102228</v>
      </c>
      <c r="I19" s="311">
        <v>2</v>
      </c>
      <c r="J19" s="312">
        <v>1</v>
      </c>
      <c r="K19" s="410">
        <v>1</v>
      </c>
      <c r="L19" s="427">
        <v>1</v>
      </c>
      <c r="M19" s="1" t="s">
        <v>169</v>
      </c>
    </row>
    <row r="20" spans="1:14" ht="18.25" customHeight="1" outlineLevel="2">
      <c r="B20" s="5" t="s">
        <v>8</v>
      </c>
      <c r="C20" s="18" t="s">
        <v>59</v>
      </c>
      <c r="D20" s="7" t="s">
        <v>40</v>
      </c>
      <c r="E20" s="8">
        <v>1</v>
      </c>
      <c r="F20" s="9">
        <v>6731</v>
      </c>
      <c r="G20" s="8">
        <v>1</v>
      </c>
      <c r="H20" s="10">
        <v>6731</v>
      </c>
      <c r="I20" s="310">
        <v>1</v>
      </c>
      <c r="J20" s="405">
        <v>0</v>
      </c>
      <c r="K20" s="409">
        <v>0</v>
      </c>
      <c r="L20" s="426"/>
    </row>
    <row r="21" spans="1:14" ht="18.25" customHeight="1" outlineLevel="2">
      <c r="B21" s="5" t="s">
        <v>1</v>
      </c>
      <c r="C21" s="18" t="s">
        <v>360</v>
      </c>
      <c r="D21" s="7" t="s">
        <v>27</v>
      </c>
      <c r="E21" s="8">
        <v>0</v>
      </c>
      <c r="F21" s="9">
        <v>0</v>
      </c>
      <c r="G21" s="8">
        <v>0</v>
      </c>
      <c r="H21" s="10">
        <v>0</v>
      </c>
      <c r="I21" s="310">
        <v>0</v>
      </c>
      <c r="J21" s="405">
        <v>0</v>
      </c>
      <c r="K21" s="409">
        <v>0</v>
      </c>
      <c r="L21" s="426"/>
    </row>
    <row r="22" spans="1:14" ht="18.25" customHeight="1" outlineLevel="1">
      <c r="B22" s="12" t="s">
        <v>8</v>
      </c>
      <c r="C22" s="20" t="s">
        <v>59</v>
      </c>
      <c r="D22" s="14">
        <v>2</v>
      </c>
      <c r="E22" s="21">
        <v>1</v>
      </c>
      <c r="F22" s="16">
        <v>6731</v>
      </c>
      <c r="G22" s="21">
        <v>1</v>
      </c>
      <c r="H22" s="17">
        <v>6731</v>
      </c>
      <c r="I22" s="311">
        <v>1</v>
      </c>
      <c r="J22" s="312">
        <v>0</v>
      </c>
      <c r="K22" s="410">
        <v>0</v>
      </c>
      <c r="L22" s="427">
        <v>0</v>
      </c>
      <c r="M22" s="1" t="s">
        <v>51</v>
      </c>
    </row>
    <row r="23" spans="1:14" ht="18.25" customHeight="1" outlineLevel="2">
      <c r="B23" s="5" t="s">
        <v>8</v>
      </c>
      <c r="C23" s="18" t="s">
        <v>546</v>
      </c>
      <c r="D23" s="7" t="s">
        <v>25</v>
      </c>
      <c r="E23" s="8">
        <v>0</v>
      </c>
      <c r="F23" s="9">
        <v>0</v>
      </c>
      <c r="G23" s="8">
        <v>0</v>
      </c>
      <c r="H23" s="10">
        <v>0</v>
      </c>
      <c r="I23" s="310">
        <v>0</v>
      </c>
      <c r="J23" s="405">
        <v>0</v>
      </c>
      <c r="K23" s="409">
        <v>0</v>
      </c>
      <c r="L23" s="426"/>
    </row>
    <row r="24" spans="1:14" ht="18.25" customHeight="1" outlineLevel="2">
      <c r="B24" s="5" t="s">
        <v>1</v>
      </c>
      <c r="C24" s="18" t="s">
        <v>720</v>
      </c>
      <c r="D24" s="7" t="s">
        <v>27</v>
      </c>
      <c r="E24" s="8">
        <v>0</v>
      </c>
      <c r="F24" s="9">
        <v>0</v>
      </c>
      <c r="G24" s="8">
        <v>1</v>
      </c>
      <c r="H24" s="10">
        <v>18834</v>
      </c>
      <c r="I24" s="310">
        <v>1</v>
      </c>
      <c r="J24" s="405">
        <v>1</v>
      </c>
      <c r="K24" s="409">
        <v>0</v>
      </c>
      <c r="L24" s="426"/>
    </row>
    <row r="25" spans="1:14" ht="18.25" customHeight="1" outlineLevel="1">
      <c r="B25" s="12" t="s">
        <v>8</v>
      </c>
      <c r="C25" s="20" t="s">
        <v>546</v>
      </c>
      <c r="D25" s="14">
        <v>2</v>
      </c>
      <c r="E25" s="21">
        <v>0</v>
      </c>
      <c r="F25" s="16">
        <v>0</v>
      </c>
      <c r="G25" s="21">
        <v>1</v>
      </c>
      <c r="H25" s="17">
        <v>18834</v>
      </c>
      <c r="I25" s="311">
        <v>1</v>
      </c>
      <c r="J25" s="312">
        <v>1</v>
      </c>
      <c r="K25" s="410">
        <v>0</v>
      </c>
      <c r="L25" s="427">
        <v>0</v>
      </c>
      <c r="M25" s="1" t="s">
        <v>169</v>
      </c>
    </row>
    <row r="26" spans="1:14" ht="18.25" customHeight="1" outlineLevel="2">
      <c r="B26" s="5" t="s">
        <v>1</v>
      </c>
      <c r="C26" s="18" t="s">
        <v>210</v>
      </c>
      <c r="D26" s="7" t="s">
        <v>189</v>
      </c>
      <c r="E26" s="8">
        <v>0</v>
      </c>
      <c r="F26" s="9">
        <v>0</v>
      </c>
      <c r="G26" s="8">
        <v>0</v>
      </c>
      <c r="H26" s="10">
        <v>0</v>
      </c>
      <c r="I26" s="310">
        <v>0</v>
      </c>
      <c r="J26" s="405">
        <v>0</v>
      </c>
      <c r="K26" s="409">
        <v>0</v>
      </c>
      <c r="L26" s="426"/>
    </row>
    <row r="27" spans="1:14" ht="18.25" customHeight="1" outlineLevel="2">
      <c r="B27" s="5" t="s">
        <v>1</v>
      </c>
      <c r="C27" s="18" t="s">
        <v>656</v>
      </c>
      <c r="D27" s="7" t="s">
        <v>27</v>
      </c>
      <c r="E27" s="8">
        <v>0</v>
      </c>
      <c r="F27" s="9">
        <v>0</v>
      </c>
      <c r="G27" s="8">
        <v>1</v>
      </c>
      <c r="H27" s="10">
        <v>9702</v>
      </c>
      <c r="I27" s="310">
        <v>1</v>
      </c>
      <c r="J27" s="405">
        <v>0</v>
      </c>
      <c r="K27" s="409">
        <v>0</v>
      </c>
      <c r="L27" s="426"/>
    </row>
    <row r="28" spans="1:14" ht="18.25" customHeight="1" outlineLevel="1">
      <c r="B28" s="12" t="s">
        <v>8</v>
      </c>
      <c r="C28" s="20" t="s">
        <v>210</v>
      </c>
      <c r="D28" s="14">
        <v>2</v>
      </c>
      <c r="E28" s="21">
        <v>0</v>
      </c>
      <c r="F28" s="16">
        <v>0</v>
      </c>
      <c r="G28" s="21">
        <v>1</v>
      </c>
      <c r="H28" s="17">
        <v>9702</v>
      </c>
      <c r="I28" s="311">
        <v>1</v>
      </c>
      <c r="J28" s="312">
        <v>0</v>
      </c>
      <c r="K28" s="410">
        <v>0</v>
      </c>
      <c r="L28" s="427">
        <v>0</v>
      </c>
      <c r="M28" s="1" t="s">
        <v>169</v>
      </c>
    </row>
    <row r="29" spans="1:14" ht="18.25" customHeight="1" outlineLevel="2">
      <c r="B29" s="5" t="s">
        <v>8</v>
      </c>
      <c r="C29" s="38" t="s">
        <v>272</v>
      </c>
      <c r="D29" s="7" t="s">
        <v>25</v>
      </c>
      <c r="E29" s="8">
        <v>0</v>
      </c>
      <c r="F29" s="9">
        <v>0</v>
      </c>
      <c r="G29" s="8">
        <v>1</v>
      </c>
      <c r="H29" s="10">
        <v>62547</v>
      </c>
      <c r="I29" s="310">
        <v>1</v>
      </c>
      <c r="J29" s="405">
        <v>1</v>
      </c>
      <c r="K29" s="409">
        <v>1</v>
      </c>
      <c r="L29" s="426"/>
    </row>
    <row r="30" spans="1:14" ht="18.25" customHeight="1" outlineLevel="2">
      <c r="B30" s="5" t="s">
        <v>8</v>
      </c>
      <c r="C30" s="6" t="s">
        <v>648</v>
      </c>
      <c r="D30" s="7" t="s">
        <v>17</v>
      </c>
      <c r="E30" s="8">
        <v>0</v>
      </c>
      <c r="F30" s="9">
        <v>0</v>
      </c>
      <c r="G30" s="8">
        <v>0</v>
      </c>
      <c r="H30" s="10">
        <v>0</v>
      </c>
      <c r="I30" s="310">
        <v>0</v>
      </c>
      <c r="J30" s="405">
        <v>0</v>
      </c>
      <c r="K30" s="409">
        <v>0</v>
      </c>
      <c r="L30" s="426"/>
    </row>
    <row r="31" spans="1:14" ht="18.25" customHeight="1" outlineLevel="1">
      <c r="B31" s="12" t="s">
        <v>8</v>
      </c>
      <c r="C31" s="20" t="s">
        <v>362</v>
      </c>
      <c r="D31" s="14">
        <v>2</v>
      </c>
      <c r="E31" s="21">
        <v>0</v>
      </c>
      <c r="F31" s="16">
        <v>0</v>
      </c>
      <c r="G31" s="21">
        <v>1</v>
      </c>
      <c r="H31" s="17">
        <v>62547</v>
      </c>
      <c r="I31" s="311">
        <v>1</v>
      </c>
      <c r="J31" s="312">
        <v>1</v>
      </c>
      <c r="K31" s="410">
        <v>1</v>
      </c>
      <c r="L31" s="427">
        <v>1</v>
      </c>
      <c r="M31" s="1" t="s">
        <v>169</v>
      </c>
    </row>
    <row r="32" spans="1:14" s="149" customFormat="1" ht="18.25" customHeight="1">
      <c r="A32" s="569" t="s">
        <v>833</v>
      </c>
      <c r="B32" s="945" t="s">
        <v>8</v>
      </c>
      <c r="C32" s="946"/>
      <c r="D32" s="145">
        <v>19</v>
      </c>
      <c r="E32" s="150">
        <v>1</v>
      </c>
      <c r="F32" s="151">
        <v>6731</v>
      </c>
      <c r="G32" s="146">
        <v>13</v>
      </c>
      <c r="H32" s="152">
        <v>264246</v>
      </c>
      <c r="I32" s="314">
        <v>9</v>
      </c>
      <c r="J32" s="315">
        <v>4</v>
      </c>
      <c r="K32" s="411">
        <v>3</v>
      </c>
      <c r="L32" s="428">
        <v>2</v>
      </c>
      <c r="M32" s="248"/>
      <c r="N32" s="248"/>
    </row>
    <row r="33" spans="2:13" ht="18.25" customHeight="1" outlineLevel="2">
      <c r="B33" s="5" t="s">
        <v>304</v>
      </c>
      <c r="C33" s="6" t="s">
        <v>227</v>
      </c>
      <c r="D33" s="7" t="s">
        <v>473</v>
      </c>
      <c r="E33" s="8">
        <v>0</v>
      </c>
      <c r="F33" s="9">
        <v>0</v>
      </c>
      <c r="G33" s="8">
        <v>1</v>
      </c>
      <c r="H33" s="10">
        <v>53293</v>
      </c>
      <c r="I33" s="310">
        <v>1</v>
      </c>
      <c r="J33" s="405">
        <v>1</v>
      </c>
      <c r="K33" s="409">
        <v>1</v>
      </c>
      <c r="L33" s="426"/>
    </row>
    <row r="34" spans="2:13" ht="18.25" customHeight="1" outlineLevel="2">
      <c r="B34" s="5" t="s">
        <v>303</v>
      </c>
      <c r="C34" s="6" t="s">
        <v>761</v>
      </c>
      <c r="D34" s="7" t="s">
        <v>188</v>
      </c>
      <c r="E34" s="8">
        <v>0</v>
      </c>
      <c r="F34" s="9">
        <v>0</v>
      </c>
      <c r="G34" s="8">
        <v>0</v>
      </c>
      <c r="H34" s="10">
        <v>0</v>
      </c>
      <c r="I34" s="310">
        <v>0</v>
      </c>
      <c r="J34" s="405">
        <v>0</v>
      </c>
      <c r="K34" s="409">
        <v>0</v>
      </c>
      <c r="L34" s="426"/>
    </row>
    <row r="35" spans="2:13" ht="18.25" customHeight="1" outlineLevel="2">
      <c r="B35" s="5" t="s">
        <v>303</v>
      </c>
      <c r="C35" s="6" t="s">
        <v>861</v>
      </c>
      <c r="D35" s="7" t="s">
        <v>188</v>
      </c>
      <c r="E35" s="8">
        <v>0</v>
      </c>
      <c r="F35" s="9">
        <v>0</v>
      </c>
      <c r="G35" s="8">
        <v>0</v>
      </c>
      <c r="H35" s="10">
        <v>0</v>
      </c>
      <c r="I35" s="310">
        <v>0</v>
      </c>
      <c r="J35" s="405">
        <v>0</v>
      </c>
      <c r="K35" s="409">
        <v>0</v>
      </c>
      <c r="L35" s="426"/>
    </row>
    <row r="36" spans="2:13" ht="18.25" customHeight="1" outlineLevel="2">
      <c r="B36" s="5" t="s">
        <v>303</v>
      </c>
      <c r="C36" s="6" t="s">
        <v>683</v>
      </c>
      <c r="D36" s="7" t="s">
        <v>188</v>
      </c>
      <c r="E36" s="8">
        <v>0</v>
      </c>
      <c r="F36" s="9">
        <v>0</v>
      </c>
      <c r="G36" s="8">
        <v>0</v>
      </c>
      <c r="H36" s="10">
        <v>0</v>
      </c>
      <c r="I36" s="310">
        <v>0</v>
      </c>
      <c r="J36" s="405">
        <v>0</v>
      </c>
      <c r="K36" s="409">
        <v>0</v>
      </c>
      <c r="L36" s="426"/>
    </row>
    <row r="37" spans="2:13" ht="18.25" customHeight="1" outlineLevel="2">
      <c r="B37" s="5" t="s">
        <v>303</v>
      </c>
      <c r="C37" s="6" t="s">
        <v>862</v>
      </c>
      <c r="D37" s="7" t="s">
        <v>188</v>
      </c>
      <c r="E37" s="8">
        <v>0</v>
      </c>
      <c r="F37" s="9">
        <v>0</v>
      </c>
      <c r="G37" s="8">
        <v>0</v>
      </c>
      <c r="H37" s="10">
        <v>0</v>
      </c>
      <c r="I37" s="310">
        <v>0</v>
      </c>
      <c r="J37" s="405">
        <v>0</v>
      </c>
      <c r="K37" s="409">
        <v>0</v>
      </c>
      <c r="L37" s="426"/>
    </row>
    <row r="38" spans="2:13" ht="18.25" customHeight="1" outlineLevel="1">
      <c r="B38" s="12" t="s">
        <v>303</v>
      </c>
      <c r="C38" s="13" t="s">
        <v>62</v>
      </c>
      <c r="D38" s="14">
        <v>5</v>
      </c>
      <c r="E38" s="15">
        <v>0</v>
      </c>
      <c r="F38" s="16">
        <v>0</v>
      </c>
      <c r="G38" s="15">
        <v>1</v>
      </c>
      <c r="H38" s="17">
        <v>53293</v>
      </c>
      <c r="I38" s="311">
        <v>1</v>
      </c>
      <c r="J38" s="312">
        <v>1</v>
      </c>
      <c r="K38" s="410">
        <v>1</v>
      </c>
      <c r="L38" s="427">
        <v>0</v>
      </c>
      <c r="M38" s="1" t="s">
        <v>167</v>
      </c>
    </row>
    <row r="39" spans="2:13" ht="18.25" customHeight="1" outlineLevel="2">
      <c r="B39" s="5" t="s">
        <v>303</v>
      </c>
      <c r="C39" s="878" t="s">
        <v>920</v>
      </c>
      <c r="D39" s="45"/>
      <c r="E39" s="8">
        <v>0</v>
      </c>
      <c r="F39" s="9">
        <v>0</v>
      </c>
      <c r="G39" s="8">
        <v>0</v>
      </c>
      <c r="H39" s="10">
        <v>0</v>
      </c>
      <c r="I39" s="318"/>
      <c r="J39" s="407"/>
      <c r="K39" s="414"/>
      <c r="L39" s="426"/>
    </row>
    <row r="40" spans="2:13" ht="18.25" customHeight="1" outlineLevel="2">
      <c r="B40" s="5" t="s">
        <v>303</v>
      </c>
      <c r="C40" s="878" t="s">
        <v>921</v>
      </c>
      <c r="D40" s="45"/>
      <c r="E40" s="8">
        <v>0</v>
      </c>
      <c r="F40" s="9">
        <v>0</v>
      </c>
      <c r="G40" s="8">
        <v>0</v>
      </c>
      <c r="H40" s="10">
        <v>0</v>
      </c>
      <c r="I40" s="318"/>
      <c r="J40" s="407"/>
      <c r="K40" s="414"/>
      <c r="L40" s="426"/>
    </row>
    <row r="41" spans="2:13" ht="18.25" customHeight="1" outlineLevel="1">
      <c r="B41" s="12" t="s">
        <v>303</v>
      </c>
      <c r="C41" s="13" t="s">
        <v>63</v>
      </c>
      <c r="D41" s="14">
        <v>0</v>
      </c>
      <c r="E41" s="15">
        <v>0</v>
      </c>
      <c r="F41" s="16">
        <v>0</v>
      </c>
      <c r="G41" s="15">
        <v>0</v>
      </c>
      <c r="H41" s="17">
        <v>0</v>
      </c>
      <c r="I41" s="311">
        <v>0</v>
      </c>
      <c r="J41" s="312">
        <v>0</v>
      </c>
      <c r="K41" s="410">
        <v>0</v>
      </c>
      <c r="L41" s="427">
        <v>0</v>
      </c>
      <c r="M41" s="1" t="s">
        <v>169</v>
      </c>
    </row>
    <row r="42" spans="2:13" ht="18.25" customHeight="1" outlineLevel="2">
      <c r="B42" s="5" t="s">
        <v>303</v>
      </c>
      <c r="C42" s="6" t="s">
        <v>308</v>
      </c>
      <c r="D42" s="7" t="s">
        <v>189</v>
      </c>
      <c r="E42" s="8">
        <v>0</v>
      </c>
      <c r="F42" s="9">
        <v>0</v>
      </c>
      <c r="G42" s="8">
        <v>0</v>
      </c>
      <c r="H42" s="10">
        <v>0</v>
      </c>
      <c r="I42" s="310">
        <v>0</v>
      </c>
      <c r="J42" s="405">
        <v>0</v>
      </c>
      <c r="K42" s="409">
        <v>0</v>
      </c>
      <c r="L42" s="426"/>
    </row>
    <row r="43" spans="2:13" ht="18.25" customHeight="1" outlineLevel="2">
      <c r="B43" s="5" t="s">
        <v>303</v>
      </c>
      <c r="C43" s="6" t="s">
        <v>628</v>
      </c>
      <c r="D43" s="7" t="s">
        <v>188</v>
      </c>
      <c r="E43" s="8">
        <v>0</v>
      </c>
      <c r="F43" s="9">
        <v>0</v>
      </c>
      <c r="G43" s="8">
        <v>0</v>
      </c>
      <c r="H43" s="10">
        <v>0</v>
      </c>
      <c r="I43" s="310">
        <v>0</v>
      </c>
      <c r="J43" s="405">
        <v>0</v>
      </c>
      <c r="K43" s="409">
        <v>0</v>
      </c>
      <c r="L43" s="426"/>
    </row>
    <row r="44" spans="2:13" ht="18.25" customHeight="1" outlineLevel="1">
      <c r="B44" s="12" t="s">
        <v>303</v>
      </c>
      <c r="C44" s="13" t="s">
        <v>308</v>
      </c>
      <c r="D44" s="14">
        <v>2</v>
      </c>
      <c r="E44" s="15">
        <v>0</v>
      </c>
      <c r="F44" s="16">
        <v>0</v>
      </c>
      <c r="G44" s="15">
        <v>0</v>
      </c>
      <c r="H44" s="17">
        <v>0</v>
      </c>
      <c r="I44" s="311">
        <v>0</v>
      </c>
      <c r="J44" s="312">
        <v>0</v>
      </c>
      <c r="K44" s="410">
        <v>0</v>
      </c>
      <c r="L44" s="427">
        <v>0</v>
      </c>
      <c r="M44" s="1" t="s">
        <v>169</v>
      </c>
    </row>
    <row r="45" spans="2:13" ht="18.25" customHeight="1" outlineLevel="2">
      <c r="B45" s="5" t="s">
        <v>303</v>
      </c>
      <c r="C45" s="39" t="s">
        <v>243</v>
      </c>
      <c r="D45" s="7" t="s">
        <v>189</v>
      </c>
      <c r="E45" s="8">
        <v>0</v>
      </c>
      <c r="F45" s="9">
        <v>0</v>
      </c>
      <c r="G45" s="8">
        <v>0</v>
      </c>
      <c r="H45" s="10">
        <v>0</v>
      </c>
      <c r="I45" s="310">
        <v>0</v>
      </c>
      <c r="J45" s="405">
        <v>0</v>
      </c>
      <c r="K45" s="409">
        <v>0</v>
      </c>
      <c r="L45" s="426"/>
    </row>
    <row r="46" spans="2:13" ht="18.25" customHeight="1" outlineLevel="2">
      <c r="B46" s="5" t="s">
        <v>303</v>
      </c>
      <c r="C46" s="39" t="s">
        <v>286</v>
      </c>
      <c r="D46" s="7" t="s">
        <v>27</v>
      </c>
      <c r="E46" s="8">
        <v>0</v>
      </c>
      <c r="F46" s="9">
        <v>0</v>
      </c>
      <c r="G46" s="8">
        <v>0</v>
      </c>
      <c r="H46" s="10">
        <v>0</v>
      </c>
      <c r="I46" s="310">
        <v>0</v>
      </c>
      <c r="J46" s="405">
        <v>0</v>
      </c>
      <c r="K46" s="409">
        <v>0</v>
      </c>
      <c r="L46" s="426"/>
    </row>
    <row r="47" spans="2:13" ht="18.25" customHeight="1" outlineLevel="1">
      <c r="B47" s="12" t="s">
        <v>303</v>
      </c>
      <c r="C47" s="13" t="s">
        <v>243</v>
      </c>
      <c r="D47" s="14">
        <v>2</v>
      </c>
      <c r="E47" s="15">
        <v>0</v>
      </c>
      <c r="F47" s="16">
        <v>0</v>
      </c>
      <c r="G47" s="15">
        <v>0</v>
      </c>
      <c r="H47" s="17">
        <v>0</v>
      </c>
      <c r="I47" s="311">
        <v>0</v>
      </c>
      <c r="J47" s="312">
        <v>0</v>
      </c>
      <c r="K47" s="410">
        <v>0</v>
      </c>
      <c r="L47" s="427">
        <v>0</v>
      </c>
      <c r="M47" s="1" t="s">
        <v>169</v>
      </c>
    </row>
    <row r="48" spans="2:13" ht="18.25" customHeight="1" outlineLevel="2">
      <c r="B48" s="5" t="s">
        <v>303</v>
      </c>
      <c r="C48" s="6" t="s">
        <v>66</v>
      </c>
      <c r="D48" s="19" t="s">
        <v>40</v>
      </c>
      <c r="E48" s="8">
        <v>0</v>
      </c>
      <c r="F48" s="9">
        <v>0</v>
      </c>
      <c r="G48" s="8">
        <v>0</v>
      </c>
      <c r="H48" s="10">
        <v>0</v>
      </c>
      <c r="I48" s="310">
        <v>0</v>
      </c>
      <c r="J48" s="405">
        <v>0</v>
      </c>
      <c r="K48" s="409">
        <v>0</v>
      </c>
      <c r="L48" s="426"/>
    </row>
    <row r="49" spans="1:14" ht="18.25" customHeight="1" outlineLevel="2">
      <c r="B49" s="5" t="s">
        <v>303</v>
      </c>
      <c r="C49" s="6" t="s">
        <v>67</v>
      </c>
      <c r="D49" s="7" t="s">
        <v>17</v>
      </c>
      <c r="E49" s="8">
        <v>0</v>
      </c>
      <c r="F49" s="9">
        <v>0</v>
      </c>
      <c r="G49" s="8">
        <v>0</v>
      </c>
      <c r="H49" s="10">
        <v>0</v>
      </c>
      <c r="I49" s="310">
        <v>0</v>
      </c>
      <c r="J49" s="405">
        <v>0</v>
      </c>
      <c r="K49" s="409">
        <v>0</v>
      </c>
      <c r="L49" s="426"/>
    </row>
    <row r="50" spans="1:14" s="65" customFormat="1" ht="18.25" customHeight="1" outlineLevel="1">
      <c r="A50" s="571"/>
      <c r="B50" s="47" t="s">
        <v>303</v>
      </c>
      <c r="C50" s="61" t="s">
        <v>66</v>
      </c>
      <c r="D50" s="26">
        <v>2</v>
      </c>
      <c r="E50" s="62">
        <v>0</v>
      </c>
      <c r="F50" s="62">
        <v>0</v>
      </c>
      <c r="G50" s="66">
        <v>0</v>
      </c>
      <c r="H50" s="64">
        <v>0</v>
      </c>
      <c r="I50" s="316">
        <v>0</v>
      </c>
      <c r="J50" s="317">
        <v>0</v>
      </c>
      <c r="K50" s="412">
        <v>0</v>
      </c>
      <c r="L50" s="429">
        <v>0</v>
      </c>
      <c r="M50" s="249" t="s">
        <v>51</v>
      </c>
      <c r="N50" s="249"/>
    </row>
    <row r="51" spans="1:14" ht="18.25" customHeight="1" outlineLevel="2">
      <c r="B51" s="5" t="s">
        <v>303</v>
      </c>
      <c r="C51" s="39" t="s">
        <v>223</v>
      </c>
      <c r="D51" s="23" t="s">
        <v>40</v>
      </c>
      <c r="E51" s="8">
        <v>0</v>
      </c>
      <c r="F51" s="9">
        <v>0</v>
      </c>
      <c r="G51" s="8">
        <v>0</v>
      </c>
      <c r="H51" s="10">
        <v>0</v>
      </c>
      <c r="I51" s="310">
        <v>0</v>
      </c>
      <c r="J51" s="405">
        <v>0</v>
      </c>
      <c r="K51" s="409">
        <v>0</v>
      </c>
      <c r="L51" s="426"/>
    </row>
    <row r="52" spans="1:14" ht="18.25" customHeight="1" outlineLevel="2">
      <c r="B52" s="5" t="s">
        <v>303</v>
      </c>
      <c r="C52" s="6" t="s">
        <v>816</v>
      </c>
      <c r="D52" s="7" t="s">
        <v>17</v>
      </c>
      <c r="E52" s="8">
        <v>0</v>
      </c>
      <c r="F52" s="9">
        <v>0</v>
      </c>
      <c r="G52" s="8">
        <v>0</v>
      </c>
      <c r="H52" s="10">
        <v>0</v>
      </c>
      <c r="I52" s="310">
        <v>0</v>
      </c>
      <c r="J52" s="405">
        <v>0</v>
      </c>
      <c r="K52" s="409">
        <v>0</v>
      </c>
      <c r="L52" s="426"/>
    </row>
    <row r="53" spans="1:14" ht="18.25" customHeight="1" outlineLevel="2">
      <c r="B53" s="5" t="s">
        <v>303</v>
      </c>
      <c r="C53" s="6" t="s">
        <v>688</v>
      </c>
      <c r="D53" s="7" t="s">
        <v>17</v>
      </c>
      <c r="E53" s="8">
        <v>0</v>
      </c>
      <c r="F53" s="9">
        <v>0</v>
      </c>
      <c r="G53" s="8">
        <v>0</v>
      </c>
      <c r="H53" s="10">
        <v>0</v>
      </c>
      <c r="I53" s="310">
        <v>0</v>
      </c>
      <c r="J53" s="405">
        <v>0</v>
      </c>
      <c r="K53" s="409">
        <v>0</v>
      </c>
      <c r="L53" s="426"/>
    </row>
    <row r="54" spans="1:14" s="65" customFormat="1" ht="18.25" customHeight="1" outlineLevel="1">
      <c r="A54" s="571"/>
      <c r="B54" s="47" t="s">
        <v>303</v>
      </c>
      <c r="C54" s="61" t="s">
        <v>258</v>
      </c>
      <c r="D54" s="26">
        <v>3</v>
      </c>
      <c r="E54" s="62">
        <v>0</v>
      </c>
      <c r="F54" s="62">
        <v>0</v>
      </c>
      <c r="G54" s="66">
        <v>0</v>
      </c>
      <c r="H54" s="64">
        <v>0</v>
      </c>
      <c r="I54" s="316">
        <v>0</v>
      </c>
      <c r="J54" s="317">
        <v>0</v>
      </c>
      <c r="K54" s="412">
        <v>0</v>
      </c>
      <c r="L54" s="429">
        <v>0</v>
      </c>
      <c r="M54" s="249" t="s">
        <v>51</v>
      </c>
      <c r="N54" s="249"/>
    </row>
    <row r="55" spans="1:14" ht="18.25" customHeight="1" outlineLevel="2">
      <c r="B55" s="5" t="s">
        <v>303</v>
      </c>
      <c r="C55" s="6" t="s">
        <v>263</v>
      </c>
      <c r="D55" s="7" t="s">
        <v>22</v>
      </c>
      <c r="E55" s="8">
        <v>0</v>
      </c>
      <c r="F55" s="9">
        <v>0</v>
      </c>
      <c r="G55" s="8">
        <v>0</v>
      </c>
      <c r="H55" s="10">
        <v>0</v>
      </c>
      <c r="I55" s="310">
        <v>0</v>
      </c>
      <c r="J55" s="405">
        <v>0</v>
      </c>
      <c r="K55" s="409">
        <v>0</v>
      </c>
      <c r="L55" s="426"/>
    </row>
    <row r="56" spans="1:14" s="65" customFormat="1" ht="18.25" customHeight="1" outlineLevel="1">
      <c r="A56" s="571"/>
      <c r="B56" s="47" t="s">
        <v>303</v>
      </c>
      <c r="C56" s="61" t="s">
        <v>263</v>
      </c>
      <c r="D56" s="26">
        <v>1</v>
      </c>
      <c r="E56" s="62">
        <v>0</v>
      </c>
      <c r="F56" s="62">
        <v>0</v>
      </c>
      <c r="G56" s="66">
        <v>0</v>
      </c>
      <c r="H56" s="64">
        <v>0</v>
      </c>
      <c r="I56" s="316">
        <v>0</v>
      </c>
      <c r="J56" s="317">
        <v>0</v>
      </c>
      <c r="K56" s="412">
        <v>0</v>
      </c>
      <c r="L56" s="429">
        <v>0</v>
      </c>
      <c r="M56" s="249" t="s">
        <v>171</v>
      </c>
      <c r="N56" s="249"/>
    </row>
    <row r="57" spans="1:14" ht="18.25" customHeight="1" outlineLevel="2">
      <c r="B57" s="5" t="s">
        <v>303</v>
      </c>
      <c r="C57" s="6" t="s">
        <v>577</v>
      </c>
      <c r="D57" s="7" t="s">
        <v>25</v>
      </c>
      <c r="E57" s="8">
        <v>0</v>
      </c>
      <c r="F57" s="9">
        <v>0</v>
      </c>
      <c r="G57" s="8">
        <v>1</v>
      </c>
      <c r="H57" s="10">
        <v>22482</v>
      </c>
      <c r="I57" s="310">
        <v>1</v>
      </c>
      <c r="J57" s="405">
        <v>1</v>
      </c>
      <c r="K57" s="409">
        <v>0</v>
      </c>
      <c r="L57" s="426"/>
    </row>
    <row r="58" spans="1:14" ht="18.25" customHeight="1" outlineLevel="2">
      <c r="B58" s="5" t="s">
        <v>303</v>
      </c>
      <c r="C58" s="6" t="s">
        <v>785</v>
      </c>
      <c r="D58" s="7" t="s">
        <v>17</v>
      </c>
      <c r="E58" s="8">
        <v>0</v>
      </c>
      <c r="F58" s="9">
        <v>0</v>
      </c>
      <c r="G58" s="8">
        <v>0</v>
      </c>
      <c r="H58" s="10">
        <v>0</v>
      </c>
      <c r="I58" s="310">
        <v>0</v>
      </c>
      <c r="J58" s="405">
        <v>0</v>
      </c>
      <c r="K58" s="409">
        <v>0</v>
      </c>
      <c r="L58" s="426"/>
    </row>
    <row r="59" spans="1:14" s="65" customFormat="1" ht="18.25" customHeight="1" outlineLevel="1">
      <c r="A59" s="571"/>
      <c r="B59" s="47" t="s">
        <v>303</v>
      </c>
      <c r="C59" s="61" t="s">
        <v>577</v>
      </c>
      <c r="D59" s="26">
        <v>2</v>
      </c>
      <c r="E59" s="62">
        <v>0</v>
      </c>
      <c r="F59" s="62">
        <v>0</v>
      </c>
      <c r="G59" s="66">
        <v>1</v>
      </c>
      <c r="H59" s="64">
        <v>22482</v>
      </c>
      <c r="I59" s="316">
        <v>1</v>
      </c>
      <c r="J59" s="317">
        <v>1</v>
      </c>
      <c r="K59" s="412">
        <v>0</v>
      </c>
      <c r="L59" s="429">
        <v>0</v>
      </c>
      <c r="M59" s="249" t="s">
        <v>169</v>
      </c>
      <c r="N59" s="249"/>
    </row>
    <row r="60" spans="1:14" ht="18.25" customHeight="1" outlineLevel="2">
      <c r="B60" s="5" t="s">
        <v>303</v>
      </c>
      <c r="C60" s="6" t="s">
        <v>692</v>
      </c>
      <c r="D60" s="7" t="s">
        <v>25</v>
      </c>
      <c r="E60" s="8">
        <v>0</v>
      </c>
      <c r="F60" s="9">
        <v>0</v>
      </c>
      <c r="G60" s="8">
        <v>1</v>
      </c>
      <c r="H60" s="10">
        <v>354769</v>
      </c>
      <c r="I60" s="310">
        <v>1</v>
      </c>
      <c r="J60" s="405">
        <v>1</v>
      </c>
      <c r="K60" s="409">
        <v>1</v>
      </c>
      <c r="L60" s="426"/>
    </row>
    <row r="61" spans="1:14" ht="18.25" customHeight="1" outlineLevel="2">
      <c r="B61" s="5" t="s">
        <v>303</v>
      </c>
      <c r="C61" s="6" t="s">
        <v>682</v>
      </c>
      <c r="D61" s="7" t="s">
        <v>17</v>
      </c>
      <c r="E61" s="8">
        <v>0</v>
      </c>
      <c r="F61" s="9">
        <v>0</v>
      </c>
      <c r="G61" s="8">
        <v>1</v>
      </c>
      <c r="H61" s="10">
        <v>354769</v>
      </c>
      <c r="I61" s="310">
        <v>1</v>
      </c>
      <c r="J61" s="405">
        <v>1</v>
      </c>
      <c r="K61" s="409">
        <v>1</v>
      </c>
      <c r="L61" s="426"/>
    </row>
    <row r="62" spans="1:14" s="65" customFormat="1" ht="18.25" customHeight="1" outlineLevel="1">
      <c r="A62" s="571"/>
      <c r="B62" s="47" t="s">
        <v>303</v>
      </c>
      <c r="C62" s="61" t="s">
        <v>692</v>
      </c>
      <c r="D62" s="26">
        <v>2</v>
      </c>
      <c r="E62" s="62">
        <v>0</v>
      </c>
      <c r="F62" s="62">
        <v>0</v>
      </c>
      <c r="G62" s="66">
        <v>2</v>
      </c>
      <c r="H62" s="64">
        <v>709538</v>
      </c>
      <c r="I62" s="316">
        <v>2</v>
      </c>
      <c r="J62" s="317">
        <v>2</v>
      </c>
      <c r="K62" s="412">
        <v>2</v>
      </c>
      <c r="L62" s="429">
        <v>1</v>
      </c>
      <c r="M62" s="249" t="s">
        <v>169</v>
      </c>
      <c r="N62" s="249"/>
    </row>
    <row r="63" spans="1:14" ht="18.25" customHeight="1" outlineLevel="2">
      <c r="B63" s="5" t="s">
        <v>303</v>
      </c>
      <c r="C63" s="6" t="s">
        <v>264</v>
      </c>
      <c r="D63" s="23" t="s">
        <v>22</v>
      </c>
      <c r="E63" s="8">
        <v>0</v>
      </c>
      <c r="F63" s="9">
        <v>0</v>
      </c>
      <c r="G63" s="8">
        <v>1</v>
      </c>
      <c r="H63" s="10">
        <v>13349</v>
      </c>
      <c r="I63" s="310">
        <v>1</v>
      </c>
      <c r="J63" s="405">
        <v>0</v>
      </c>
      <c r="K63" s="409">
        <v>0</v>
      </c>
      <c r="L63" s="426"/>
    </row>
    <row r="64" spans="1:14" ht="18.25" customHeight="1" outlineLevel="2">
      <c r="B64" s="5" t="s">
        <v>303</v>
      </c>
      <c r="C64" s="6" t="s">
        <v>342</v>
      </c>
      <c r="D64" s="7" t="s">
        <v>17</v>
      </c>
      <c r="E64" s="8">
        <v>0</v>
      </c>
      <c r="F64" s="9">
        <v>0</v>
      </c>
      <c r="G64" s="8">
        <v>0</v>
      </c>
      <c r="H64" s="10">
        <v>0</v>
      </c>
      <c r="I64" s="310">
        <v>0</v>
      </c>
      <c r="J64" s="405">
        <v>0</v>
      </c>
      <c r="K64" s="409">
        <v>0</v>
      </c>
      <c r="L64" s="426"/>
    </row>
    <row r="65" spans="1:14" s="65" customFormat="1" ht="18.25" customHeight="1" outlineLevel="1">
      <c r="A65" s="571"/>
      <c r="B65" s="47" t="s">
        <v>303</v>
      </c>
      <c r="C65" s="61" t="s">
        <v>264</v>
      </c>
      <c r="D65" s="26">
        <v>2</v>
      </c>
      <c r="E65" s="62">
        <v>0</v>
      </c>
      <c r="F65" s="62">
        <v>0</v>
      </c>
      <c r="G65" s="66">
        <v>1</v>
      </c>
      <c r="H65" s="64">
        <v>13349</v>
      </c>
      <c r="I65" s="316">
        <v>1</v>
      </c>
      <c r="J65" s="406">
        <v>0</v>
      </c>
      <c r="K65" s="413">
        <v>0</v>
      </c>
      <c r="L65" s="430">
        <v>0</v>
      </c>
      <c r="M65" s="249" t="s">
        <v>171</v>
      </c>
      <c r="N65" s="249"/>
    </row>
    <row r="66" spans="1:14" ht="18.25" customHeight="1" outlineLevel="2">
      <c r="B66" s="5" t="s">
        <v>303</v>
      </c>
      <c r="C66" s="6" t="s">
        <v>68</v>
      </c>
      <c r="D66" s="7" t="s">
        <v>25</v>
      </c>
      <c r="E66" s="8">
        <v>0</v>
      </c>
      <c r="F66" s="9">
        <v>0</v>
      </c>
      <c r="G66" s="8">
        <v>0</v>
      </c>
      <c r="H66" s="10">
        <v>0</v>
      </c>
      <c r="I66" s="310">
        <v>0</v>
      </c>
      <c r="J66" s="405">
        <v>0</v>
      </c>
      <c r="K66" s="409">
        <v>0</v>
      </c>
      <c r="L66" s="426"/>
    </row>
    <row r="67" spans="1:14" ht="18.25" customHeight="1" outlineLevel="2">
      <c r="B67" s="5" t="s">
        <v>303</v>
      </c>
      <c r="C67" s="6" t="s">
        <v>805</v>
      </c>
      <c r="D67" s="7" t="s">
        <v>17</v>
      </c>
      <c r="E67" s="8">
        <v>0</v>
      </c>
      <c r="F67" s="9">
        <v>0</v>
      </c>
      <c r="G67" s="8">
        <v>0</v>
      </c>
      <c r="H67" s="10">
        <v>0</v>
      </c>
      <c r="I67" s="310">
        <v>0</v>
      </c>
      <c r="J67" s="405">
        <v>0</v>
      </c>
      <c r="K67" s="409">
        <v>0</v>
      </c>
      <c r="L67" s="426"/>
    </row>
    <row r="68" spans="1:14" s="65" customFormat="1" ht="18.25" customHeight="1" outlineLevel="1">
      <c r="A68" s="571"/>
      <c r="B68" s="47" t="s">
        <v>303</v>
      </c>
      <c r="C68" s="61" t="s">
        <v>68</v>
      </c>
      <c r="D68" s="26">
        <v>2</v>
      </c>
      <c r="E68" s="62">
        <v>0</v>
      </c>
      <c r="F68" s="63">
        <v>0</v>
      </c>
      <c r="G68" s="62">
        <v>0</v>
      </c>
      <c r="H68" s="64">
        <v>0</v>
      </c>
      <c r="I68" s="316">
        <v>0</v>
      </c>
      <c r="J68" s="317">
        <v>0</v>
      </c>
      <c r="K68" s="412">
        <v>0</v>
      </c>
      <c r="L68" s="429">
        <v>0</v>
      </c>
      <c r="M68" s="249" t="s">
        <v>169</v>
      </c>
      <c r="N68" s="249"/>
    </row>
    <row r="69" spans="1:14" ht="18.25" customHeight="1" outlineLevel="2">
      <c r="B69" s="5" t="s">
        <v>303</v>
      </c>
      <c r="C69" s="6" t="s">
        <v>760</v>
      </c>
      <c r="D69" s="7" t="s">
        <v>25</v>
      </c>
      <c r="E69" s="8">
        <v>1</v>
      </c>
      <c r="F69" s="9">
        <v>12000</v>
      </c>
      <c r="G69" s="8">
        <v>1</v>
      </c>
      <c r="H69" s="10">
        <v>12000</v>
      </c>
      <c r="I69" s="310">
        <v>1</v>
      </c>
      <c r="J69" s="405">
        <v>0</v>
      </c>
      <c r="K69" s="409">
        <v>0</v>
      </c>
      <c r="L69" s="426"/>
    </row>
    <row r="70" spans="1:14" s="65" customFormat="1" ht="18.25" customHeight="1" outlineLevel="1">
      <c r="A70" s="571"/>
      <c r="B70" s="47" t="s">
        <v>303</v>
      </c>
      <c r="C70" s="61" t="s">
        <v>760</v>
      </c>
      <c r="D70" s="26">
        <v>1</v>
      </c>
      <c r="E70" s="62">
        <v>1</v>
      </c>
      <c r="F70" s="63">
        <v>12000</v>
      </c>
      <c r="G70" s="62">
        <v>1</v>
      </c>
      <c r="H70" s="64">
        <v>12000</v>
      </c>
      <c r="I70" s="316">
        <v>1</v>
      </c>
      <c r="J70" s="317">
        <v>0</v>
      </c>
      <c r="K70" s="412">
        <v>0</v>
      </c>
      <c r="L70" s="429">
        <v>0</v>
      </c>
      <c r="M70" s="249" t="s">
        <v>169</v>
      </c>
      <c r="N70" s="249"/>
    </row>
    <row r="71" spans="1:14" ht="18.25" customHeight="1" outlineLevel="2">
      <c r="B71" s="41" t="s">
        <v>303</v>
      </c>
      <c r="C71" s="39" t="s">
        <v>256</v>
      </c>
      <c r="D71" s="23" t="s">
        <v>40</v>
      </c>
      <c r="E71" s="42">
        <v>0</v>
      </c>
      <c r="F71" s="43">
        <v>0</v>
      </c>
      <c r="G71" s="42">
        <v>0</v>
      </c>
      <c r="H71" s="44">
        <v>0</v>
      </c>
      <c r="I71" s="313">
        <v>0</v>
      </c>
      <c r="J71" s="405">
        <v>0</v>
      </c>
      <c r="K71" s="409">
        <v>0</v>
      </c>
      <c r="L71" s="426"/>
    </row>
    <row r="72" spans="1:14" ht="18.25" customHeight="1" outlineLevel="2">
      <c r="B72" s="5" t="s">
        <v>303</v>
      </c>
      <c r="C72" s="39" t="s">
        <v>797</v>
      </c>
      <c r="D72" s="7" t="s">
        <v>17</v>
      </c>
      <c r="E72" s="8">
        <v>0</v>
      </c>
      <c r="F72" s="9">
        <v>0</v>
      </c>
      <c r="G72" s="8">
        <v>0</v>
      </c>
      <c r="H72" s="10">
        <v>0</v>
      </c>
      <c r="I72" s="310">
        <v>0</v>
      </c>
      <c r="J72" s="405">
        <v>0</v>
      </c>
      <c r="K72" s="409">
        <v>0</v>
      </c>
      <c r="L72" s="426"/>
    </row>
    <row r="73" spans="1:14" ht="18.25" customHeight="1" outlineLevel="2">
      <c r="B73" s="5" t="s">
        <v>303</v>
      </c>
      <c r="C73" s="39" t="s">
        <v>529</v>
      </c>
      <c r="D73" s="7" t="s">
        <v>17</v>
      </c>
      <c r="E73" s="8">
        <v>0</v>
      </c>
      <c r="F73" s="9">
        <v>0</v>
      </c>
      <c r="G73" s="8">
        <v>0</v>
      </c>
      <c r="H73" s="10">
        <v>0</v>
      </c>
      <c r="I73" s="310">
        <v>0</v>
      </c>
      <c r="J73" s="405">
        <v>0</v>
      </c>
      <c r="K73" s="409">
        <v>0</v>
      </c>
      <c r="L73" s="426"/>
    </row>
    <row r="74" spans="1:14" ht="18.25" customHeight="1" outlineLevel="2">
      <c r="B74" s="5" t="s">
        <v>303</v>
      </c>
      <c r="C74" s="39" t="s">
        <v>326</v>
      </c>
      <c r="D74" s="7" t="s">
        <v>17</v>
      </c>
      <c r="E74" s="8">
        <v>0</v>
      </c>
      <c r="F74" s="9">
        <v>0</v>
      </c>
      <c r="G74" s="8">
        <v>0</v>
      </c>
      <c r="H74" s="10">
        <v>0</v>
      </c>
      <c r="I74" s="310">
        <v>0</v>
      </c>
      <c r="J74" s="405">
        <v>0</v>
      </c>
      <c r="K74" s="409">
        <v>0</v>
      </c>
      <c r="L74" s="426"/>
    </row>
    <row r="75" spans="1:14" ht="18.25" customHeight="1" outlineLevel="2">
      <c r="B75" s="5" t="s">
        <v>303</v>
      </c>
      <c r="C75" s="6" t="s">
        <v>363</v>
      </c>
      <c r="D75" s="7" t="s">
        <v>17</v>
      </c>
      <c r="E75" s="8">
        <v>0</v>
      </c>
      <c r="F75" s="9">
        <v>0</v>
      </c>
      <c r="G75" s="8">
        <v>1</v>
      </c>
      <c r="H75" s="10">
        <v>13228</v>
      </c>
      <c r="I75" s="310">
        <v>1</v>
      </c>
      <c r="J75" s="405">
        <v>1</v>
      </c>
      <c r="K75" s="409">
        <v>0</v>
      </c>
      <c r="L75" s="426"/>
    </row>
    <row r="76" spans="1:14" ht="18.25" customHeight="1" outlineLevel="2">
      <c r="B76" s="5" t="s">
        <v>303</v>
      </c>
      <c r="C76" s="39" t="s">
        <v>302</v>
      </c>
      <c r="D76" s="7" t="s">
        <v>17</v>
      </c>
      <c r="E76" s="8">
        <v>1</v>
      </c>
      <c r="F76" s="9">
        <v>5646</v>
      </c>
      <c r="G76" s="8">
        <v>1</v>
      </c>
      <c r="H76" s="10">
        <v>5646</v>
      </c>
      <c r="I76" s="310">
        <v>1</v>
      </c>
      <c r="J76" s="405">
        <v>0</v>
      </c>
      <c r="K76" s="409">
        <v>0</v>
      </c>
      <c r="L76" s="426"/>
    </row>
    <row r="77" spans="1:14" ht="18.25" customHeight="1" outlineLevel="2">
      <c r="B77" s="5" t="s">
        <v>303</v>
      </c>
      <c r="C77" s="39" t="s">
        <v>65</v>
      </c>
      <c r="D77" s="7" t="s">
        <v>17</v>
      </c>
      <c r="E77" s="8">
        <v>0</v>
      </c>
      <c r="F77" s="9">
        <v>0</v>
      </c>
      <c r="G77" s="8">
        <v>4</v>
      </c>
      <c r="H77" s="10">
        <v>37494</v>
      </c>
      <c r="I77" s="310">
        <v>1</v>
      </c>
      <c r="J77" s="405">
        <v>1</v>
      </c>
      <c r="K77" s="409">
        <v>1</v>
      </c>
      <c r="L77" s="426"/>
    </row>
    <row r="78" spans="1:14" s="65" customFormat="1" ht="18.25" customHeight="1" outlineLevel="1">
      <c r="A78" s="571"/>
      <c r="B78" s="47" t="s">
        <v>303</v>
      </c>
      <c r="C78" s="61" t="s">
        <v>64</v>
      </c>
      <c r="D78" s="26">
        <v>7</v>
      </c>
      <c r="E78" s="62">
        <v>1</v>
      </c>
      <c r="F78" s="63">
        <v>5646</v>
      </c>
      <c r="G78" s="62">
        <v>6</v>
      </c>
      <c r="H78" s="64">
        <v>56368</v>
      </c>
      <c r="I78" s="316">
        <v>3</v>
      </c>
      <c r="J78" s="317">
        <v>2</v>
      </c>
      <c r="K78" s="412">
        <v>1</v>
      </c>
      <c r="L78" s="429">
        <v>0</v>
      </c>
      <c r="M78" s="249" t="s">
        <v>51</v>
      </c>
      <c r="N78" s="249"/>
    </row>
    <row r="79" spans="1:14" ht="18.25" customHeight="1" outlineLevel="2">
      <c r="B79" s="5" t="s">
        <v>303</v>
      </c>
      <c r="C79" s="38" t="s">
        <v>694</v>
      </c>
      <c r="D79" s="23" t="s">
        <v>879</v>
      </c>
      <c r="E79" s="8">
        <v>0</v>
      </c>
      <c r="F79" s="9">
        <v>0</v>
      </c>
      <c r="G79" s="8">
        <v>0</v>
      </c>
      <c r="H79" s="10">
        <v>0</v>
      </c>
      <c r="I79" s="313">
        <v>0</v>
      </c>
      <c r="J79" s="405">
        <v>0</v>
      </c>
      <c r="K79" s="409">
        <v>0</v>
      </c>
      <c r="L79" s="435"/>
    </row>
    <row r="80" spans="1:14" ht="18.25" customHeight="1" outlineLevel="2">
      <c r="B80" s="5" t="s">
        <v>303</v>
      </c>
      <c r="C80" s="39" t="s">
        <v>640</v>
      </c>
      <c r="D80" s="7" t="s">
        <v>17</v>
      </c>
      <c r="E80" s="8">
        <v>0</v>
      </c>
      <c r="F80" s="9">
        <v>0</v>
      </c>
      <c r="G80" s="8">
        <v>1</v>
      </c>
      <c r="H80" s="10">
        <v>12000</v>
      </c>
      <c r="I80" s="310">
        <v>1</v>
      </c>
      <c r="J80" s="405">
        <v>1</v>
      </c>
      <c r="K80" s="409">
        <v>0</v>
      </c>
      <c r="L80" s="426"/>
    </row>
    <row r="81" spans="1:14" s="65" customFormat="1" ht="18.25" customHeight="1" outlineLevel="1">
      <c r="A81" s="571"/>
      <c r="B81" s="47" t="s">
        <v>303</v>
      </c>
      <c r="C81" s="61" t="s">
        <v>694</v>
      </c>
      <c r="D81" s="26">
        <v>2</v>
      </c>
      <c r="E81" s="62">
        <v>0</v>
      </c>
      <c r="F81" s="63">
        <v>0</v>
      </c>
      <c r="G81" s="62">
        <v>1</v>
      </c>
      <c r="H81" s="64">
        <v>12000</v>
      </c>
      <c r="I81" s="316">
        <v>1</v>
      </c>
      <c r="J81" s="317">
        <v>1</v>
      </c>
      <c r="K81" s="412">
        <v>0</v>
      </c>
      <c r="L81" s="429">
        <v>0</v>
      </c>
      <c r="M81" s="249" t="s">
        <v>171</v>
      </c>
      <c r="N81" s="249"/>
    </row>
    <row r="82" spans="1:14" ht="18.25" customHeight="1" outlineLevel="2">
      <c r="B82" s="5" t="s">
        <v>303</v>
      </c>
      <c r="C82" s="38" t="s">
        <v>280</v>
      </c>
      <c r="D82" s="7" t="s">
        <v>22</v>
      </c>
      <c r="E82" s="8">
        <v>0</v>
      </c>
      <c r="F82" s="9">
        <v>0</v>
      </c>
      <c r="G82" s="8">
        <v>0</v>
      </c>
      <c r="H82" s="10">
        <v>0</v>
      </c>
      <c r="I82" s="310">
        <v>0</v>
      </c>
      <c r="J82" s="405">
        <v>0</v>
      </c>
      <c r="K82" s="409">
        <v>0</v>
      </c>
      <c r="L82" s="426"/>
    </row>
    <row r="83" spans="1:14" ht="18.25" customHeight="1" outlineLevel="2">
      <c r="B83" s="5" t="s">
        <v>303</v>
      </c>
      <c r="C83" s="38" t="s">
        <v>717</v>
      </c>
      <c r="D83" s="7" t="s">
        <v>17</v>
      </c>
      <c r="E83" s="8">
        <v>0</v>
      </c>
      <c r="F83" s="9">
        <v>0</v>
      </c>
      <c r="G83" s="8">
        <v>0</v>
      </c>
      <c r="H83" s="10">
        <v>0</v>
      </c>
      <c r="I83" s="310">
        <v>0</v>
      </c>
      <c r="J83" s="405">
        <v>0</v>
      </c>
      <c r="K83" s="409">
        <v>0</v>
      </c>
      <c r="L83" s="426"/>
    </row>
    <row r="84" spans="1:14" s="65" customFormat="1" ht="18.25" customHeight="1" outlineLevel="1">
      <c r="A84" s="571"/>
      <c r="B84" s="47" t="s">
        <v>303</v>
      </c>
      <c r="C84" s="61" t="s">
        <v>354</v>
      </c>
      <c r="D84" s="26">
        <v>2</v>
      </c>
      <c r="E84" s="62">
        <v>0</v>
      </c>
      <c r="F84" s="63">
        <v>0</v>
      </c>
      <c r="G84" s="62">
        <v>0</v>
      </c>
      <c r="H84" s="64">
        <v>0</v>
      </c>
      <c r="I84" s="316">
        <v>0</v>
      </c>
      <c r="J84" s="317">
        <v>0</v>
      </c>
      <c r="K84" s="412">
        <v>0</v>
      </c>
      <c r="L84" s="429">
        <v>0</v>
      </c>
      <c r="M84" s="249" t="s">
        <v>171</v>
      </c>
      <c r="N84" s="249"/>
    </row>
    <row r="85" spans="1:14" ht="18.25" customHeight="1" outlineLevel="2">
      <c r="B85" s="5" t="s">
        <v>303</v>
      </c>
      <c r="C85" s="11" t="s">
        <v>247</v>
      </c>
      <c r="D85" s="7" t="s">
        <v>40</v>
      </c>
      <c r="E85" s="8">
        <v>0</v>
      </c>
      <c r="F85" s="9">
        <v>0</v>
      </c>
      <c r="G85" s="8">
        <v>1</v>
      </c>
      <c r="H85" s="10">
        <v>12461</v>
      </c>
      <c r="I85" s="310">
        <v>1</v>
      </c>
      <c r="J85" s="405">
        <v>0</v>
      </c>
      <c r="K85" s="409">
        <v>0</v>
      </c>
      <c r="L85" s="426"/>
    </row>
    <row r="86" spans="1:14" ht="18.25" customHeight="1" outlineLevel="2">
      <c r="B86" s="5" t="s">
        <v>303</v>
      </c>
      <c r="C86" s="74" t="s">
        <v>724</v>
      </c>
      <c r="D86" s="45"/>
      <c r="E86" s="8">
        <v>0</v>
      </c>
      <c r="F86" s="9">
        <v>0</v>
      </c>
      <c r="G86" s="8">
        <v>0</v>
      </c>
      <c r="H86" s="10">
        <v>0</v>
      </c>
      <c r="I86" s="318"/>
      <c r="J86" s="407"/>
      <c r="K86" s="414"/>
      <c r="L86" s="435"/>
    </row>
    <row r="87" spans="1:14" s="65" customFormat="1" ht="18.25" customHeight="1" outlineLevel="1">
      <c r="A87" s="571"/>
      <c r="B87" s="47" t="s">
        <v>303</v>
      </c>
      <c r="C87" s="61" t="s">
        <v>252</v>
      </c>
      <c r="D87" s="26">
        <v>1</v>
      </c>
      <c r="E87" s="62">
        <v>0</v>
      </c>
      <c r="F87" s="63">
        <v>0</v>
      </c>
      <c r="G87" s="62">
        <v>1</v>
      </c>
      <c r="H87" s="64">
        <v>12461</v>
      </c>
      <c r="I87" s="316">
        <v>1</v>
      </c>
      <c r="J87" s="317">
        <v>0</v>
      </c>
      <c r="K87" s="412">
        <v>0</v>
      </c>
      <c r="L87" s="429">
        <v>0</v>
      </c>
      <c r="M87" s="249" t="s">
        <v>51</v>
      </c>
      <c r="N87" s="249"/>
    </row>
    <row r="88" spans="1:14" ht="18.25" customHeight="1" outlineLevel="2">
      <c r="B88" s="5" t="s">
        <v>303</v>
      </c>
      <c r="C88" s="11" t="s">
        <v>494</v>
      </c>
      <c r="D88" s="7" t="s">
        <v>22</v>
      </c>
      <c r="E88" s="8">
        <v>0</v>
      </c>
      <c r="F88" s="9">
        <v>0</v>
      </c>
      <c r="G88" s="8">
        <v>1</v>
      </c>
      <c r="H88" s="10">
        <v>15198</v>
      </c>
      <c r="I88" s="310">
        <v>1</v>
      </c>
      <c r="J88" s="405">
        <v>0</v>
      </c>
      <c r="K88" s="409">
        <v>0</v>
      </c>
      <c r="L88" s="426"/>
    </row>
    <row r="89" spans="1:14" ht="18.25" customHeight="1" outlineLevel="2">
      <c r="B89" s="5" t="s">
        <v>303</v>
      </c>
      <c r="C89" s="6" t="s">
        <v>908</v>
      </c>
      <c r="D89" s="7" t="s">
        <v>17</v>
      </c>
      <c r="E89" s="8">
        <v>0</v>
      </c>
      <c r="F89" s="9">
        <v>0</v>
      </c>
      <c r="G89" s="8">
        <v>1</v>
      </c>
      <c r="H89" s="10">
        <v>14366</v>
      </c>
      <c r="I89" s="310">
        <v>1</v>
      </c>
      <c r="J89" s="405">
        <v>1</v>
      </c>
      <c r="K89" s="409">
        <v>0</v>
      </c>
      <c r="L89" s="426"/>
    </row>
    <row r="90" spans="1:14" ht="18.25" customHeight="1" outlineLevel="2">
      <c r="B90" s="5" t="s">
        <v>303</v>
      </c>
      <c r="C90" s="6" t="s">
        <v>678</v>
      </c>
      <c r="D90" s="7" t="s">
        <v>17</v>
      </c>
      <c r="E90" s="8">
        <v>0</v>
      </c>
      <c r="F90" s="9">
        <v>0</v>
      </c>
      <c r="G90" s="8">
        <v>0</v>
      </c>
      <c r="H90" s="10">
        <v>0</v>
      </c>
      <c r="I90" s="310">
        <v>0</v>
      </c>
      <c r="J90" s="405">
        <v>0</v>
      </c>
      <c r="K90" s="409">
        <v>0</v>
      </c>
      <c r="L90" s="426"/>
    </row>
    <row r="91" spans="1:14" s="65" customFormat="1" ht="18.25" customHeight="1" outlineLevel="1">
      <c r="A91" s="571"/>
      <c r="B91" s="47" t="s">
        <v>303</v>
      </c>
      <c r="C91" s="61" t="s">
        <v>494</v>
      </c>
      <c r="D91" s="26">
        <v>3</v>
      </c>
      <c r="E91" s="62">
        <v>0</v>
      </c>
      <c r="F91" s="63">
        <v>0</v>
      </c>
      <c r="G91" s="62">
        <v>2</v>
      </c>
      <c r="H91" s="64">
        <v>29564</v>
      </c>
      <c r="I91" s="316">
        <v>2</v>
      </c>
      <c r="J91" s="317">
        <v>1</v>
      </c>
      <c r="K91" s="412">
        <v>0</v>
      </c>
      <c r="L91" s="429">
        <v>0</v>
      </c>
      <c r="M91" s="249" t="s">
        <v>171</v>
      </c>
      <c r="N91" s="249"/>
    </row>
    <row r="92" spans="1:14" ht="18.25" customHeight="1" outlineLevel="2">
      <c r="B92" s="5" t="s">
        <v>303</v>
      </c>
      <c r="C92" s="502" t="s">
        <v>903</v>
      </c>
      <c r="D92" s="23" t="s">
        <v>25</v>
      </c>
      <c r="E92" s="8">
        <v>0</v>
      </c>
      <c r="F92" s="9">
        <v>0</v>
      </c>
      <c r="G92" s="8">
        <v>0</v>
      </c>
      <c r="H92" s="10">
        <v>0</v>
      </c>
      <c r="I92" s="310">
        <v>0</v>
      </c>
      <c r="J92" s="405">
        <v>0</v>
      </c>
      <c r="K92" s="409">
        <v>0</v>
      </c>
      <c r="L92" s="435"/>
    </row>
    <row r="93" spans="1:14" s="65" customFormat="1" ht="18.25" customHeight="1" outlineLevel="1">
      <c r="A93" s="571"/>
      <c r="B93" s="47" t="s">
        <v>303</v>
      </c>
      <c r="C93" s="61" t="s">
        <v>283</v>
      </c>
      <c r="D93" s="26">
        <v>1</v>
      </c>
      <c r="E93" s="62">
        <v>0</v>
      </c>
      <c r="F93" s="63">
        <v>0</v>
      </c>
      <c r="G93" s="62">
        <v>0</v>
      </c>
      <c r="H93" s="64">
        <v>0</v>
      </c>
      <c r="I93" s="316">
        <v>0</v>
      </c>
      <c r="J93" s="317">
        <v>0</v>
      </c>
      <c r="K93" s="412">
        <v>0</v>
      </c>
      <c r="L93" s="429">
        <v>0</v>
      </c>
      <c r="M93" s="249" t="s">
        <v>169</v>
      </c>
      <c r="N93" s="249"/>
    </row>
    <row r="94" spans="1:14" s="149" customFormat="1" ht="18.25" customHeight="1">
      <c r="A94" s="569" t="s">
        <v>834</v>
      </c>
      <c r="B94" s="945" t="s">
        <v>305</v>
      </c>
      <c r="C94" s="946"/>
      <c r="D94" s="145">
        <v>40</v>
      </c>
      <c r="E94" s="146">
        <v>2</v>
      </c>
      <c r="F94" s="147">
        <v>17646</v>
      </c>
      <c r="G94" s="146">
        <v>16</v>
      </c>
      <c r="H94" s="148">
        <v>921055</v>
      </c>
      <c r="I94" s="314">
        <v>13</v>
      </c>
      <c r="J94" s="315">
        <v>8</v>
      </c>
      <c r="K94" s="411">
        <v>4</v>
      </c>
      <c r="L94" s="428">
        <v>1</v>
      </c>
      <c r="M94" s="248"/>
      <c r="N94" s="248"/>
    </row>
    <row r="95" spans="1:14" ht="18.25" customHeight="1" outlineLevel="3">
      <c r="A95" s="778"/>
      <c r="B95" s="5" t="s">
        <v>7</v>
      </c>
      <c r="C95" s="539" t="s">
        <v>74</v>
      </c>
      <c r="D95" s="7" t="s">
        <v>239</v>
      </c>
      <c r="E95" s="8">
        <v>0</v>
      </c>
      <c r="F95" s="9">
        <v>0</v>
      </c>
      <c r="G95" s="8">
        <v>0</v>
      </c>
      <c r="H95" s="10">
        <v>0</v>
      </c>
      <c r="I95" s="310">
        <v>0</v>
      </c>
      <c r="J95" s="405">
        <v>0</v>
      </c>
      <c r="K95" s="409">
        <v>0</v>
      </c>
      <c r="L95" s="780" t="s">
        <v>873</v>
      </c>
    </row>
    <row r="96" spans="1:14" s="65" customFormat="1" ht="18.25" customHeight="1" outlineLevel="2">
      <c r="A96" s="779"/>
      <c r="B96" s="47" t="s">
        <v>7</v>
      </c>
      <c r="C96" s="61" t="s">
        <v>75</v>
      </c>
      <c r="D96" s="26">
        <v>1</v>
      </c>
      <c r="E96" s="62">
        <v>0</v>
      </c>
      <c r="F96" s="63">
        <v>0</v>
      </c>
      <c r="G96" s="62">
        <v>0</v>
      </c>
      <c r="H96" s="64">
        <v>0</v>
      </c>
      <c r="I96" s="316">
        <v>0</v>
      </c>
      <c r="J96" s="317">
        <v>0</v>
      </c>
      <c r="K96" s="412">
        <v>0</v>
      </c>
      <c r="L96" s="780" t="s">
        <v>873</v>
      </c>
      <c r="M96" s="249" t="s">
        <v>242</v>
      </c>
      <c r="N96" s="249"/>
    </row>
    <row r="97" spans="1:17" s="1" customFormat="1" ht="18.25" customHeight="1" outlineLevel="3">
      <c r="A97" s="778"/>
      <c r="B97" s="5" t="s">
        <v>185</v>
      </c>
      <c r="C97" s="539" t="s">
        <v>77</v>
      </c>
      <c r="D97" s="7" t="s">
        <v>47</v>
      </c>
      <c r="E97" s="8">
        <v>0</v>
      </c>
      <c r="F97" s="9">
        <v>0</v>
      </c>
      <c r="G97" s="8">
        <v>0</v>
      </c>
      <c r="H97" s="10">
        <v>0</v>
      </c>
      <c r="I97" s="310">
        <v>0</v>
      </c>
      <c r="J97" s="405">
        <v>0</v>
      </c>
      <c r="K97" s="409">
        <v>0</v>
      </c>
      <c r="L97" s="780" t="s">
        <v>873</v>
      </c>
      <c r="O97"/>
      <c r="P97"/>
      <c r="Q97"/>
    </row>
    <row r="98" spans="1:17" s="1" customFormat="1" ht="18.25" customHeight="1" outlineLevel="3">
      <c r="A98" s="778"/>
      <c r="B98" s="5" t="s">
        <v>185</v>
      </c>
      <c r="C98" s="541" t="s">
        <v>78</v>
      </c>
      <c r="D98" s="19" t="s">
        <v>39</v>
      </c>
      <c r="E98" s="8">
        <v>0</v>
      </c>
      <c r="F98" s="9">
        <v>0</v>
      </c>
      <c r="G98" s="8">
        <v>0</v>
      </c>
      <c r="H98" s="10">
        <v>0</v>
      </c>
      <c r="I98" s="310">
        <v>0</v>
      </c>
      <c r="J98" s="405">
        <v>0</v>
      </c>
      <c r="K98" s="409">
        <v>0</v>
      </c>
      <c r="L98" s="780" t="s">
        <v>873</v>
      </c>
      <c r="O98"/>
      <c r="P98"/>
      <c r="Q98"/>
    </row>
    <row r="99" spans="1:17" s="1" customFormat="1" ht="18.25" customHeight="1" outlineLevel="3">
      <c r="A99" s="778"/>
      <c r="B99" s="5" t="s">
        <v>185</v>
      </c>
      <c r="C99" s="541" t="s">
        <v>540</v>
      </c>
      <c r="D99" s="19" t="s">
        <v>39</v>
      </c>
      <c r="E99" s="8">
        <v>1</v>
      </c>
      <c r="F99" s="9">
        <v>18481</v>
      </c>
      <c r="G99" s="8">
        <v>3</v>
      </c>
      <c r="H99" s="10">
        <v>49361</v>
      </c>
      <c r="I99" s="310">
        <v>1</v>
      </c>
      <c r="J99" s="405">
        <v>1</v>
      </c>
      <c r="K99" s="409">
        <v>1</v>
      </c>
      <c r="L99" s="780" t="s">
        <v>873</v>
      </c>
      <c r="O99"/>
      <c r="P99"/>
      <c r="Q99"/>
    </row>
    <row r="100" spans="1:17" s="1" customFormat="1" ht="18.25" customHeight="1" outlineLevel="2">
      <c r="A100" s="778"/>
      <c r="B100" s="12" t="s">
        <v>185</v>
      </c>
      <c r="C100" s="13" t="s">
        <v>79</v>
      </c>
      <c r="D100" s="14">
        <v>3</v>
      </c>
      <c r="E100" s="15">
        <v>1</v>
      </c>
      <c r="F100" s="16">
        <v>18481</v>
      </c>
      <c r="G100" s="15">
        <v>3</v>
      </c>
      <c r="H100" s="17">
        <v>49361</v>
      </c>
      <c r="I100" s="311">
        <v>1</v>
      </c>
      <c r="J100" s="312">
        <v>1</v>
      </c>
      <c r="K100" s="410">
        <v>1</v>
      </c>
      <c r="L100" s="780" t="s">
        <v>873</v>
      </c>
      <c r="M100" s="1" t="s">
        <v>51</v>
      </c>
      <c r="O100"/>
      <c r="P100"/>
      <c r="Q100"/>
    </row>
    <row r="101" spans="1:17" s="1" customFormat="1" ht="18.25" customHeight="1" outlineLevel="3">
      <c r="A101" s="778"/>
      <c r="B101" s="5" t="s">
        <v>185</v>
      </c>
      <c r="C101" s="539" t="s">
        <v>496</v>
      </c>
      <c r="D101" s="19" t="s">
        <v>497</v>
      </c>
      <c r="E101" s="8">
        <v>1</v>
      </c>
      <c r="F101" s="9">
        <v>46437</v>
      </c>
      <c r="G101" s="8">
        <v>1</v>
      </c>
      <c r="H101" s="10">
        <v>46437</v>
      </c>
      <c r="I101" s="310">
        <v>1</v>
      </c>
      <c r="J101" s="405">
        <v>1</v>
      </c>
      <c r="K101" s="409">
        <v>1</v>
      </c>
      <c r="L101" s="780" t="s">
        <v>873</v>
      </c>
      <c r="O101"/>
      <c r="P101"/>
      <c r="Q101"/>
    </row>
    <row r="102" spans="1:17" s="1" customFormat="1" ht="18.25" customHeight="1" outlineLevel="2">
      <c r="A102" s="778"/>
      <c r="B102" s="12" t="s">
        <v>185</v>
      </c>
      <c r="C102" s="13" t="s">
        <v>496</v>
      </c>
      <c r="D102" s="14">
        <v>1</v>
      </c>
      <c r="E102" s="15">
        <v>1</v>
      </c>
      <c r="F102" s="15">
        <v>46437</v>
      </c>
      <c r="G102" s="15">
        <v>1</v>
      </c>
      <c r="H102" s="21">
        <v>46437</v>
      </c>
      <c r="I102" s="311">
        <v>1</v>
      </c>
      <c r="J102" s="312">
        <v>1</v>
      </c>
      <c r="K102" s="410">
        <v>1</v>
      </c>
      <c r="L102" s="780" t="s">
        <v>873</v>
      </c>
      <c r="M102" s="1" t="s">
        <v>355</v>
      </c>
      <c r="O102"/>
      <c r="P102"/>
      <c r="Q102"/>
    </row>
    <row r="103" spans="1:17" s="1" customFormat="1" ht="18.25" customHeight="1" outlineLevel="3">
      <c r="A103" s="778"/>
      <c r="B103" s="5" t="s">
        <v>185</v>
      </c>
      <c r="C103" s="539" t="s">
        <v>80</v>
      </c>
      <c r="D103" s="19" t="s">
        <v>237</v>
      </c>
      <c r="E103" s="8">
        <v>0</v>
      </c>
      <c r="F103" s="9">
        <v>0</v>
      </c>
      <c r="G103" s="8">
        <v>0</v>
      </c>
      <c r="H103" s="10">
        <v>22016</v>
      </c>
      <c r="I103" s="310">
        <v>0</v>
      </c>
      <c r="J103" s="405">
        <v>1</v>
      </c>
      <c r="K103" s="409">
        <v>0</v>
      </c>
      <c r="L103" s="780" t="s">
        <v>873</v>
      </c>
      <c r="O103"/>
      <c r="P103"/>
      <c r="Q103"/>
    </row>
    <row r="104" spans="1:17" s="1" customFormat="1" ht="18.25" customHeight="1" outlineLevel="2">
      <c r="A104" s="778"/>
      <c r="B104" s="12" t="s">
        <v>185</v>
      </c>
      <c r="C104" s="13" t="s">
        <v>80</v>
      </c>
      <c r="D104" s="14">
        <v>1</v>
      </c>
      <c r="E104" s="15">
        <v>0</v>
      </c>
      <c r="F104" s="15">
        <v>0</v>
      </c>
      <c r="G104" s="15">
        <v>0</v>
      </c>
      <c r="H104" s="21">
        <v>22016</v>
      </c>
      <c r="I104" s="311">
        <v>0</v>
      </c>
      <c r="J104" s="312">
        <v>1</v>
      </c>
      <c r="K104" s="410">
        <v>0</v>
      </c>
      <c r="L104" s="780" t="s">
        <v>873</v>
      </c>
      <c r="M104" s="1" t="s">
        <v>667</v>
      </c>
      <c r="O104"/>
      <c r="P104"/>
      <c r="Q104"/>
    </row>
    <row r="105" spans="1:17" s="1" customFormat="1" ht="18.25" customHeight="1" outlineLevel="3">
      <c r="A105" s="778"/>
      <c r="B105" s="5" t="s">
        <v>185</v>
      </c>
      <c r="C105" s="539" t="s">
        <v>91</v>
      </c>
      <c r="D105" s="7" t="s">
        <v>22</v>
      </c>
      <c r="E105" s="8">
        <v>0</v>
      </c>
      <c r="F105" s="9">
        <v>0</v>
      </c>
      <c r="G105" s="8">
        <v>0</v>
      </c>
      <c r="H105" s="10">
        <v>0</v>
      </c>
      <c r="I105" s="310">
        <v>0</v>
      </c>
      <c r="J105" s="405">
        <v>0</v>
      </c>
      <c r="K105" s="409">
        <v>0</v>
      </c>
      <c r="L105" s="780" t="s">
        <v>873</v>
      </c>
      <c r="O105"/>
      <c r="P105"/>
      <c r="Q105"/>
    </row>
    <row r="106" spans="1:17" s="1" customFormat="1" ht="18.25" customHeight="1" outlineLevel="3">
      <c r="A106" s="778"/>
      <c r="B106" s="5" t="s">
        <v>185</v>
      </c>
      <c r="C106" s="539" t="s">
        <v>209</v>
      </c>
      <c r="D106" s="23" t="s">
        <v>17</v>
      </c>
      <c r="E106" s="8">
        <v>0</v>
      </c>
      <c r="F106" s="9">
        <v>0</v>
      </c>
      <c r="G106" s="8">
        <v>3</v>
      </c>
      <c r="H106" s="10">
        <v>67880</v>
      </c>
      <c r="I106" s="310">
        <v>1</v>
      </c>
      <c r="J106" s="405">
        <v>1</v>
      </c>
      <c r="K106" s="409">
        <v>1</v>
      </c>
      <c r="L106" s="780" t="s">
        <v>873</v>
      </c>
      <c r="O106"/>
      <c r="P106"/>
      <c r="Q106"/>
    </row>
    <row r="107" spans="1:17" s="1" customFormat="1" ht="18.25" customHeight="1" outlineLevel="2">
      <c r="A107" s="778"/>
      <c r="B107" s="47" t="s">
        <v>185</v>
      </c>
      <c r="C107" s="13" t="s">
        <v>91</v>
      </c>
      <c r="D107" s="14">
        <v>2</v>
      </c>
      <c r="E107" s="15">
        <v>0</v>
      </c>
      <c r="F107" s="16">
        <v>0</v>
      </c>
      <c r="G107" s="15">
        <v>3</v>
      </c>
      <c r="H107" s="17">
        <v>67880</v>
      </c>
      <c r="I107" s="311">
        <v>1</v>
      </c>
      <c r="J107" s="312">
        <v>1</v>
      </c>
      <c r="K107" s="410">
        <v>1</v>
      </c>
      <c r="L107" s="780" t="s">
        <v>873</v>
      </c>
      <c r="M107" s="1" t="s">
        <v>171</v>
      </c>
      <c r="O107"/>
      <c r="P107"/>
      <c r="Q107"/>
    </row>
    <row r="108" spans="1:17" s="1" customFormat="1" ht="18.25" customHeight="1" outlineLevel="3">
      <c r="A108" s="778"/>
      <c r="B108" s="5" t="s">
        <v>185</v>
      </c>
      <c r="C108" s="539" t="s">
        <v>92</v>
      </c>
      <c r="D108" s="7" t="s">
        <v>22</v>
      </c>
      <c r="E108" s="8">
        <v>0</v>
      </c>
      <c r="F108" s="9">
        <v>0</v>
      </c>
      <c r="G108" s="8">
        <v>1</v>
      </c>
      <c r="H108" s="10">
        <v>4698</v>
      </c>
      <c r="I108" s="310">
        <v>1</v>
      </c>
      <c r="J108" s="405">
        <v>0</v>
      </c>
      <c r="K108" s="409">
        <v>0</v>
      </c>
      <c r="L108" s="780" t="s">
        <v>873</v>
      </c>
      <c r="O108"/>
      <c r="P108"/>
      <c r="Q108"/>
    </row>
    <row r="109" spans="1:17" s="1" customFormat="1" ht="18.25" customHeight="1" outlineLevel="3">
      <c r="A109" s="778"/>
      <c r="B109" s="5" t="s">
        <v>185</v>
      </c>
      <c r="C109" s="539" t="s">
        <v>755</v>
      </c>
      <c r="D109" s="7" t="s">
        <v>17</v>
      </c>
      <c r="E109" s="8">
        <v>0</v>
      </c>
      <c r="F109" s="9">
        <v>0</v>
      </c>
      <c r="G109" s="8">
        <v>0</v>
      </c>
      <c r="H109" s="10">
        <v>0</v>
      </c>
      <c r="I109" s="310">
        <v>0</v>
      </c>
      <c r="J109" s="405">
        <v>0</v>
      </c>
      <c r="K109" s="409">
        <v>0</v>
      </c>
      <c r="L109" s="780" t="s">
        <v>873</v>
      </c>
      <c r="O109"/>
      <c r="P109"/>
      <c r="Q109"/>
    </row>
    <row r="110" spans="1:17" s="1" customFormat="1" ht="18.25" customHeight="1" outlineLevel="3">
      <c r="A110" s="778"/>
      <c r="B110" s="5" t="s">
        <v>185</v>
      </c>
      <c r="C110" s="539" t="s">
        <v>274</v>
      </c>
      <c r="D110" s="7" t="s">
        <v>17</v>
      </c>
      <c r="E110" s="8">
        <v>0</v>
      </c>
      <c r="F110" s="9">
        <v>0</v>
      </c>
      <c r="G110" s="8">
        <v>0</v>
      </c>
      <c r="H110" s="10">
        <v>0</v>
      </c>
      <c r="I110" s="310">
        <v>0</v>
      </c>
      <c r="J110" s="405">
        <v>0</v>
      </c>
      <c r="K110" s="409">
        <v>0</v>
      </c>
      <c r="L110" s="780" t="s">
        <v>873</v>
      </c>
      <c r="O110"/>
      <c r="P110"/>
      <c r="Q110"/>
    </row>
    <row r="111" spans="1:17" s="1" customFormat="1" ht="18.25" customHeight="1" outlineLevel="2">
      <c r="A111" s="778"/>
      <c r="B111" s="47" t="s">
        <v>185</v>
      </c>
      <c r="C111" s="13" t="s">
        <v>92</v>
      </c>
      <c r="D111" s="14">
        <v>3</v>
      </c>
      <c r="E111" s="15">
        <v>0</v>
      </c>
      <c r="F111" s="16">
        <v>0</v>
      </c>
      <c r="G111" s="15">
        <v>1</v>
      </c>
      <c r="H111" s="17">
        <v>4698</v>
      </c>
      <c r="I111" s="311">
        <v>1</v>
      </c>
      <c r="J111" s="312">
        <v>0</v>
      </c>
      <c r="K111" s="410">
        <v>0</v>
      </c>
      <c r="L111" s="780" t="s">
        <v>873</v>
      </c>
      <c r="M111" s="1" t="s">
        <v>171</v>
      </c>
      <c r="O111"/>
      <c r="P111"/>
      <c r="Q111"/>
    </row>
    <row r="112" spans="1:17" s="1" customFormat="1" ht="18.25" customHeight="1" outlineLevel="3">
      <c r="A112" s="778"/>
      <c r="B112" s="5" t="s">
        <v>185</v>
      </c>
      <c r="C112" s="539" t="s">
        <v>323</v>
      </c>
      <c r="D112" s="7" t="s">
        <v>40</v>
      </c>
      <c r="E112" s="8">
        <v>0</v>
      </c>
      <c r="F112" s="9">
        <v>0</v>
      </c>
      <c r="G112" s="8">
        <v>0</v>
      </c>
      <c r="H112" s="10">
        <v>0</v>
      </c>
      <c r="I112" s="310">
        <v>0</v>
      </c>
      <c r="J112" s="405">
        <v>0</v>
      </c>
      <c r="K112" s="409">
        <v>0</v>
      </c>
      <c r="L112" s="780" t="s">
        <v>873</v>
      </c>
      <c r="O112"/>
      <c r="P112"/>
      <c r="Q112"/>
    </row>
    <row r="113" spans="1:17" s="1" customFormat="1" ht="18.25" customHeight="1" outlineLevel="3">
      <c r="A113" s="778"/>
      <c r="B113" s="5" t="s">
        <v>185</v>
      </c>
      <c r="C113" s="539" t="s">
        <v>266</v>
      </c>
      <c r="D113" s="23" t="s">
        <v>17</v>
      </c>
      <c r="E113" s="8">
        <v>0</v>
      </c>
      <c r="F113" s="9">
        <v>0</v>
      </c>
      <c r="G113" s="8">
        <v>1</v>
      </c>
      <c r="H113" s="10">
        <v>9900</v>
      </c>
      <c r="I113" s="310">
        <v>1</v>
      </c>
      <c r="J113" s="405">
        <v>0</v>
      </c>
      <c r="K113" s="409">
        <v>0</v>
      </c>
      <c r="L113" s="780" t="s">
        <v>873</v>
      </c>
      <c r="O113"/>
      <c r="P113"/>
      <c r="Q113"/>
    </row>
    <row r="114" spans="1:17" s="1" customFormat="1" ht="18.25" customHeight="1" outlineLevel="2">
      <c r="A114" s="778"/>
      <c r="B114" s="47" t="s">
        <v>185</v>
      </c>
      <c r="C114" s="13" t="s">
        <v>323</v>
      </c>
      <c r="D114" s="14">
        <v>2</v>
      </c>
      <c r="E114" s="15">
        <v>0</v>
      </c>
      <c r="F114" s="16">
        <v>0</v>
      </c>
      <c r="G114" s="15">
        <v>1</v>
      </c>
      <c r="H114" s="17">
        <v>9900</v>
      </c>
      <c r="I114" s="311">
        <v>1</v>
      </c>
      <c r="J114" s="312">
        <v>0</v>
      </c>
      <c r="K114" s="410">
        <v>0</v>
      </c>
      <c r="L114" s="780" t="s">
        <v>873</v>
      </c>
      <c r="M114" s="1" t="s">
        <v>51</v>
      </c>
      <c r="O114"/>
      <c r="P114"/>
      <c r="Q114"/>
    </row>
    <row r="115" spans="1:17" ht="18.25" customHeight="1" outlineLevel="3">
      <c r="A115" s="778"/>
      <c r="B115" s="5" t="s">
        <v>185</v>
      </c>
      <c r="C115" s="539" t="s">
        <v>19</v>
      </c>
      <c r="D115" s="7" t="s">
        <v>20</v>
      </c>
      <c r="E115" s="8">
        <v>0</v>
      </c>
      <c r="F115" s="9">
        <v>0</v>
      </c>
      <c r="G115" s="8">
        <v>0</v>
      </c>
      <c r="H115" s="10">
        <v>19200</v>
      </c>
      <c r="I115" s="310">
        <v>0</v>
      </c>
      <c r="J115" s="405">
        <v>0</v>
      </c>
      <c r="K115" s="409">
        <v>0</v>
      </c>
      <c r="L115" s="780" t="s">
        <v>873</v>
      </c>
    </row>
    <row r="116" spans="1:17" ht="18.25" customHeight="1" outlineLevel="3">
      <c r="A116" s="778"/>
      <c r="B116" s="5" t="s">
        <v>185</v>
      </c>
      <c r="C116" s="539" t="s">
        <v>754</v>
      </c>
      <c r="D116" s="7" t="s">
        <v>17</v>
      </c>
      <c r="E116" s="8">
        <v>0</v>
      </c>
      <c r="F116" s="9">
        <v>0</v>
      </c>
      <c r="G116" s="8">
        <v>0</v>
      </c>
      <c r="H116" s="10">
        <v>0</v>
      </c>
      <c r="I116" s="310">
        <v>0</v>
      </c>
      <c r="J116" s="405">
        <v>0</v>
      </c>
      <c r="K116" s="409">
        <v>0</v>
      </c>
      <c r="L116" s="780" t="s">
        <v>873</v>
      </c>
    </row>
    <row r="117" spans="1:17" ht="18.25" customHeight="1" outlineLevel="3">
      <c r="A117" s="778"/>
      <c r="B117" s="5" t="s">
        <v>185</v>
      </c>
      <c r="C117" s="539" t="s">
        <v>21</v>
      </c>
      <c r="D117" s="7" t="s">
        <v>17</v>
      </c>
      <c r="E117" s="8">
        <v>0</v>
      </c>
      <c r="F117" s="9">
        <v>0</v>
      </c>
      <c r="G117" s="8">
        <v>0</v>
      </c>
      <c r="H117" s="10">
        <v>0</v>
      </c>
      <c r="I117" s="310">
        <v>0</v>
      </c>
      <c r="J117" s="405">
        <v>0</v>
      </c>
      <c r="K117" s="409">
        <v>0</v>
      </c>
      <c r="L117" s="780" t="s">
        <v>873</v>
      </c>
    </row>
    <row r="118" spans="1:17" s="65" customFormat="1" ht="18.25" customHeight="1" outlineLevel="2">
      <c r="A118" s="779"/>
      <c r="B118" s="47" t="s">
        <v>7</v>
      </c>
      <c r="C118" s="61" t="s">
        <v>19</v>
      </c>
      <c r="D118" s="26">
        <v>3</v>
      </c>
      <c r="E118" s="62">
        <v>0</v>
      </c>
      <c r="F118" s="63">
        <v>0</v>
      </c>
      <c r="G118" s="62">
        <v>0</v>
      </c>
      <c r="H118" s="64">
        <v>19200</v>
      </c>
      <c r="I118" s="316">
        <v>0</v>
      </c>
      <c r="J118" s="317">
        <v>0</v>
      </c>
      <c r="K118" s="412">
        <v>0</v>
      </c>
      <c r="L118" s="780" t="s">
        <v>873</v>
      </c>
      <c r="M118" s="249" t="s">
        <v>169</v>
      </c>
      <c r="N118" s="249"/>
    </row>
    <row r="119" spans="1:17" ht="18.25" customHeight="1" outlineLevel="3">
      <c r="A119" s="778"/>
      <c r="B119" s="5" t="s">
        <v>185</v>
      </c>
      <c r="C119" s="539" t="s">
        <v>254</v>
      </c>
      <c r="D119" s="23" t="s">
        <v>40</v>
      </c>
      <c r="E119" s="8">
        <v>0</v>
      </c>
      <c r="F119" s="9">
        <v>0</v>
      </c>
      <c r="G119" s="8">
        <v>0</v>
      </c>
      <c r="H119" s="10">
        <v>0</v>
      </c>
      <c r="I119" s="310">
        <v>0</v>
      </c>
      <c r="J119" s="405">
        <v>0</v>
      </c>
      <c r="K119" s="409">
        <v>0</v>
      </c>
      <c r="L119" s="780" t="s">
        <v>873</v>
      </c>
    </row>
    <row r="120" spans="1:17" ht="18.25" customHeight="1" outlineLevel="3">
      <c r="A120" s="778"/>
      <c r="B120" s="5" t="s">
        <v>185</v>
      </c>
      <c r="C120" s="539" t="s">
        <v>814</v>
      </c>
      <c r="D120" s="23" t="s">
        <v>17</v>
      </c>
      <c r="E120" s="8">
        <v>0</v>
      </c>
      <c r="F120" s="9">
        <v>0</v>
      </c>
      <c r="G120" s="8">
        <v>0</v>
      </c>
      <c r="H120" s="10">
        <v>0</v>
      </c>
      <c r="I120" s="310">
        <v>0</v>
      </c>
      <c r="J120" s="405">
        <v>0</v>
      </c>
      <c r="K120" s="409">
        <v>0</v>
      </c>
      <c r="L120" s="780" t="s">
        <v>873</v>
      </c>
    </row>
    <row r="121" spans="1:17" ht="18.25" customHeight="1" outlineLevel="3">
      <c r="A121" s="778"/>
      <c r="B121" s="5" t="s">
        <v>185</v>
      </c>
      <c r="C121" s="539" t="s">
        <v>265</v>
      </c>
      <c r="D121" s="23" t="s">
        <v>17</v>
      </c>
      <c r="E121" s="8">
        <v>0</v>
      </c>
      <c r="F121" s="9">
        <v>0</v>
      </c>
      <c r="G121" s="8">
        <v>3</v>
      </c>
      <c r="H121" s="10">
        <v>550678</v>
      </c>
      <c r="I121" s="310">
        <v>1</v>
      </c>
      <c r="J121" s="405">
        <v>1</v>
      </c>
      <c r="K121" s="409">
        <v>1</v>
      </c>
      <c r="L121" s="780" t="s">
        <v>873</v>
      </c>
    </row>
    <row r="122" spans="1:17" ht="18.25" customHeight="1" outlineLevel="3">
      <c r="A122" s="778"/>
      <c r="B122" s="5" t="s">
        <v>185</v>
      </c>
      <c r="C122" s="539" t="s">
        <v>382</v>
      </c>
      <c r="D122" s="7" t="s">
        <v>17</v>
      </c>
      <c r="E122" s="8">
        <v>0</v>
      </c>
      <c r="F122" s="9">
        <v>0</v>
      </c>
      <c r="G122" s="8">
        <v>0</v>
      </c>
      <c r="H122" s="10">
        <v>0</v>
      </c>
      <c r="I122" s="310">
        <v>0</v>
      </c>
      <c r="J122" s="405">
        <v>0</v>
      </c>
      <c r="K122" s="409">
        <v>0</v>
      </c>
      <c r="L122" s="780" t="s">
        <v>873</v>
      </c>
    </row>
    <row r="123" spans="1:17" ht="18.25" customHeight="1" outlineLevel="2">
      <c r="A123" s="778"/>
      <c r="B123" s="12" t="s">
        <v>185</v>
      </c>
      <c r="C123" s="13" t="s">
        <v>254</v>
      </c>
      <c r="D123" s="14">
        <v>4</v>
      </c>
      <c r="E123" s="15">
        <v>0</v>
      </c>
      <c r="F123" s="16">
        <v>0</v>
      </c>
      <c r="G123" s="15">
        <v>3</v>
      </c>
      <c r="H123" s="17">
        <v>550678</v>
      </c>
      <c r="I123" s="311">
        <v>1</v>
      </c>
      <c r="J123" s="312">
        <v>1</v>
      </c>
      <c r="K123" s="410">
        <v>1</v>
      </c>
      <c r="L123" s="780" t="s">
        <v>873</v>
      </c>
      <c r="M123" s="1" t="s">
        <v>51</v>
      </c>
    </row>
    <row r="124" spans="1:17" ht="18.25" customHeight="1" outlineLevel="3">
      <c r="A124" s="778"/>
      <c r="B124" s="5" t="s">
        <v>185</v>
      </c>
      <c r="C124" s="539" t="s">
        <v>696</v>
      </c>
      <c r="D124" s="23" t="s">
        <v>237</v>
      </c>
      <c r="E124" s="8">
        <v>0</v>
      </c>
      <c r="F124" s="9">
        <v>0</v>
      </c>
      <c r="G124" s="8">
        <v>5</v>
      </c>
      <c r="H124" s="10">
        <v>45857</v>
      </c>
      <c r="I124" s="310">
        <v>1</v>
      </c>
      <c r="J124" s="405">
        <v>1</v>
      </c>
      <c r="K124" s="409">
        <v>1</v>
      </c>
      <c r="L124" s="780" t="s">
        <v>873</v>
      </c>
    </row>
    <row r="125" spans="1:17" ht="18.25" customHeight="1" outlineLevel="2">
      <c r="A125" s="778"/>
      <c r="B125" s="12" t="s">
        <v>185</v>
      </c>
      <c r="C125" s="13" t="s">
        <v>696</v>
      </c>
      <c r="D125" s="14">
        <v>1</v>
      </c>
      <c r="E125" s="15">
        <v>0</v>
      </c>
      <c r="F125" s="16">
        <v>0</v>
      </c>
      <c r="G125" s="15">
        <v>5</v>
      </c>
      <c r="H125" s="17">
        <v>45857</v>
      </c>
      <c r="I125" s="311">
        <v>1</v>
      </c>
      <c r="J125" s="312">
        <v>1</v>
      </c>
      <c r="K125" s="410">
        <v>1</v>
      </c>
      <c r="L125" s="780" t="s">
        <v>873</v>
      </c>
      <c r="M125" s="1" t="s">
        <v>667</v>
      </c>
    </row>
    <row r="126" spans="1:17" ht="18.25" customHeight="1" outlineLevel="3">
      <c r="A126" s="778"/>
      <c r="B126" s="5" t="s">
        <v>185</v>
      </c>
      <c r="C126" s="539" t="s">
        <v>729</v>
      </c>
      <c r="D126" s="23" t="s">
        <v>189</v>
      </c>
      <c r="E126" s="8">
        <v>0</v>
      </c>
      <c r="F126" s="9">
        <v>0</v>
      </c>
      <c r="G126" s="8">
        <v>2</v>
      </c>
      <c r="H126" s="10">
        <v>62645</v>
      </c>
      <c r="I126" s="310">
        <v>1</v>
      </c>
      <c r="J126" s="405">
        <v>1</v>
      </c>
      <c r="K126" s="409">
        <v>1</v>
      </c>
      <c r="L126" s="780" t="s">
        <v>873</v>
      </c>
    </row>
    <row r="127" spans="1:17" ht="18.25" customHeight="1" outlineLevel="3">
      <c r="A127" s="778"/>
      <c r="B127" s="5" t="s">
        <v>185</v>
      </c>
      <c r="C127" s="539" t="s">
        <v>859</v>
      </c>
      <c r="D127" s="23" t="s">
        <v>17</v>
      </c>
      <c r="E127" s="8">
        <v>0</v>
      </c>
      <c r="F127" s="9">
        <v>0</v>
      </c>
      <c r="G127" s="8">
        <v>0</v>
      </c>
      <c r="H127" s="10">
        <v>0</v>
      </c>
      <c r="I127" s="310">
        <v>0</v>
      </c>
      <c r="J127" s="405">
        <v>0</v>
      </c>
      <c r="K127" s="409">
        <v>0</v>
      </c>
      <c r="L127" s="780" t="s">
        <v>873</v>
      </c>
    </row>
    <row r="128" spans="1:17" s="1" customFormat="1" ht="18.25" customHeight="1" outlineLevel="2">
      <c r="A128" s="778"/>
      <c r="B128" s="12" t="s">
        <v>185</v>
      </c>
      <c r="C128" s="13" t="s">
        <v>729</v>
      </c>
      <c r="D128" s="14">
        <v>2</v>
      </c>
      <c r="E128" s="15">
        <v>0</v>
      </c>
      <c r="F128" s="16">
        <v>0</v>
      </c>
      <c r="G128" s="15">
        <v>2</v>
      </c>
      <c r="H128" s="17">
        <v>62645</v>
      </c>
      <c r="I128" s="311">
        <v>1</v>
      </c>
      <c r="J128" s="312">
        <v>1</v>
      </c>
      <c r="K128" s="410">
        <v>1</v>
      </c>
      <c r="L128" s="780" t="s">
        <v>873</v>
      </c>
      <c r="M128" s="1" t="s">
        <v>169</v>
      </c>
      <c r="O128"/>
      <c r="P128"/>
      <c r="Q128"/>
    </row>
    <row r="129" spans="1:17" ht="18.25" customHeight="1" outlineLevel="3">
      <c r="A129" s="778"/>
      <c r="B129" s="5" t="s">
        <v>7</v>
      </c>
      <c r="C129" s="539" t="s">
        <v>205</v>
      </c>
      <c r="D129" s="7" t="s">
        <v>369</v>
      </c>
      <c r="E129" s="8">
        <v>0</v>
      </c>
      <c r="F129" s="9">
        <v>0</v>
      </c>
      <c r="G129" s="8">
        <v>4</v>
      </c>
      <c r="H129" s="10">
        <v>223483</v>
      </c>
      <c r="I129" s="310">
        <v>1</v>
      </c>
      <c r="J129" s="405">
        <v>1</v>
      </c>
      <c r="K129" s="409">
        <v>1</v>
      </c>
      <c r="L129" s="780" t="s">
        <v>873</v>
      </c>
    </row>
    <row r="130" spans="1:17" ht="18.25" customHeight="1" outlineLevel="2">
      <c r="A130" s="778"/>
      <c r="B130" s="12" t="s">
        <v>7</v>
      </c>
      <c r="C130" s="13" t="s">
        <v>205</v>
      </c>
      <c r="D130" s="14">
        <v>1</v>
      </c>
      <c r="E130" s="15">
        <v>0</v>
      </c>
      <c r="F130" s="16">
        <v>0</v>
      </c>
      <c r="G130" s="15">
        <v>4</v>
      </c>
      <c r="H130" s="17">
        <v>223483</v>
      </c>
      <c r="I130" s="311">
        <v>1</v>
      </c>
      <c r="J130" s="312">
        <v>1</v>
      </c>
      <c r="K130" s="410">
        <v>1</v>
      </c>
      <c r="L130" s="780" t="s">
        <v>873</v>
      </c>
      <c r="M130" s="1" t="s">
        <v>668</v>
      </c>
    </row>
    <row r="131" spans="1:17" s="1" customFormat="1" ht="18.25" customHeight="1" outlineLevel="3">
      <c r="A131" s="778"/>
      <c r="B131" s="5" t="s">
        <v>7</v>
      </c>
      <c r="C131" s="539" t="s">
        <v>467</v>
      </c>
      <c r="D131" s="7" t="s">
        <v>40</v>
      </c>
      <c r="E131" s="8">
        <v>1</v>
      </c>
      <c r="F131" s="9">
        <v>95909</v>
      </c>
      <c r="G131" s="8">
        <v>1</v>
      </c>
      <c r="H131" s="10">
        <v>95909</v>
      </c>
      <c r="I131" s="310">
        <v>1</v>
      </c>
      <c r="J131" s="405">
        <v>1</v>
      </c>
      <c r="K131" s="409">
        <v>1</v>
      </c>
      <c r="L131" s="780" t="s">
        <v>873</v>
      </c>
      <c r="O131"/>
      <c r="P131"/>
      <c r="Q131"/>
    </row>
    <row r="132" spans="1:17" s="1" customFormat="1" ht="18.25" customHeight="1" outlineLevel="3">
      <c r="A132" s="778"/>
      <c r="B132" s="5" t="s">
        <v>7</v>
      </c>
      <c r="C132" s="539" t="s">
        <v>364</v>
      </c>
      <c r="D132" s="23" t="s">
        <v>17</v>
      </c>
      <c r="E132" s="8">
        <v>0</v>
      </c>
      <c r="F132" s="9">
        <v>0</v>
      </c>
      <c r="G132" s="8">
        <v>0</v>
      </c>
      <c r="H132" s="10">
        <v>0</v>
      </c>
      <c r="I132" s="310">
        <v>0</v>
      </c>
      <c r="J132" s="405">
        <v>0</v>
      </c>
      <c r="K132" s="409">
        <v>0</v>
      </c>
      <c r="L132" s="780" t="s">
        <v>873</v>
      </c>
      <c r="O132"/>
      <c r="P132"/>
      <c r="Q132"/>
    </row>
    <row r="133" spans="1:17" s="1" customFormat="1" ht="18.25" customHeight="1" outlineLevel="2">
      <c r="A133" s="778"/>
      <c r="B133" s="12" t="s">
        <v>7</v>
      </c>
      <c r="C133" s="13" t="s">
        <v>466</v>
      </c>
      <c r="D133" s="14">
        <v>2</v>
      </c>
      <c r="E133" s="15">
        <v>1</v>
      </c>
      <c r="F133" s="16">
        <v>95909</v>
      </c>
      <c r="G133" s="15">
        <v>1</v>
      </c>
      <c r="H133" s="17">
        <v>95909</v>
      </c>
      <c r="I133" s="311">
        <v>1</v>
      </c>
      <c r="J133" s="312">
        <v>1</v>
      </c>
      <c r="K133" s="410">
        <v>1</v>
      </c>
      <c r="L133" s="780" t="s">
        <v>873</v>
      </c>
      <c r="M133" s="1" t="s">
        <v>51</v>
      </c>
      <c r="O133"/>
      <c r="P133"/>
      <c r="Q133"/>
    </row>
    <row r="134" spans="1:17" s="1" customFormat="1" ht="18.25" customHeight="1" outlineLevel="3">
      <c r="A134" s="778"/>
      <c r="B134" s="5" t="s">
        <v>7</v>
      </c>
      <c r="C134" s="539" t="s">
        <v>117</v>
      </c>
      <c r="D134" s="7" t="s">
        <v>237</v>
      </c>
      <c r="E134" s="8">
        <v>0</v>
      </c>
      <c r="F134" s="9">
        <v>0</v>
      </c>
      <c r="G134" s="8">
        <v>0</v>
      </c>
      <c r="H134" s="10">
        <v>2400</v>
      </c>
      <c r="I134" s="310">
        <v>0</v>
      </c>
      <c r="J134" s="405">
        <v>0</v>
      </c>
      <c r="K134" s="409">
        <v>0</v>
      </c>
      <c r="L134" s="780" t="s">
        <v>873</v>
      </c>
      <c r="O134"/>
      <c r="P134"/>
      <c r="Q134"/>
    </row>
    <row r="135" spans="1:17" s="1" customFormat="1" ht="18.25" customHeight="1" outlineLevel="2">
      <c r="A135" s="778"/>
      <c r="B135" s="12" t="s">
        <v>7</v>
      </c>
      <c r="C135" s="13" t="s">
        <v>117</v>
      </c>
      <c r="D135" s="14">
        <v>1</v>
      </c>
      <c r="E135" s="15">
        <v>0</v>
      </c>
      <c r="F135" s="16">
        <v>0</v>
      </c>
      <c r="G135" s="15">
        <v>0</v>
      </c>
      <c r="H135" s="17">
        <v>2400</v>
      </c>
      <c r="I135" s="311">
        <v>0</v>
      </c>
      <c r="J135" s="312">
        <v>0</v>
      </c>
      <c r="K135" s="410">
        <v>0</v>
      </c>
      <c r="L135" s="780" t="s">
        <v>873</v>
      </c>
      <c r="M135" s="1" t="s">
        <v>667</v>
      </c>
      <c r="O135"/>
      <c r="P135"/>
      <c r="Q135"/>
    </row>
    <row r="136" spans="1:17" s="1" customFormat="1" ht="18.25" customHeight="1" outlineLevel="3">
      <c r="A136" s="778"/>
      <c r="B136" s="5" t="s">
        <v>7</v>
      </c>
      <c r="C136" s="539" t="s">
        <v>346</v>
      </c>
      <c r="D136" s="7" t="s">
        <v>40</v>
      </c>
      <c r="E136" s="8">
        <v>0</v>
      </c>
      <c r="F136" s="9">
        <v>0</v>
      </c>
      <c r="G136" s="8">
        <v>0</v>
      </c>
      <c r="H136" s="10">
        <v>0</v>
      </c>
      <c r="I136" s="310">
        <v>0</v>
      </c>
      <c r="J136" s="405">
        <v>0</v>
      </c>
      <c r="K136" s="409">
        <v>0</v>
      </c>
      <c r="L136" s="780" t="s">
        <v>873</v>
      </c>
      <c r="O136"/>
      <c r="P136"/>
      <c r="Q136"/>
    </row>
    <row r="137" spans="1:17" s="1" customFormat="1" ht="18.25" customHeight="1" outlineLevel="3">
      <c r="A137" s="778"/>
      <c r="B137" s="5" t="s">
        <v>7</v>
      </c>
      <c r="C137" s="539" t="s">
        <v>371</v>
      </c>
      <c r="D137" s="23" t="s">
        <v>17</v>
      </c>
      <c r="E137" s="8">
        <v>0</v>
      </c>
      <c r="F137" s="9">
        <v>0</v>
      </c>
      <c r="G137" s="8">
        <v>2</v>
      </c>
      <c r="H137" s="10">
        <v>16372</v>
      </c>
      <c r="I137" s="310">
        <v>1</v>
      </c>
      <c r="J137" s="405">
        <v>1</v>
      </c>
      <c r="K137" s="409">
        <v>0</v>
      </c>
      <c r="L137" s="780" t="s">
        <v>873</v>
      </c>
      <c r="O137"/>
      <c r="P137"/>
      <c r="Q137"/>
    </row>
    <row r="138" spans="1:17" s="1" customFormat="1" ht="18.25" customHeight="1" outlineLevel="3">
      <c r="A138" s="778"/>
      <c r="B138" s="5" t="s">
        <v>7</v>
      </c>
      <c r="C138" s="539" t="s">
        <v>122</v>
      </c>
      <c r="D138" s="23" t="s">
        <v>17</v>
      </c>
      <c r="E138" s="8">
        <v>0</v>
      </c>
      <c r="F138" s="9">
        <v>0</v>
      </c>
      <c r="G138" s="8">
        <v>0</v>
      </c>
      <c r="H138" s="10">
        <v>0</v>
      </c>
      <c r="I138" s="310">
        <v>0</v>
      </c>
      <c r="J138" s="405">
        <v>0</v>
      </c>
      <c r="K138" s="409">
        <v>0</v>
      </c>
      <c r="L138" s="780" t="s">
        <v>873</v>
      </c>
      <c r="O138"/>
      <c r="P138"/>
      <c r="Q138"/>
    </row>
    <row r="139" spans="1:17" s="1" customFormat="1" ht="18.25" customHeight="1" outlineLevel="2">
      <c r="A139" s="778"/>
      <c r="B139" s="12" t="s">
        <v>7</v>
      </c>
      <c r="C139" s="13" t="s">
        <v>347</v>
      </c>
      <c r="D139" s="14">
        <v>3</v>
      </c>
      <c r="E139" s="15">
        <v>0</v>
      </c>
      <c r="F139" s="16">
        <v>0</v>
      </c>
      <c r="G139" s="15">
        <v>2</v>
      </c>
      <c r="H139" s="17">
        <v>16372</v>
      </c>
      <c r="I139" s="311">
        <v>1</v>
      </c>
      <c r="J139" s="312">
        <v>1</v>
      </c>
      <c r="K139" s="410">
        <v>0</v>
      </c>
      <c r="L139" s="780" t="s">
        <v>873</v>
      </c>
      <c r="M139" s="1" t="s">
        <v>51</v>
      </c>
      <c r="O139"/>
      <c r="P139"/>
      <c r="Q139"/>
    </row>
    <row r="140" spans="1:17" s="1" customFormat="1" ht="18.25" customHeight="1" outlineLevel="2">
      <c r="A140" s="570" t="s">
        <v>873</v>
      </c>
      <c r="B140" s="545" t="s">
        <v>824</v>
      </c>
      <c r="C140" s="546" t="s">
        <v>75</v>
      </c>
      <c r="D140" s="547">
        <v>30</v>
      </c>
      <c r="E140" s="548">
        <v>3</v>
      </c>
      <c r="F140" s="549">
        <v>160827</v>
      </c>
      <c r="G140" s="548">
        <v>26</v>
      </c>
      <c r="H140" s="550">
        <v>1216836</v>
      </c>
      <c r="I140" s="551">
        <v>11</v>
      </c>
      <c r="J140" s="552">
        <v>10</v>
      </c>
      <c r="K140" s="553">
        <v>8</v>
      </c>
      <c r="L140" s="780" t="s">
        <v>873</v>
      </c>
      <c r="O140"/>
      <c r="P140"/>
      <c r="Q140"/>
    </row>
    <row r="141" spans="1:17" ht="18.25" customHeight="1" outlineLevel="3">
      <c r="A141" s="778"/>
      <c r="B141" s="5" t="s">
        <v>7</v>
      </c>
      <c r="C141" s="542" t="s">
        <v>116</v>
      </c>
      <c r="D141" s="19" t="s">
        <v>40</v>
      </c>
      <c r="E141" s="8">
        <v>0</v>
      </c>
      <c r="F141" s="9">
        <v>0</v>
      </c>
      <c r="G141" s="8">
        <v>2</v>
      </c>
      <c r="H141" s="10">
        <v>6546</v>
      </c>
      <c r="I141" s="310">
        <v>1</v>
      </c>
      <c r="J141" s="405">
        <v>0</v>
      </c>
      <c r="K141" s="409">
        <v>0</v>
      </c>
      <c r="L141" s="781" t="s">
        <v>874</v>
      </c>
    </row>
    <row r="142" spans="1:17" ht="18.25" customHeight="1" outlineLevel="3">
      <c r="A142" s="778"/>
      <c r="B142" s="5" t="s">
        <v>7</v>
      </c>
      <c r="C142" s="543" t="s">
        <v>877</v>
      </c>
      <c r="D142" s="7" t="s">
        <v>17</v>
      </c>
      <c r="E142" s="8">
        <v>0</v>
      </c>
      <c r="F142" s="9">
        <v>0</v>
      </c>
      <c r="G142" s="8">
        <v>0</v>
      </c>
      <c r="H142" s="10">
        <v>0</v>
      </c>
      <c r="I142" s="310">
        <v>0</v>
      </c>
      <c r="J142" s="405">
        <v>0</v>
      </c>
      <c r="K142" s="409">
        <v>0</v>
      </c>
      <c r="L142" s="781" t="s">
        <v>845</v>
      </c>
    </row>
    <row r="143" spans="1:17" ht="18.25" customHeight="1" outlineLevel="3">
      <c r="A143" s="778"/>
      <c r="B143" s="5" t="s">
        <v>7</v>
      </c>
      <c r="C143" s="543" t="s">
        <v>793</v>
      </c>
      <c r="D143" s="7" t="s">
        <v>17</v>
      </c>
      <c r="E143" s="8">
        <v>0</v>
      </c>
      <c r="F143" s="9">
        <v>0</v>
      </c>
      <c r="G143" s="8">
        <v>0</v>
      </c>
      <c r="H143" s="10">
        <v>0</v>
      </c>
      <c r="I143" s="310">
        <v>0</v>
      </c>
      <c r="J143" s="405">
        <v>0</v>
      </c>
      <c r="K143" s="409">
        <v>0</v>
      </c>
      <c r="L143" s="781" t="s">
        <v>874</v>
      </c>
    </row>
    <row r="144" spans="1:17" ht="18.25" customHeight="1" outlineLevel="3">
      <c r="A144" s="778"/>
      <c r="B144" s="5" t="s">
        <v>7</v>
      </c>
      <c r="C144" s="543" t="s">
        <v>764</v>
      </c>
      <c r="D144" s="7" t="s">
        <v>17</v>
      </c>
      <c r="E144" s="8">
        <v>0</v>
      </c>
      <c r="F144" s="9">
        <v>0</v>
      </c>
      <c r="G144" s="8">
        <v>0</v>
      </c>
      <c r="H144" s="10">
        <v>0</v>
      </c>
      <c r="I144" s="310">
        <v>0</v>
      </c>
      <c r="J144" s="405">
        <v>0</v>
      </c>
      <c r="K144" s="409">
        <v>0</v>
      </c>
      <c r="L144" s="781" t="s">
        <v>874</v>
      </c>
    </row>
    <row r="145" spans="1:17" ht="18.25" customHeight="1" outlineLevel="3">
      <c r="A145" s="778"/>
      <c r="B145" s="5" t="s">
        <v>7</v>
      </c>
      <c r="C145" s="543" t="s">
        <v>279</v>
      </c>
      <c r="D145" s="7" t="s">
        <v>17</v>
      </c>
      <c r="E145" s="8">
        <v>1</v>
      </c>
      <c r="F145" s="9">
        <v>11753</v>
      </c>
      <c r="G145" s="8">
        <v>1</v>
      </c>
      <c r="H145" s="10">
        <v>11753</v>
      </c>
      <c r="I145" s="310">
        <v>1</v>
      </c>
      <c r="J145" s="405">
        <v>1</v>
      </c>
      <c r="K145" s="409">
        <v>0</v>
      </c>
      <c r="L145" s="781" t="s">
        <v>874</v>
      </c>
    </row>
    <row r="146" spans="1:17" s="65" customFormat="1" ht="18.25" customHeight="1" outlineLevel="2">
      <c r="A146" s="779"/>
      <c r="B146" s="47" t="s">
        <v>7</v>
      </c>
      <c r="C146" s="61" t="s">
        <v>116</v>
      </c>
      <c r="D146" s="26">
        <v>5</v>
      </c>
      <c r="E146" s="62">
        <v>1</v>
      </c>
      <c r="F146" s="63">
        <v>11753</v>
      </c>
      <c r="G146" s="62">
        <v>3</v>
      </c>
      <c r="H146" s="64">
        <v>18299</v>
      </c>
      <c r="I146" s="316">
        <v>2</v>
      </c>
      <c r="J146" s="317">
        <v>1</v>
      </c>
      <c r="K146" s="412">
        <v>0</v>
      </c>
      <c r="L146" s="781" t="s">
        <v>874</v>
      </c>
      <c r="M146" s="249" t="s">
        <v>51</v>
      </c>
      <c r="N146" s="249"/>
    </row>
    <row r="147" spans="1:17" ht="18.25" customHeight="1" outlineLevel="3">
      <c r="A147" s="778"/>
      <c r="B147" s="5" t="s">
        <v>185</v>
      </c>
      <c r="C147" s="542" t="s">
        <v>115</v>
      </c>
      <c r="D147" s="19" t="s">
        <v>221</v>
      </c>
      <c r="E147" s="8">
        <v>0</v>
      </c>
      <c r="F147" s="9">
        <v>0</v>
      </c>
      <c r="G147" s="8">
        <v>0</v>
      </c>
      <c r="H147" s="10">
        <v>0</v>
      </c>
      <c r="I147" s="310">
        <v>0</v>
      </c>
      <c r="J147" s="405">
        <v>0</v>
      </c>
      <c r="K147" s="409">
        <v>0</v>
      </c>
      <c r="L147" s="781" t="s">
        <v>874</v>
      </c>
    </row>
    <row r="148" spans="1:17" ht="18.25" customHeight="1" outlineLevel="3">
      <c r="A148" s="778"/>
      <c r="B148" s="5" t="s">
        <v>7</v>
      </c>
      <c r="C148" s="543" t="s">
        <v>337</v>
      </c>
      <c r="D148" s="7" t="s">
        <v>17</v>
      </c>
      <c r="E148" s="8">
        <v>0</v>
      </c>
      <c r="F148" s="9">
        <v>0</v>
      </c>
      <c r="G148" s="8">
        <v>7</v>
      </c>
      <c r="H148" s="10">
        <v>217835</v>
      </c>
      <c r="I148" s="310">
        <v>1</v>
      </c>
      <c r="J148" s="405">
        <v>1</v>
      </c>
      <c r="K148" s="409">
        <v>1</v>
      </c>
      <c r="L148" s="781" t="s">
        <v>874</v>
      </c>
    </row>
    <row r="149" spans="1:17" s="65" customFormat="1" ht="18.25" customHeight="1" outlineLevel="2">
      <c r="A149" s="779"/>
      <c r="B149" s="47" t="s">
        <v>7</v>
      </c>
      <c r="C149" s="61" t="s">
        <v>115</v>
      </c>
      <c r="D149" s="26">
        <v>2</v>
      </c>
      <c r="E149" s="62">
        <v>0</v>
      </c>
      <c r="F149" s="63">
        <v>0</v>
      </c>
      <c r="G149" s="62">
        <v>7</v>
      </c>
      <c r="H149" s="64">
        <v>217835</v>
      </c>
      <c r="I149" s="316">
        <v>1</v>
      </c>
      <c r="J149" s="406">
        <v>1</v>
      </c>
      <c r="K149" s="413">
        <v>1</v>
      </c>
      <c r="L149" s="781" t="s">
        <v>874</v>
      </c>
      <c r="M149" s="249" t="s">
        <v>51</v>
      </c>
      <c r="N149" s="249"/>
    </row>
    <row r="150" spans="1:17" ht="18.25" customHeight="1" outlineLevel="3">
      <c r="A150" s="778"/>
      <c r="B150" s="5" t="s">
        <v>185</v>
      </c>
      <c r="C150" s="542" t="s">
        <v>560</v>
      </c>
      <c r="D150" s="19" t="s">
        <v>189</v>
      </c>
      <c r="E150" s="8">
        <v>0</v>
      </c>
      <c r="F150" s="9">
        <v>0</v>
      </c>
      <c r="G150" s="8">
        <v>0</v>
      </c>
      <c r="H150" s="10">
        <v>0</v>
      </c>
      <c r="I150" s="310">
        <v>0</v>
      </c>
      <c r="J150" s="405">
        <v>0</v>
      </c>
      <c r="K150" s="409">
        <v>0</v>
      </c>
      <c r="L150" s="781" t="s">
        <v>874</v>
      </c>
    </row>
    <row r="151" spans="1:17" ht="18.25" customHeight="1" outlineLevel="3">
      <c r="A151" s="778"/>
      <c r="B151" s="5" t="s">
        <v>7</v>
      </c>
      <c r="C151" s="543" t="s">
        <v>547</v>
      </c>
      <c r="D151" s="7" t="s">
        <v>17</v>
      </c>
      <c r="E151" s="8">
        <v>0</v>
      </c>
      <c r="F151" s="9">
        <v>0</v>
      </c>
      <c r="G151" s="8">
        <v>0</v>
      </c>
      <c r="H151" s="10">
        <v>0</v>
      </c>
      <c r="I151" s="310">
        <v>0</v>
      </c>
      <c r="J151" s="405">
        <v>0</v>
      </c>
      <c r="K151" s="409">
        <v>0</v>
      </c>
      <c r="L151" s="781" t="s">
        <v>874</v>
      </c>
    </row>
    <row r="152" spans="1:17" s="65" customFormat="1" ht="18.25" customHeight="1" outlineLevel="2">
      <c r="A152" s="779"/>
      <c r="B152" s="47" t="s">
        <v>7</v>
      </c>
      <c r="C152" s="61" t="s">
        <v>560</v>
      </c>
      <c r="D152" s="26">
        <v>2</v>
      </c>
      <c r="E152" s="62">
        <v>0</v>
      </c>
      <c r="F152" s="63">
        <v>0</v>
      </c>
      <c r="G152" s="62">
        <v>0</v>
      </c>
      <c r="H152" s="64">
        <v>0</v>
      </c>
      <c r="I152" s="316">
        <v>0</v>
      </c>
      <c r="J152" s="406">
        <v>0</v>
      </c>
      <c r="K152" s="413">
        <v>0</v>
      </c>
      <c r="L152" s="781" t="s">
        <v>874</v>
      </c>
      <c r="M152" s="249" t="s">
        <v>169</v>
      </c>
      <c r="N152" s="249"/>
    </row>
    <row r="153" spans="1:17" s="1" customFormat="1" ht="18.25" customHeight="1" outlineLevel="3">
      <c r="A153" s="778"/>
      <c r="B153" s="5" t="s">
        <v>7</v>
      </c>
      <c r="C153" s="542" t="s">
        <v>559</v>
      </c>
      <c r="D153" s="7" t="s">
        <v>25</v>
      </c>
      <c r="E153" s="8">
        <v>0</v>
      </c>
      <c r="F153" s="9">
        <v>0</v>
      </c>
      <c r="G153" s="8">
        <v>1</v>
      </c>
      <c r="H153" s="10">
        <v>4956</v>
      </c>
      <c r="I153" s="310">
        <v>1</v>
      </c>
      <c r="J153" s="405">
        <v>0</v>
      </c>
      <c r="K153" s="409">
        <v>0</v>
      </c>
      <c r="L153" s="781" t="s">
        <v>874</v>
      </c>
      <c r="O153"/>
      <c r="P153"/>
      <c r="Q153"/>
    </row>
    <row r="154" spans="1:17" s="1" customFormat="1" ht="18.25" customHeight="1" outlineLevel="3">
      <c r="A154" s="778"/>
      <c r="B154" s="5" t="s">
        <v>7</v>
      </c>
      <c r="C154" s="542" t="s">
        <v>574</v>
      </c>
      <c r="D154" s="23" t="s">
        <v>17</v>
      </c>
      <c r="E154" s="8">
        <v>0</v>
      </c>
      <c r="F154" s="9">
        <v>0</v>
      </c>
      <c r="G154" s="8">
        <v>0</v>
      </c>
      <c r="H154" s="10">
        <v>0</v>
      </c>
      <c r="I154" s="310">
        <v>0</v>
      </c>
      <c r="J154" s="405">
        <v>0</v>
      </c>
      <c r="K154" s="409">
        <v>0</v>
      </c>
      <c r="L154" s="781" t="s">
        <v>874</v>
      </c>
      <c r="O154"/>
      <c r="P154"/>
      <c r="Q154"/>
    </row>
    <row r="155" spans="1:17" s="1" customFormat="1" ht="18.25" customHeight="1" outlineLevel="2">
      <c r="A155" s="778"/>
      <c r="B155" s="12" t="s">
        <v>7</v>
      </c>
      <c r="C155" s="13" t="s">
        <v>559</v>
      </c>
      <c r="D155" s="14">
        <v>2</v>
      </c>
      <c r="E155" s="15">
        <v>0</v>
      </c>
      <c r="F155" s="16">
        <v>0</v>
      </c>
      <c r="G155" s="15">
        <v>1</v>
      </c>
      <c r="H155" s="17">
        <v>4956</v>
      </c>
      <c r="I155" s="311">
        <v>1</v>
      </c>
      <c r="J155" s="312">
        <v>0</v>
      </c>
      <c r="K155" s="410">
        <v>0</v>
      </c>
      <c r="L155" s="781" t="s">
        <v>874</v>
      </c>
      <c r="M155" s="1" t="s">
        <v>169</v>
      </c>
      <c r="O155"/>
      <c r="P155"/>
      <c r="Q155"/>
    </row>
    <row r="156" spans="1:17" s="1" customFormat="1" ht="18.25" customHeight="1" outlineLevel="3">
      <c r="A156" s="778"/>
      <c r="B156" s="5" t="s">
        <v>7</v>
      </c>
      <c r="C156" s="542" t="s">
        <v>335</v>
      </c>
      <c r="D156" s="7" t="s">
        <v>25</v>
      </c>
      <c r="E156" s="8">
        <v>0</v>
      </c>
      <c r="F156" s="9">
        <v>0</v>
      </c>
      <c r="G156" s="8">
        <v>0</v>
      </c>
      <c r="H156" s="10">
        <v>0</v>
      </c>
      <c r="I156" s="310">
        <v>0</v>
      </c>
      <c r="J156" s="405">
        <v>0</v>
      </c>
      <c r="K156" s="409">
        <v>0</v>
      </c>
      <c r="L156" s="781" t="s">
        <v>874</v>
      </c>
      <c r="O156"/>
      <c r="P156"/>
      <c r="Q156"/>
    </row>
    <row r="157" spans="1:17" s="1" customFormat="1" ht="18.25" customHeight="1" outlineLevel="2">
      <c r="A157" s="778"/>
      <c r="B157" s="12" t="s">
        <v>7</v>
      </c>
      <c r="C157" s="13" t="s">
        <v>335</v>
      </c>
      <c r="D157" s="14">
        <v>1</v>
      </c>
      <c r="E157" s="15">
        <v>0</v>
      </c>
      <c r="F157" s="16">
        <v>0</v>
      </c>
      <c r="G157" s="15">
        <v>0</v>
      </c>
      <c r="H157" s="17">
        <v>0</v>
      </c>
      <c r="I157" s="311">
        <v>0</v>
      </c>
      <c r="J157" s="312">
        <v>0</v>
      </c>
      <c r="K157" s="410">
        <v>0</v>
      </c>
      <c r="L157" s="781" t="s">
        <v>874</v>
      </c>
      <c r="M157" s="1" t="s">
        <v>169</v>
      </c>
      <c r="O157"/>
      <c r="P157"/>
      <c r="Q157"/>
    </row>
    <row r="158" spans="1:17" s="1" customFormat="1" ht="18.25" customHeight="1" outlineLevel="3">
      <c r="A158" s="778"/>
      <c r="B158" s="5" t="s">
        <v>7</v>
      </c>
      <c r="C158" s="543" t="s">
        <v>76</v>
      </c>
      <c r="D158" s="23" t="s">
        <v>25</v>
      </c>
      <c r="E158" s="8">
        <v>0</v>
      </c>
      <c r="F158" s="9">
        <v>0</v>
      </c>
      <c r="G158" s="8">
        <v>4</v>
      </c>
      <c r="H158" s="10">
        <v>169951</v>
      </c>
      <c r="I158" s="310">
        <v>1</v>
      </c>
      <c r="J158" s="405">
        <v>1</v>
      </c>
      <c r="K158" s="409">
        <v>1</v>
      </c>
      <c r="L158" s="781" t="s">
        <v>874</v>
      </c>
      <c r="O158"/>
      <c r="P158"/>
      <c r="Q158"/>
    </row>
    <row r="159" spans="1:17" s="1" customFormat="1" ht="18.25" customHeight="1" outlineLevel="3">
      <c r="A159" s="778"/>
      <c r="B159" s="5" t="s">
        <v>7</v>
      </c>
      <c r="C159" s="543" t="s">
        <v>901</v>
      </c>
      <c r="D159" s="7" t="s">
        <v>17</v>
      </c>
      <c r="E159" s="8">
        <v>0</v>
      </c>
      <c r="F159" s="9">
        <v>0</v>
      </c>
      <c r="G159" s="8">
        <v>0</v>
      </c>
      <c r="H159" s="10">
        <v>0</v>
      </c>
      <c r="I159" s="310">
        <v>0</v>
      </c>
      <c r="J159" s="405">
        <v>0</v>
      </c>
      <c r="K159" s="409">
        <v>0</v>
      </c>
      <c r="L159" s="781" t="s">
        <v>874</v>
      </c>
      <c r="O159"/>
      <c r="P159"/>
      <c r="Q159"/>
    </row>
    <row r="160" spans="1:17" s="1" customFormat="1" ht="18.25" customHeight="1" outlineLevel="2">
      <c r="A160" s="778"/>
      <c r="B160" s="12" t="s">
        <v>7</v>
      </c>
      <c r="C160" s="13" t="s">
        <v>76</v>
      </c>
      <c r="D160" s="14">
        <v>2</v>
      </c>
      <c r="E160" s="15">
        <v>0</v>
      </c>
      <c r="F160" s="16">
        <v>0</v>
      </c>
      <c r="G160" s="15">
        <v>4</v>
      </c>
      <c r="H160" s="17">
        <v>169951</v>
      </c>
      <c r="I160" s="311">
        <v>1</v>
      </c>
      <c r="J160" s="312">
        <v>1</v>
      </c>
      <c r="K160" s="410">
        <v>1</v>
      </c>
      <c r="L160" s="781" t="s">
        <v>874</v>
      </c>
      <c r="M160" s="1" t="s">
        <v>169</v>
      </c>
      <c r="O160"/>
      <c r="P160"/>
      <c r="Q160"/>
    </row>
    <row r="161" spans="1:17" ht="18.25" customHeight="1" outlineLevel="3">
      <c r="A161" s="778"/>
      <c r="B161" s="5" t="s">
        <v>7</v>
      </c>
      <c r="C161" s="542" t="s">
        <v>790</v>
      </c>
      <c r="D161" s="7" t="s">
        <v>307</v>
      </c>
      <c r="E161" s="8">
        <v>1</v>
      </c>
      <c r="F161" s="9">
        <v>4207</v>
      </c>
      <c r="G161" s="8">
        <v>2</v>
      </c>
      <c r="H161" s="10">
        <v>5404</v>
      </c>
      <c r="I161" s="310">
        <v>1</v>
      </c>
      <c r="J161" s="405">
        <v>0</v>
      </c>
      <c r="K161" s="409">
        <v>0</v>
      </c>
      <c r="L161" s="781" t="s">
        <v>874</v>
      </c>
    </row>
    <row r="162" spans="1:17" ht="18.25" customHeight="1" outlineLevel="2">
      <c r="A162" s="778"/>
      <c r="B162" s="12" t="s">
        <v>7</v>
      </c>
      <c r="C162" s="13" t="s">
        <v>790</v>
      </c>
      <c r="D162" s="14">
        <v>1</v>
      </c>
      <c r="E162" s="15">
        <v>1</v>
      </c>
      <c r="F162" s="16">
        <v>4207</v>
      </c>
      <c r="G162" s="15">
        <v>2</v>
      </c>
      <c r="H162" s="17">
        <v>5404</v>
      </c>
      <c r="I162" s="311">
        <v>1</v>
      </c>
      <c r="J162" s="312">
        <v>0</v>
      </c>
      <c r="K162" s="410">
        <v>0</v>
      </c>
      <c r="L162" s="781" t="s">
        <v>874</v>
      </c>
      <c r="M162" s="1" t="s">
        <v>668</v>
      </c>
    </row>
    <row r="163" spans="1:17" ht="18.25" customHeight="1" outlineLevel="3">
      <c r="A163" s="778"/>
      <c r="B163" s="5" t="s">
        <v>7</v>
      </c>
      <c r="C163" s="542" t="s">
        <v>113</v>
      </c>
      <c r="D163" s="7" t="s">
        <v>40</v>
      </c>
      <c r="E163" s="8">
        <v>0</v>
      </c>
      <c r="F163" s="9">
        <v>0</v>
      </c>
      <c r="G163" s="8">
        <v>1</v>
      </c>
      <c r="H163" s="10">
        <v>25362</v>
      </c>
      <c r="I163" s="310">
        <v>1</v>
      </c>
      <c r="J163" s="405">
        <v>1</v>
      </c>
      <c r="K163" s="409">
        <v>1</v>
      </c>
      <c r="L163" s="781" t="s">
        <v>874</v>
      </c>
    </row>
    <row r="164" spans="1:17" ht="18.25" customHeight="1" outlineLevel="3">
      <c r="A164" s="778"/>
      <c r="B164" s="5" t="s">
        <v>7</v>
      </c>
      <c r="C164" s="542" t="s">
        <v>808</v>
      </c>
      <c r="D164" s="7" t="s">
        <v>17</v>
      </c>
      <c r="E164" s="8">
        <v>0</v>
      </c>
      <c r="F164" s="9">
        <v>0</v>
      </c>
      <c r="G164" s="8">
        <v>0</v>
      </c>
      <c r="H164" s="10">
        <v>0</v>
      </c>
      <c r="I164" s="310">
        <v>0</v>
      </c>
      <c r="J164" s="405">
        <v>0</v>
      </c>
      <c r="K164" s="409">
        <v>0</v>
      </c>
      <c r="L164" s="781" t="s">
        <v>874</v>
      </c>
    </row>
    <row r="165" spans="1:17" s="65" customFormat="1" ht="18.25" customHeight="1" outlineLevel="2">
      <c r="A165" s="779"/>
      <c r="B165" s="47" t="s">
        <v>7</v>
      </c>
      <c r="C165" s="61" t="s">
        <v>113</v>
      </c>
      <c r="D165" s="26">
        <v>2</v>
      </c>
      <c r="E165" s="62">
        <v>0</v>
      </c>
      <c r="F165" s="63">
        <v>0</v>
      </c>
      <c r="G165" s="62">
        <v>1</v>
      </c>
      <c r="H165" s="64">
        <v>25362</v>
      </c>
      <c r="I165" s="316">
        <v>1</v>
      </c>
      <c r="J165" s="317">
        <v>1</v>
      </c>
      <c r="K165" s="412">
        <v>1</v>
      </c>
      <c r="L165" s="781" t="s">
        <v>874</v>
      </c>
      <c r="M165" s="249" t="s">
        <v>51</v>
      </c>
      <c r="N165" s="249"/>
    </row>
    <row r="166" spans="1:17" ht="18.25" customHeight="1" outlineLevel="3">
      <c r="A166" s="778"/>
      <c r="B166" s="5" t="s">
        <v>7</v>
      </c>
      <c r="C166" s="542" t="s">
        <v>261</v>
      </c>
      <c r="D166" s="7" t="s">
        <v>25</v>
      </c>
      <c r="E166" s="8">
        <v>0</v>
      </c>
      <c r="F166" s="9">
        <v>0</v>
      </c>
      <c r="G166" s="8">
        <v>0</v>
      </c>
      <c r="H166" s="10">
        <v>0</v>
      </c>
      <c r="I166" s="310">
        <v>0</v>
      </c>
      <c r="J166" s="405">
        <v>0</v>
      </c>
      <c r="K166" s="409">
        <v>0</v>
      </c>
      <c r="L166" s="781" t="s">
        <v>874</v>
      </c>
    </row>
    <row r="167" spans="1:17" ht="18.25" customHeight="1" outlineLevel="3">
      <c r="A167" s="778"/>
      <c r="B167" s="5" t="s">
        <v>7</v>
      </c>
      <c r="C167" s="542" t="s">
        <v>864</v>
      </c>
      <c r="D167" s="7" t="s">
        <v>17</v>
      </c>
      <c r="E167" s="8">
        <v>0</v>
      </c>
      <c r="F167" s="9">
        <v>0</v>
      </c>
      <c r="G167" s="8">
        <v>2</v>
      </c>
      <c r="H167" s="10">
        <v>100853</v>
      </c>
      <c r="I167" s="310">
        <v>1</v>
      </c>
      <c r="J167" s="405">
        <v>1</v>
      </c>
      <c r="K167" s="409">
        <v>1</v>
      </c>
      <c r="L167" s="781" t="s">
        <v>874</v>
      </c>
    </row>
    <row r="168" spans="1:17" s="65" customFormat="1" ht="18.25" customHeight="1" outlineLevel="2">
      <c r="A168" s="779"/>
      <c r="B168" s="47" t="s">
        <v>7</v>
      </c>
      <c r="C168" s="61" t="s">
        <v>261</v>
      </c>
      <c r="D168" s="26">
        <v>2</v>
      </c>
      <c r="E168" s="62">
        <v>0</v>
      </c>
      <c r="F168" s="63">
        <v>0</v>
      </c>
      <c r="G168" s="62">
        <v>2</v>
      </c>
      <c r="H168" s="64">
        <v>100853</v>
      </c>
      <c r="I168" s="316">
        <v>1</v>
      </c>
      <c r="J168" s="317">
        <v>1</v>
      </c>
      <c r="K168" s="412">
        <v>1</v>
      </c>
      <c r="L168" s="781" t="s">
        <v>874</v>
      </c>
      <c r="M168" s="249" t="s">
        <v>169</v>
      </c>
      <c r="N168" s="249"/>
    </row>
    <row r="169" spans="1:17" ht="18.25" customHeight="1" outlineLevel="3">
      <c r="A169" s="778"/>
      <c r="B169" s="5" t="s">
        <v>7</v>
      </c>
      <c r="C169" s="542" t="s">
        <v>114</v>
      </c>
      <c r="D169" s="7" t="s">
        <v>40</v>
      </c>
      <c r="E169" s="8">
        <v>0</v>
      </c>
      <c r="F169" s="9">
        <v>0</v>
      </c>
      <c r="G169" s="8">
        <v>0</v>
      </c>
      <c r="H169" s="10">
        <v>0</v>
      </c>
      <c r="I169" s="310">
        <v>0</v>
      </c>
      <c r="J169" s="405">
        <v>0</v>
      </c>
      <c r="K169" s="409">
        <v>0</v>
      </c>
      <c r="L169" s="781" t="s">
        <v>874</v>
      </c>
    </row>
    <row r="170" spans="1:17" ht="18.25" customHeight="1" outlineLevel="3">
      <c r="A170" s="778"/>
      <c r="B170" s="5" t="s">
        <v>7</v>
      </c>
      <c r="C170" s="542" t="s">
        <v>514</v>
      </c>
      <c r="D170" s="7" t="s">
        <v>188</v>
      </c>
      <c r="E170" s="8">
        <v>0</v>
      </c>
      <c r="F170" s="9">
        <v>0</v>
      </c>
      <c r="G170" s="8">
        <v>1</v>
      </c>
      <c r="H170" s="10">
        <v>10000</v>
      </c>
      <c r="I170" s="310">
        <v>1</v>
      </c>
      <c r="J170" s="405">
        <v>0</v>
      </c>
      <c r="K170" s="409">
        <v>0</v>
      </c>
      <c r="L170" s="781" t="s">
        <v>874</v>
      </c>
    </row>
    <row r="171" spans="1:17" ht="18.25" customHeight="1" outlineLevel="3">
      <c r="A171" s="778"/>
      <c r="B171" s="5" t="s">
        <v>7</v>
      </c>
      <c r="C171" s="542" t="s">
        <v>246</v>
      </c>
      <c r="D171" s="7" t="s">
        <v>188</v>
      </c>
      <c r="E171" s="8">
        <v>0</v>
      </c>
      <c r="F171" s="9">
        <v>0</v>
      </c>
      <c r="G171" s="8">
        <v>1</v>
      </c>
      <c r="H171" s="10">
        <v>50</v>
      </c>
      <c r="I171" s="310">
        <v>1</v>
      </c>
      <c r="J171" s="405">
        <v>0</v>
      </c>
      <c r="K171" s="409">
        <v>0</v>
      </c>
      <c r="L171" s="781" t="s">
        <v>874</v>
      </c>
    </row>
    <row r="172" spans="1:17" s="65" customFormat="1" ht="18.25" customHeight="1" outlineLevel="2">
      <c r="A172" s="779"/>
      <c r="B172" s="47" t="s">
        <v>7</v>
      </c>
      <c r="C172" s="61" t="s">
        <v>114</v>
      </c>
      <c r="D172" s="26">
        <v>3</v>
      </c>
      <c r="E172" s="62">
        <v>0</v>
      </c>
      <c r="F172" s="63">
        <v>0</v>
      </c>
      <c r="G172" s="62">
        <v>2</v>
      </c>
      <c r="H172" s="64">
        <v>10050</v>
      </c>
      <c r="I172" s="316">
        <v>2</v>
      </c>
      <c r="J172" s="317">
        <v>0</v>
      </c>
      <c r="K172" s="412">
        <v>0</v>
      </c>
      <c r="L172" s="781" t="s">
        <v>874</v>
      </c>
      <c r="M172" s="249" t="s">
        <v>51</v>
      </c>
      <c r="N172" s="249"/>
    </row>
    <row r="173" spans="1:17" ht="18.25" customHeight="1" outlineLevel="3">
      <c r="A173" s="778"/>
      <c r="B173" s="5" t="s">
        <v>7</v>
      </c>
      <c r="C173" s="542" t="s">
        <v>725</v>
      </c>
      <c r="D173" s="7" t="s">
        <v>25</v>
      </c>
      <c r="E173" s="8">
        <v>0</v>
      </c>
      <c r="F173" s="9">
        <v>0</v>
      </c>
      <c r="G173" s="8">
        <v>0</v>
      </c>
      <c r="H173" s="10">
        <v>0</v>
      </c>
      <c r="I173" s="310">
        <v>0</v>
      </c>
      <c r="J173" s="405">
        <v>0</v>
      </c>
      <c r="K173" s="409">
        <v>0</v>
      </c>
      <c r="L173" s="781" t="s">
        <v>874</v>
      </c>
    </row>
    <row r="174" spans="1:17" ht="18.25" customHeight="1" outlineLevel="3">
      <c r="A174" s="778"/>
      <c r="B174" s="5" t="s">
        <v>7</v>
      </c>
      <c r="C174" s="542" t="s">
        <v>714</v>
      </c>
      <c r="D174" s="7" t="s">
        <v>188</v>
      </c>
      <c r="E174" s="8">
        <v>0</v>
      </c>
      <c r="F174" s="9">
        <v>0</v>
      </c>
      <c r="G174" s="8">
        <v>3</v>
      </c>
      <c r="H174" s="10">
        <v>155452</v>
      </c>
      <c r="I174" s="310">
        <v>1</v>
      </c>
      <c r="J174" s="405">
        <v>1</v>
      </c>
      <c r="K174" s="409">
        <v>1</v>
      </c>
      <c r="L174" s="781" t="s">
        <v>874</v>
      </c>
    </row>
    <row r="175" spans="1:17" s="65" customFormat="1" ht="18.25" customHeight="1" outlineLevel="2">
      <c r="A175" s="779"/>
      <c r="B175" s="47" t="s">
        <v>7</v>
      </c>
      <c r="C175" s="61" t="s">
        <v>725</v>
      </c>
      <c r="D175" s="26">
        <v>2</v>
      </c>
      <c r="E175" s="62">
        <v>0</v>
      </c>
      <c r="F175" s="63">
        <v>0</v>
      </c>
      <c r="G175" s="62">
        <v>3</v>
      </c>
      <c r="H175" s="64">
        <v>155452</v>
      </c>
      <c r="I175" s="316">
        <v>1</v>
      </c>
      <c r="J175" s="317">
        <v>1</v>
      </c>
      <c r="K175" s="412">
        <v>1</v>
      </c>
      <c r="L175" s="781" t="s">
        <v>874</v>
      </c>
      <c r="M175" s="249" t="s">
        <v>169</v>
      </c>
      <c r="N175" s="249"/>
    </row>
    <row r="176" spans="1:17" s="1" customFormat="1" ht="18.25" customHeight="1" outlineLevel="3">
      <c r="A176" s="778"/>
      <c r="B176" s="5" t="s">
        <v>7</v>
      </c>
      <c r="C176" s="542" t="s">
        <v>120</v>
      </c>
      <c r="D176" s="7" t="s">
        <v>22</v>
      </c>
      <c r="E176" s="8">
        <v>0</v>
      </c>
      <c r="F176" s="9">
        <v>0</v>
      </c>
      <c r="G176" s="8">
        <v>0</v>
      </c>
      <c r="H176" s="10">
        <v>0</v>
      </c>
      <c r="I176" s="310">
        <v>0</v>
      </c>
      <c r="J176" s="405">
        <v>0</v>
      </c>
      <c r="K176" s="409">
        <v>0</v>
      </c>
      <c r="L176" s="781" t="s">
        <v>874</v>
      </c>
      <c r="O176"/>
      <c r="P176"/>
      <c r="Q176"/>
    </row>
    <row r="177" spans="1:17" s="1" customFormat="1" ht="18.25" customHeight="1" outlineLevel="3">
      <c r="A177" s="778"/>
      <c r="B177" s="5" t="s">
        <v>7</v>
      </c>
      <c r="C177" s="542" t="s">
        <v>121</v>
      </c>
      <c r="D177" s="7" t="s">
        <v>17</v>
      </c>
      <c r="E177" s="8">
        <v>0</v>
      </c>
      <c r="F177" s="9">
        <v>0</v>
      </c>
      <c r="G177" s="8">
        <v>0</v>
      </c>
      <c r="H177" s="10">
        <v>0</v>
      </c>
      <c r="I177" s="310">
        <v>0</v>
      </c>
      <c r="J177" s="405">
        <v>0</v>
      </c>
      <c r="K177" s="409">
        <v>0</v>
      </c>
      <c r="L177" s="781" t="s">
        <v>874</v>
      </c>
      <c r="O177"/>
      <c r="P177"/>
      <c r="Q177"/>
    </row>
    <row r="178" spans="1:17" s="1" customFormat="1" ht="18.25" customHeight="1" outlineLevel="2">
      <c r="A178" s="778"/>
      <c r="B178" s="12" t="s">
        <v>7</v>
      </c>
      <c r="C178" s="13" t="s">
        <v>120</v>
      </c>
      <c r="D178" s="14">
        <v>2</v>
      </c>
      <c r="E178" s="15">
        <v>0</v>
      </c>
      <c r="F178" s="16">
        <v>0</v>
      </c>
      <c r="G178" s="15">
        <v>0</v>
      </c>
      <c r="H178" s="17">
        <v>0</v>
      </c>
      <c r="I178" s="311">
        <v>0</v>
      </c>
      <c r="J178" s="312">
        <v>0</v>
      </c>
      <c r="K178" s="410">
        <v>0</v>
      </c>
      <c r="L178" s="781" t="s">
        <v>874</v>
      </c>
      <c r="M178" s="1" t="s">
        <v>171</v>
      </c>
      <c r="O178"/>
      <c r="P178"/>
      <c r="Q178"/>
    </row>
    <row r="179" spans="1:17" s="1" customFormat="1" ht="18.25" customHeight="1" outlineLevel="2">
      <c r="A179" s="570" t="s">
        <v>845</v>
      </c>
      <c r="B179" s="545" t="s">
        <v>825</v>
      </c>
      <c r="C179" s="546" t="s">
        <v>116</v>
      </c>
      <c r="D179" s="547">
        <v>26</v>
      </c>
      <c r="E179" s="548">
        <v>2</v>
      </c>
      <c r="F179" s="549">
        <v>15960</v>
      </c>
      <c r="G179" s="548">
        <v>25</v>
      </c>
      <c r="H179" s="550">
        <v>708162</v>
      </c>
      <c r="I179" s="551">
        <v>11</v>
      </c>
      <c r="J179" s="552">
        <v>6</v>
      </c>
      <c r="K179" s="553">
        <v>5</v>
      </c>
      <c r="L179" s="781" t="s">
        <v>874</v>
      </c>
      <c r="O179"/>
      <c r="P179"/>
      <c r="Q179"/>
    </row>
    <row r="180" spans="1:17" ht="18.25" customHeight="1" outlineLevel="3">
      <c r="A180" s="778"/>
      <c r="B180" s="5" t="s">
        <v>7</v>
      </c>
      <c r="C180" s="540" t="s">
        <v>111</v>
      </c>
      <c r="D180" s="7" t="s">
        <v>40</v>
      </c>
      <c r="E180" s="8">
        <v>0</v>
      </c>
      <c r="F180" s="9">
        <v>0</v>
      </c>
      <c r="G180" s="8">
        <v>0</v>
      </c>
      <c r="H180" s="10">
        <v>0</v>
      </c>
      <c r="I180" s="310">
        <v>0</v>
      </c>
      <c r="J180" s="405">
        <v>0</v>
      </c>
      <c r="K180" s="409">
        <v>0</v>
      </c>
      <c r="L180" s="782" t="s">
        <v>875</v>
      </c>
    </row>
    <row r="181" spans="1:17" ht="18.25" customHeight="1" outlineLevel="3">
      <c r="A181" s="778"/>
      <c r="B181" s="5" t="s">
        <v>7</v>
      </c>
      <c r="C181" s="540" t="s">
        <v>314</v>
      </c>
      <c r="D181" s="7" t="s">
        <v>27</v>
      </c>
      <c r="E181" s="8">
        <v>0</v>
      </c>
      <c r="F181" s="9">
        <v>0</v>
      </c>
      <c r="G181" s="8">
        <v>0</v>
      </c>
      <c r="H181" s="10">
        <v>0</v>
      </c>
      <c r="I181" s="310">
        <v>0</v>
      </c>
      <c r="J181" s="405">
        <v>0</v>
      </c>
      <c r="K181" s="409">
        <v>0</v>
      </c>
      <c r="L181" s="782" t="s">
        <v>875</v>
      </c>
    </row>
    <row r="182" spans="1:17" ht="18.25" customHeight="1" outlineLevel="3">
      <c r="A182" s="778"/>
      <c r="B182" s="5" t="s">
        <v>7</v>
      </c>
      <c r="C182" s="540" t="s">
        <v>112</v>
      </c>
      <c r="D182" s="7" t="s">
        <v>27</v>
      </c>
      <c r="E182" s="8">
        <v>0</v>
      </c>
      <c r="F182" s="9">
        <v>0</v>
      </c>
      <c r="G182" s="8">
        <v>0</v>
      </c>
      <c r="H182" s="10">
        <v>0</v>
      </c>
      <c r="I182" s="310">
        <v>0</v>
      </c>
      <c r="J182" s="405">
        <v>0</v>
      </c>
      <c r="K182" s="409">
        <v>0</v>
      </c>
      <c r="L182" s="782" t="s">
        <v>875</v>
      </c>
    </row>
    <row r="183" spans="1:17" ht="18.25" customHeight="1" outlineLevel="2">
      <c r="A183" s="778"/>
      <c r="B183" s="12" t="s">
        <v>7</v>
      </c>
      <c r="C183" s="13" t="s">
        <v>111</v>
      </c>
      <c r="D183" s="14">
        <v>3</v>
      </c>
      <c r="E183" s="15">
        <v>0</v>
      </c>
      <c r="F183" s="16">
        <v>0</v>
      </c>
      <c r="G183" s="15">
        <v>0</v>
      </c>
      <c r="H183" s="17">
        <v>0</v>
      </c>
      <c r="I183" s="311">
        <v>0</v>
      </c>
      <c r="J183" s="312">
        <v>0</v>
      </c>
      <c r="K183" s="410">
        <v>0</v>
      </c>
      <c r="L183" s="782" t="s">
        <v>875</v>
      </c>
      <c r="M183" s="1" t="s">
        <v>51</v>
      </c>
    </row>
    <row r="184" spans="1:17" s="1" customFormat="1" ht="18.25" customHeight="1" outlineLevel="3">
      <c r="A184" s="778"/>
      <c r="B184" s="5" t="s">
        <v>7</v>
      </c>
      <c r="C184" s="540" t="s">
        <v>916</v>
      </c>
      <c r="D184" s="7" t="s">
        <v>497</v>
      </c>
      <c r="E184" s="8">
        <v>0</v>
      </c>
      <c r="F184" s="9">
        <v>0</v>
      </c>
      <c r="G184" s="8">
        <v>0</v>
      </c>
      <c r="H184" s="10">
        <v>0</v>
      </c>
      <c r="I184" s="310">
        <v>0</v>
      </c>
      <c r="J184" s="405">
        <v>0</v>
      </c>
      <c r="K184" s="409">
        <v>0</v>
      </c>
      <c r="L184" s="782" t="s">
        <v>844</v>
      </c>
      <c r="O184"/>
      <c r="P184"/>
      <c r="Q184"/>
    </row>
    <row r="185" spans="1:17" s="1" customFormat="1" ht="18.25" customHeight="1" outlineLevel="2">
      <c r="A185" s="778"/>
      <c r="B185" s="12" t="s">
        <v>7</v>
      </c>
      <c r="C185" s="13" t="s">
        <v>916</v>
      </c>
      <c r="D185" s="14">
        <v>1</v>
      </c>
      <c r="E185" s="15">
        <v>0</v>
      </c>
      <c r="F185" s="16">
        <v>0</v>
      </c>
      <c r="G185" s="15">
        <v>0</v>
      </c>
      <c r="H185" s="17">
        <v>0</v>
      </c>
      <c r="I185" s="311">
        <v>0</v>
      </c>
      <c r="J185" s="312">
        <v>0</v>
      </c>
      <c r="K185" s="410">
        <v>0</v>
      </c>
      <c r="L185" s="782" t="s">
        <v>844</v>
      </c>
      <c r="M185" s="1" t="s">
        <v>355</v>
      </c>
      <c r="O185"/>
      <c r="P185"/>
      <c r="Q185"/>
    </row>
    <row r="186" spans="1:17" ht="18.25" customHeight="1" outlineLevel="3">
      <c r="A186" s="778"/>
      <c r="B186" s="5" t="s">
        <v>7</v>
      </c>
      <c r="C186" s="540" t="s">
        <v>119</v>
      </c>
      <c r="D186" s="7" t="s">
        <v>17</v>
      </c>
      <c r="E186" s="8">
        <v>0</v>
      </c>
      <c r="F186" s="9">
        <v>0</v>
      </c>
      <c r="G186" s="8">
        <v>0</v>
      </c>
      <c r="H186" s="10">
        <v>0</v>
      </c>
      <c r="I186" s="310">
        <v>0</v>
      </c>
      <c r="J186" s="405">
        <v>0</v>
      </c>
      <c r="K186" s="409">
        <v>0</v>
      </c>
      <c r="L186" s="782" t="s">
        <v>875</v>
      </c>
    </row>
    <row r="187" spans="1:17" ht="18.25" customHeight="1" outlineLevel="3">
      <c r="A187" s="778"/>
      <c r="B187" s="558"/>
      <c r="C187" s="559"/>
      <c r="D187" s="559">
        <v>1</v>
      </c>
      <c r="E187" s="561">
        <v>0</v>
      </c>
      <c r="F187" s="560">
        <v>0</v>
      </c>
      <c r="G187" s="558">
        <v>0</v>
      </c>
      <c r="H187" s="560">
        <v>0</v>
      </c>
      <c r="I187" s="558">
        <v>0</v>
      </c>
      <c r="J187" s="20">
        <v>0</v>
      </c>
      <c r="K187" s="20">
        <v>0</v>
      </c>
      <c r="L187" s="782" t="s">
        <v>875</v>
      </c>
    </row>
    <row r="188" spans="1:17" s="1" customFormat="1" ht="18.25" customHeight="1" outlineLevel="3">
      <c r="A188" s="778"/>
      <c r="B188" s="5" t="s">
        <v>7</v>
      </c>
      <c r="C188" s="544" t="s">
        <v>526</v>
      </c>
      <c r="D188" s="23" t="s">
        <v>40</v>
      </c>
      <c r="E188" s="8">
        <v>0</v>
      </c>
      <c r="F188" s="9">
        <v>0</v>
      </c>
      <c r="G188" s="8">
        <v>0</v>
      </c>
      <c r="H188" s="10">
        <v>0</v>
      </c>
      <c r="I188" s="310">
        <v>0</v>
      </c>
      <c r="J188" s="405">
        <v>0</v>
      </c>
      <c r="K188" s="409">
        <v>0</v>
      </c>
      <c r="L188" s="782" t="s">
        <v>875</v>
      </c>
      <c r="O188"/>
      <c r="P188"/>
      <c r="Q188"/>
    </row>
    <row r="189" spans="1:17" s="1" customFormat="1" ht="18.25" customHeight="1" outlineLevel="3">
      <c r="A189" s="778"/>
      <c r="B189" s="41" t="s">
        <v>7</v>
      </c>
      <c r="C189" s="540" t="s">
        <v>922</v>
      </c>
      <c r="D189" s="23" t="s">
        <v>188</v>
      </c>
      <c r="E189" s="8">
        <v>2</v>
      </c>
      <c r="F189" s="9">
        <v>22808</v>
      </c>
      <c r="G189" s="8">
        <v>5</v>
      </c>
      <c r="H189" s="10">
        <v>59644</v>
      </c>
      <c r="I189" s="310">
        <v>1</v>
      </c>
      <c r="J189" s="405">
        <v>1</v>
      </c>
      <c r="K189" s="409">
        <v>1</v>
      </c>
      <c r="L189" s="782" t="s">
        <v>844</v>
      </c>
      <c r="O189"/>
      <c r="P189"/>
      <c r="Q189"/>
    </row>
    <row r="190" spans="1:17" s="1" customFormat="1" ht="18.25" customHeight="1" outlineLevel="3">
      <c r="A190" s="778"/>
      <c r="B190" s="41" t="s">
        <v>7</v>
      </c>
      <c r="C190" s="540" t="s">
        <v>757</v>
      </c>
      <c r="D190" s="23" t="s">
        <v>188</v>
      </c>
      <c r="E190" s="8">
        <v>0</v>
      </c>
      <c r="F190" s="9">
        <v>0</v>
      </c>
      <c r="G190" s="8">
        <v>0</v>
      </c>
      <c r="H190" s="10">
        <v>0</v>
      </c>
      <c r="I190" s="310">
        <v>0</v>
      </c>
      <c r="J190" s="405">
        <v>0</v>
      </c>
      <c r="K190" s="409">
        <v>0</v>
      </c>
      <c r="L190" s="782" t="s">
        <v>875</v>
      </c>
      <c r="O190"/>
      <c r="P190"/>
      <c r="Q190"/>
    </row>
    <row r="191" spans="1:17" s="1" customFormat="1" ht="18.25" customHeight="1" outlineLevel="3">
      <c r="A191" s="778"/>
      <c r="B191" s="41" t="s">
        <v>7</v>
      </c>
      <c r="C191" s="540" t="s">
        <v>528</v>
      </c>
      <c r="D191" s="23" t="s">
        <v>188</v>
      </c>
      <c r="E191" s="8">
        <v>0</v>
      </c>
      <c r="F191" s="9">
        <v>0</v>
      </c>
      <c r="G191" s="8">
        <v>5</v>
      </c>
      <c r="H191" s="10">
        <v>43426</v>
      </c>
      <c r="I191" s="310">
        <v>1</v>
      </c>
      <c r="J191" s="405">
        <v>1</v>
      </c>
      <c r="K191" s="409">
        <v>1</v>
      </c>
      <c r="L191" s="782" t="s">
        <v>875</v>
      </c>
      <c r="O191"/>
      <c r="P191"/>
      <c r="Q191"/>
    </row>
    <row r="192" spans="1:17" s="1" customFormat="1" ht="18.25" customHeight="1" outlineLevel="2">
      <c r="A192" s="778"/>
      <c r="B192" s="12" t="s">
        <v>7</v>
      </c>
      <c r="C192" s="13" t="s">
        <v>527</v>
      </c>
      <c r="D192" s="14">
        <v>4</v>
      </c>
      <c r="E192" s="15">
        <v>2</v>
      </c>
      <c r="F192" s="16">
        <v>22808</v>
      </c>
      <c r="G192" s="15">
        <v>10</v>
      </c>
      <c r="H192" s="17">
        <v>103070</v>
      </c>
      <c r="I192" s="311">
        <v>2</v>
      </c>
      <c r="J192" s="312">
        <v>2</v>
      </c>
      <c r="K192" s="410">
        <v>2</v>
      </c>
      <c r="L192" s="782" t="s">
        <v>875</v>
      </c>
      <c r="M192" s="1" t="s">
        <v>51</v>
      </c>
      <c r="O192"/>
      <c r="P192"/>
      <c r="Q192"/>
    </row>
    <row r="193" spans="1:17" s="1" customFormat="1" ht="18.25" customHeight="1" outlineLevel="3">
      <c r="A193" s="778"/>
      <c r="B193" s="5" t="s">
        <v>7</v>
      </c>
      <c r="C193" s="540" t="s">
        <v>108</v>
      </c>
      <c r="D193" s="7" t="s">
        <v>40</v>
      </c>
      <c r="E193" s="8">
        <v>0</v>
      </c>
      <c r="F193" s="9">
        <v>0</v>
      </c>
      <c r="G193" s="8">
        <v>2</v>
      </c>
      <c r="H193" s="10">
        <v>47161</v>
      </c>
      <c r="I193" s="310">
        <v>1</v>
      </c>
      <c r="J193" s="405">
        <v>1</v>
      </c>
      <c r="K193" s="409">
        <v>1</v>
      </c>
      <c r="L193" s="782" t="s">
        <v>875</v>
      </c>
      <c r="O193"/>
      <c r="P193"/>
      <c r="Q193"/>
    </row>
    <row r="194" spans="1:17" s="1" customFormat="1" ht="18.25" customHeight="1" outlineLevel="2">
      <c r="A194" s="778"/>
      <c r="B194" s="12" t="s">
        <v>7</v>
      </c>
      <c r="C194" s="13" t="s">
        <v>110</v>
      </c>
      <c r="D194" s="14">
        <v>1</v>
      </c>
      <c r="E194" s="15">
        <v>0</v>
      </c>
      <c r="F194" s="16">
        <v>0</v>
      </c>
      <c r="G194" s="15">
        <v>2</v>
      </c>
      <c r="H194" s="17">
        <v>47161</v>
      </c>
      <c r="I194" s="311">
        <v>1</v>
      </c>
      <c r="J194" s="312">
        <v>1</v>
      </c>
      <c r="K194" s="410">
        <v>1</v>
      </c>
      <c r="L194" s="782" t="s">
        <v>875</v>
      </c>
      <c r="M194" s="1" t="s">
        <v>51</v>
      </c>
      <c r="O194"/>
      <c r="P194"/>
      <c r="Q194"/>
    </row>
    <row r="195" spans="1:17" s="1" customFormat="1" ht="18.25" customHeight="1" outlineLevel="3">
      <c r="A195" s="778"/>
      <c r="B195" s="5" t="s">
        <v>7</v>
      </c>
      <c r="C195" s="540" t="s">
        <v>211</v>
      </c>
      <c r="D195" s="7" t="s">
        <v>221</v>
      </c>
      <c r="E195" s="8">
        <v>0</v>
      </c>
      <c r="F195" s="9">
        <v>0</v>
      </c>
      <c r="G195" s="8">
        <v>2</v>
      </c>
      <c r="H195" s="10">
        <v>38400</v>
      </c>
      <c r="I195" s="310">
        <v>1</v>
      </c>
      <c r="J195" s="405">
        <v>1</v>
      </c>
      <c r="K195" s="409">
        <v>1</v>
      </c>
      <c r="L195" s="782" t="s">
        <v>875</v>
      </c>
      <c r="O195"/>
      <c r="P195"/>
      <c r="Q195"/>
    </row>
    <row r="196" spans="1:17" s="1" customFormat="1" ht="18.25" customHeight="1" outlineLevel="3">
      <c r="A196" s="778"/>
      <c r="B196" s="5" t="s">
        <v>7</v>
      </c>
      <c r="C196" s="540" t="s">
        <v>300</v>
      </c>
      <c r="D196" s="7" t="s">
        <v>17</v>
      </c>
      <c r="E196" s="8">
        <v>0</v>
      </c>
      <c r="F196" s="9">
        <v>0</v>
      </c>
      <c r="G196" s="8">
        <v>0</v>
      </c>
      <c r="H196" s="10">
        <v>0</v>
      </c>
      <c r="I196" s="310">
        <v>0</v>
      </c>
      <c r="J196" s="405">
        <v>0</v>
      </c>
      <c r="K196" s="409">
        <v>0</v>
      </c>
      <c r="L196" s="782" t="s">
        <v>844</v>
      </c>
      <c r="O196"/>
      <c r="P196"/>
      <c r="Q196"/>
    </row>
    <row r="197" spans="1:17" s="1" customFormat="1" ht="18.25" customHeight="1" outlineLevel="3">
      <c r="A197" s="778"/>
      <c r="B197" s="5" t="s">
        <v>7</v>
      </c>
      <c r="C197" s="540" t="s">
        <v>109</v>
      </c>
      <c r="D197" s="7" t="s">
        <v>17</v>
      </c>
      <c r="E197" s="8">
        <v>0</v>
      </c>
      <c r="F197" s="9">
        <v>0</v>
      </c>
      <c r="G197" s="8">
        <v>1</v>
      </c>
      <c r="H197" s="10">
        <v>18153</v>
      </c>
      <c r="I197" s="310">
        <v>1</v>
      </c>
      <c r="J197" s="405">
        <v>1</v>
      </c>
      <c r="K197" s="409">
        <v>0</v>
      </c>
      <c r="L197" s="782" t="s">
        <v>844</v>
      </c>
      <c r="O197"/>
      <c r="P197"/>
      <c r="Q197"/>
    </row>
    <row r="198" spans="1:17" s="1" customFormat="1" ht="18.25" customHeight="1" outlineLevel="3">
      <c r="A198" s="778"/>
      <c r="B198" s="5" t="s">
        <v>7</v>
      </c>
      <c r="C198" s="540" t="s">
        <v>284</v>
      </c>
      <c r="D198" s="7" t="s">
        <v>27</v>
      </c>
      <c r="E198" s="8">
        <v>0</v>
      </c>
      <c r="F198" s="9">
        <v>0</v>
      </c>
      <c r="G198" s="8">
        <v>1</v>
      </c>
      <c r="H198" s="10">
        <v>37226</v>
      </c>
      <c r="I198" s="310">
        <v>1</v>
      </c>
      <c r="J198" s="405">
        <v>1</v>
      </c>
      <c r="K198" s="409">
        <v>1</v>
      </c>
      <c r="L198" s="782" t="s">
        <v>875</v>
      </c>
      <c r="O198"/>
      <c r="P198"/>
      <c r="Q198"/>
    </row>
    <row r="199" spans="1:17" s="1" customFormat="1" ht="18.25" customHeight="1" outlineLevel="3">
      <c r="A199" s="778"/>
      <c r="B199" s="5" t="s">
        <v>7</v>
      </c>
      <c r="C199" s="540" t="s">
        <v>623</v>
      </c>
      <c r="D199" s="7" t="s">
        <v>27</v>
      </c>
      <c r="E199" s="8">
        <v>0</v>
      </c>
      <c r="F199" s="9">
        <v>0</v>
      </c>
      <c r="G199" s="8">
        <v>0</v>
      </c>
      <c r="H199" s="10">
        <v>0</v>
      </c>
      <c r="I199" s="310">
        <v>0</v>
      </c>
      <c r="J199" s="405">
        <v>0</v>
      </c>
      <c r="K199" s="409">
        <v>0</v>
      </c>
      <c r="L199" s="782" t="s">
        <v>875</v>
      </c>
      <c r="O199"/>
      <c r="P199"/>
      <c r="Q199"/>
    </row>
    <row r="200" spans="1:17" s="1" customFormat="1" ht="18.25" customHeight="1" outlineLevel="2">
      <c r="A200" s="778"/>
      <c r="B200" s="12" t="s">
        <v>7</v>
      </c>
      <c r="C200" s="13" t="s">
        <v>211</v>
      </c>
      <c r="D200" s="14">
        <v>5</v>
      </c>
      <c r="E200" s="15">
        <v>0</v>
      </c>
      <c r="F200" s="16">
        <v>0</v>
      </c>
      <c r="G200" s="15">
        <v>4</v>
      </c>
      <c r="H200" s="17">
        <v>93779</v>
      </c>
      <c r="I200" s="311">
        <v>3</v>
      </c>
      <c r="J200" s="312">
        <v>3</v>
      </c>
      <c r="K200" s="410">
        <v>2</v>
      </c>
      <c r="L200" s="782" t="s">
        <v>875</v>
      </c>
      <c r="M200" s="1" t="s">
        <v>51</v>
      </c>
      <c r="O200"/>
      <c r="P200"/>
      <c r="Q200"/>
    </row>
    <row r="201" spans="1:17" s="1" customFormat="1" ht="18.25" customHeight="1" outlineLevel="3">
      <c r="A201" s="778"/>
      <c r="B201" s="5" t="s">
        <v>7</v>
      </c>
      <c r="C201" s="540" t="s">
        <v>212</v>
      </c>
      <c r="D201" s="7" t="s">
        <v>40</v>
      </c>
      <c r="E201" s="8">
        <v>0</v>
      </c>
      <c r="F201" s="9">
        <v>0</v>
      </c>
      <c r="G201" s="8">
        <v>2</v>
      </c>
      <c r="H201" s="10">
        <v>89522</v>
      </c>
      <c r="I201" s="310">
        <v>1</v>
      </c>
      <c r="J201" s="405">
        <v>1</v>
      </c>
      <c r="K201" s="409">
        <v>1</v>
      </c>
      <c r="L201" s="782" t="s">
        <v>875</v>
      </c>
      <c r="O201"/>
      <c r="P201"/>
      <c r="Q201"/>
    </row>
    <row r="202" spans="1:17" ht="18.25" customHeight="1" outlineLevel="3">
      <c r="A202" s="778"/>
      <c r="B202" s="5" t="s">
        <v>7</v>
      </c>
      <c r="C202" s="540" t="s">
        <v>798</v>
      </c>
      <c r="D202" s="7" t="s">
        <v>17</v>
      </c>
      <c r="E202" s="8">
        <v>0</v>
      </c>
      <c r="F202" s="9">
        <v>0</v>
      </c>
      <c r="G202" s="8">
        <v>0</v>
      </c>
      <c r="H202" s="10">
        <v>0</v>
      </c>
      <c r="I202" s="310">
        <v>0</v>
      </c>
      <c r="J202" s="405">
        <v>0</v>
      </c>
      <c r="K202" s="409">
        <v>0</v>
      </c>
      <c r="L202" s="782" t="s">
        <v>875</v>
      </c>
    </row>
    <row r="203" spans="1:17" ht="18.25" customHeight="1" outlineLevel="3">
      <c r="A203" s="778"/>
      <c r="B203" s="5" t="s">
        <v>7</v>
      </c>
      <c r="C203" s="540" t="s">
        <v>315</v>
      </c>
      <c r="D203" s="7" t="s">
        <v>17</v>
      </c>
      <c r="E203" s="8">
        <v>0</v>
      </c>
      <c r="F203" s="9">
        <v>0</v>
      </c>
      <c r="G203" s="8">
        <v>1</v>
      </c>
      <c r="H203" s="10">
        <v>33819</v>
      </c>
      <c r="I203" s="310">
        <v>1</v>
      </c>
      <c r="J203" s="405">
        <v>1</v>
      </c>
      <c r="K203" s="409">
        <v>1</v>
      </c>
      <c r="L203" s="782" t="s">
        <v>875</v>
      </c>
    </row>
    <row r="204" spans="1:17" ht="18.25" customHeight="1" outlineLevel="3">
      <c r="A204" s="778"/>
      <c r="B204" s="5" t="s">
        <v>7</v>
      </c>
      <c r="C204" s="540" t="s">
        <v>245</v>
      </c>
      <c r="D204" s="7" t="s">
        <v>17</v>
      </c>
      <c r="E204" s="8">
        <v>0</v>
      </c>
      <c r="F204" s="9">
        <v>0</v>
      </c>
      <c r="G204" s="8">
        <v>0</v>
      </c>
      <c r="H204" s="10">
        <v>0</v>
      </c>
      <c r="I204" s="310">
        <v>0</v>
      </c>
      <c r="J204" s="405">
        <v>0</v>
      </c>
      <c r="K204" s="409">
        <v>0</v>
      </c>
      <c r="L204" s="782" t="s">
        <v>875</v>
      </c>
    </row>
    <row r="205" spans="1:17" s="65" customFormat="1" ht="18.25" customHeight="1" outlineLevel="2">
      <c r="A205" s="779"/>
      <c r="B205" s="47" t="s">
        <v>7</v>
      </c>
      <c r="C205" s="61" t="s">
        <v>212</v>
      </c>
      <c r="D205" s="26">
        <v>4</v>
      </c>
      <c r="E205" s="62">
        <v>0</v>
      </c>
      <c r="F205" s="63">
        <v>0</v>
      </c>
      <c r="G205" s="62">
        <v>3</v>
      </c>
      <c r="H205" s="64">
        <v>123341</v>
      </c>
      <c r="I205" s="316">
        <v>2</v>
      </c>
      <c r="J205" s="317">
        <v>2</v>
      </c>
      <c r="K205" s="412">
        <v>2</v>
      </c>
      <c r="L205" s="782" t="s">
        <v>875</v>
      </c>
      <c r="M205" s="249" t="s">
        <v>51</v>
      </c>
      <c r="N205" s="249"/>
    </row>
    <row r="206" spans="1:17" ht="18.25" customHeight="1" outlineLevel="3">
      <c r="A206" s="778"/>
      <c r="B206" s="5" t="s">
        <v>7</v>
      </c>
      <c r="C206" s="540" t="s">
        <v>375</v>
      </c>
      <c r="D206" s="7" t="s">
        <v>25</v>
      </c>
      <c r="E206" s="8">
        <v>0</v>
      </c>
      <c r="F206" s="9">
        <v>0</v>
      </c>
      <c r="G206" s="8">
        <v>3</v>
      </c>
      <c r="H206" s="10">
        <v>39443</v>
      </c>
      <c r="I206" s="310">
        <v>1</v>
      </c>
      <c r="J206" s="405">
        <v>1</v>
      </c>
      <c r="K206" s="409">
        <v>1</v>
      </c>
      <c r="L206" s="782" t="s">
        <v>875</v>
      </c>
    </row>
    <row r="207" spans="1:17" ht="18.25" customHeight="1" outlineLevel="3">
      <c r="A207" s="778"/>
      <c r="B207" s="5" t="s">
        <v>7</v>
      </c>
      <c r="C207" s="540" t="s">
        <v>750</v>
      </c>
      <c r="D207" s="7" t="s">
        <v>17</v>
      </c>
      <c r="E207" s="8">
        <v>0</v>
      </c>
      <c r="F207" s="9">
        <v>0</v>
      </c>
      <c r="G207" s="8">
        <v>2</v>
      </c>
      <c r="H207" s="10">
        <v>12998</v>
      </c>
      <c r="I207" s="310">
        <v>1</v>
      </c>
      <c r="J207" s="405">
        <v>1</v>
      </c>
      <c r="K207" s="409">
        <v>0</v>
      </c>
      <c r="L207" s="782" t="s">
        <v>875</v>
      </c>
    </row>
    <row r="208" spans="1:17" s="65" customFormat="1" ht="18.25" customHeight="1" outlineLevel="2">
      <c r="A208" s="779"/>
      <c r="B208" s="47" t="s">
        <v>7</v>
      </c>
      <c r="C208" s="61" t="s">
        <v>375</v>
      </c>
      <c r="D208" s="26">
        <v>2</v>
      </c>
      <c r="E208" s="62">
        <v>0</v>
      </c>
      <c r="F208" s="63">
        <v>0</v>
      </c>
      <c r="G208" s="62">
        <v>5</v>
      </c>
      <c r="H208" s="64">
        <v>52441</v>
      </c>
      <c r="I208" s="316">
        <v>2</v>
      </c>
      <c r="J208" s="317">
        <v>2</v>
      </c>
      <c r="K208" s="412">
        <v>1</v>
      </c>
      <c r="L208" s="782" t="s">
        <v>875</v>
      </c>
      <c r="M208" s="249" t="s">
        <v>169</v>
      </c>
      <c r="N208" s="249"/>
    </row>
    <row r="209" spans="1:17" ht="18.25" customHeight="1" outlineLevel="3">
      <c r="A209" s="778"/>
      <c r="B209" s="5" t="s">
        <v>7</v>
      </c>
      <c r="C209" s="540" t="s">
        <v>198</v>
      </c>
      <c r="D209" s="7" t="s">
        <v>22</v>
      </c>
      <c r="E209" s="8">
        <v>0</v>
      </c>
      <c r="F209" s="9">
        <v>0</v>
      </c>
      <c r="G209" s="8">
        <v>1</v>
      </c>
      <c r="H209" s="10">
        <v>112051</v>
      </c>
      <c r="I209" s="310">
        <v>1</v>
      </c>
      <c r="J209" s="405">
        <v>1</v>
      </c>
      <c r="K209" s="409">
        <v>1</v>
      </c>
      <c r="L209" s="782" t="s">
        <v>875</v>
      </c>
    </row>
    <row r="210" spans="1:17" ht="18.25" customHeight="1" outlineLevel="3">
      <c r="A210" s="778"/>
      <c r="B210" s="5" t="s">
        <v>7</v>
      </c>
      <c r="C210" s="540" t="s">
        <v>741</v>
      </c>
      <c r="D210" s="7" t="s">
        <v>17</v>
      </c>
      <c r="E210" s="8">
        <v>0</v>
      </c>
      <c r="F210" s="9">
        <v>0</v>
      </c>
      <c r="G210" s="8">
        <v>0</v>
      </c>
      <c r="H210" s="10">
        <v>0</v>
      </c>
      <c r="I210" s="310">
        <v>0</v>
      </c>
      <c r="J210" s="405">
        <v>0</v>
      </c>
      <c r="K210" s="409">
        <v>0</v>
      </c>
      <c r="L210" s="782" t="s">
        <v>875</v>
      </c>
    </row>
    <row r="211" spans="1:17" ht="18.25" customHeight="1" outlineLevel="3">
      <c r="A211" s="778"/>
      <c r="B211" s="5" t="s">
        <v>7</v>
      </c>
      <c r="C211" s="540" t="s">
        <v>236</v>
      </c>
      <c r="D211" s="7" t="s">
        <v>17</v>
      </c>
      <c r="E211" s="8">
        <v>0</v>
      </c>
      <c r="F211" s="9">
        <v>0</v>
      </c>
      <c r="G211" s="8">
        <v>0</v>
      </c>
      <c r="H211" s="10">
        <v>0</v>
      </c>
      <c r="I211" s="310">
        <v>0</v>
      </c>
      <c r="J211" s="405">
        <v>0</v>
      </c>
      <c r="K211" s="409">
        <v>0</v>
      </c>
      <c r="L211" s="782" t="s">
        <v>875</v>
      </c>
    </row>
    <row r="212" spans="1:17" ht="18.25" customHeight="1" outlineLevel="2">
      <c r="A212" s="778"/>
      <c r="B212" s="12" t="s">
        <v>7</v>
      </c>
      <c r="C212" s="13" t="s">
        <v>233</v>
      </c>
      <c r="D212" s="14">
        <v>3</v>
      </c>
      <c r="E212" s="15">
        <v>0</v>
      </c>
      <c r="F212" s="16">
        <v>0</v>
      </c>
      <c r="G212" s="15">
        <v>1</v>
      </c>
      <c r="H212" s="17">
        <v>112051</v>
      </c>
      <c r="I212" s="311">
        <v>1</v>
      </c>
      <c r="J212" s="312">
        <v>1</v>
      </c>
      <c r="K212" s="410">
        <v>1</v>
      </c>
      <c r="L212" s="782" t="s">
        <v>875</v>
      </c>
      <c r="M212" s="1" t="s">
        <v>171</v>
      </c>
    </row>
    <row r="213" spans="1:17" ht="18.25" customHeight="1" outlineLevel="3">
      <c r="A213" s="778"/>
      <c r="B213" s="5" t="s">
        <v>7</v>
      </c>
      <c r="C213" s="540" t="s">
        <v>660</v>
      </c>
      <c r="D213" s="7" t="s">
        <v>307</v>
      </c>
      <c r="E213" s="8">
        <v>0</v>
      </c>
      <c r="F213" s="9">
        <v>0</v>
      </c>
      <c r="G213" s="8">
        <v>2</v>
      </c>
      <c r="H213" s="10">
        <v>328105</v>
      </c>
      <c r="I213" s="310">
        <v>1</v>
      </c>
      <c r="J213" s="405">
        <v>1</v>
      </c>
      <c r="K213" s="409">
        <v>1</v>
      </c>
      <c r="L213" s="782" t="s">
        <v>844</v>
      </c>
    </row>
    <row r="214" spans="1:17" ht="18.25" customHeight="1" outlineLevel="2">
      <c r="A214" s="778"/>
      <c r="B214" s="12" t="s">
        <v>7</v>
      </c>
      <c r="C214" s="13" t="s">
        <v>660</v>
      </c>
      <c r="D214" s="14">
        <v>1</v>
      </c>
      <c r="E214" s="15">
        <v>0</v>
      </c>
      <c r="F214" s="16">
        <v>0</v>
      </c>
      <c r="G214" s="15">
        <v>2</v>
      </c>
      <c r="H214" s="17">
        <v>328105</v>
      </c>
      <c r="I214" s="311">
        <v>1</v>
      </c>
      <c r="J214" s="312">
        <v>1</v>
      </c>
      <c r="K214" s="410">
        <v>1</v>
      </c>
      <c r="L214" s="782" t="s">
        <v>844</v>
      </c>
      <c r="M214" s="1" t="s">
        <v>668</v>
      </c>
    </row>
    <row r="215" spans="1:17" s="1" customFormat="1" ht="18.25" customHeight="1" outlineLevel="3">
      <c r="A215" s="778"/>
      <c r="B215" s="5" t="s">
        <v>7</v>
      </c>
      <c r="C215" s="540" t="s">
        <v>118</v>
      </c>
      <c r="D215" s="19" t="s">
        <v>307</v>
      </c>
      <c r="E215" s="8">
        <v>0</v>
      </c>
      <c r="F215" s="9">
        <v>0</v>
      </c>
      <c r="G215" s="8">
        <v>0</v>
      </c>
      <c r="H215" s="10">
        <v>0</v>
      </c>
      <c r="I215" s="310">
        <v>0</v>
      </c>
      <c r="J215" s="405">
        <v>0</v>
      </c>
      <c r="K215" s="409">
        <v>0</v>
      </c>
      <c r="L215" s="782" t="s">
        <v>875</v>
      </c>
      <c r="O215"/>
      <c r="P215"/>
      <c r="Q215"/>
    </row>
    <row r="216" spans="1:17" s="1" customFormat="1" ht="18.25" customHeight="1" outlineLevel="2">
      <c r="A216" s="778"/>
      <c r="B216" s="12" t="s">
        <v>7</v>
      </c>
      <c r="C216" s="13" t="s">
        <v>118</v>
      </c>
      <c r="D216" s="14">
        <v>1</v>
      </c>
      <c r="E216" s="15">
        <v>0</v>
      </c>
      <c r="F216" s="16">
        <v>0</v>
      </c>
      <c r="G216" s="15">
        <v>0</v>
      </c>
      <c r="H216" s="17">
        <v>0</v>
      </c>
      <c r="I216" s="311">
        <v>0</v>
      </c>
      <c r="J216" s="312">
        <v>0</v>
      </c>
      <c r="K216" s="410">
        <v>0</v>
      </c>
      <c r="L216" s="782" t="s">
        <v>875</v>
      </c>
      <c r="M216" s="1" t="s">
        <v>668</v>
      </c>
      <c r="O216"/>
      <c r="P216"/>
      <c r="Q216"/>
    </row>
    <row r="217" spans="1:17" s="1" customFormat="1" ht="18.25" customHeight="1" outlineLevel="3">
      <c r="A217" s="778"/>
      <c r="B217" s="5" t="s">
        <v>7</v>
      </c>
      <c r="C217" s="540" t="s">
        <v>569</v>
      </c>
      <c r="D217" s="19" t="s">
        <v>307</v>
      </c>
      <c r="E217" s="8">
        <v>0</v>
      </c>
      <c r="F217" s="9">
        <v>0</v>
      </c>
      <c r="G217" s="8">
        <v>0</v>
      </c>
      <c r="H217" s="10">
        <v>0</v>
      </c>
      <c r="I217" s="310">
        <v>0</v>
      </c>
      <c r="J217" s="405">
        <v>0</v>
      </c>
      <c r="K217" s="409">
        <v>0</v>
      </c>
      <c r="L217" s="782" t="s">
        <v>875</v>
      </c>
      <c r="O217"/>
      <c r="P217"/>
      <c r="Q217"/>
    </row>
    <row r="218" spans="1:17" s="1" customFormat="1" ht="18.25" customHeight="1" outlineLevel="2">
      <c r="A218" s="778"/>
      <c r="B218" s="12" t="s">
        <v>7</v>
      </c>
      <c r="C218" s="13" t="s">
        <v>569</v>
      </c>
      <c r="D218" s="14">
        <v>1</v>
      </c>
      <c r="E218" s="15">
        <v>0</v>
      </c>
      <c r="F218" s="16">
        <v>0</v>
      </c>
      <c r="G218" s="15">
        <v>0</v>
      </c>
      <c r="H218" s="17">
        <v>0</v>
      </c>
      <c r="I218" s="311">
        <v>0</v>
      </c>
      <c r="J218" s="312">
        <v>0</v>
      </c>
      <c r="K218" s="410">
        <v>0</v>
      </c>
      <c r="L218" s="782" t="s">
        <v>875</v>
      </c>
      <c r="M218" s="1" t="s">
        <v>668</v>
      </c>
      <c r="O218"/>
      <c r="P218"/>
      <c r="Q218"/>
    </row>
    <row r="219" spans="1:17" s="1" customFormat="1" ht="18.25" customHeight="1" outlineLevel="3">
      <c r="A219" s="778"/>
      <c r="B219" s="5" t="s">
        <v>185</v>
      </c>
      <c r="C219" s="540" t="s">
        <v>93</v>
      </c>
      <c r="D219" s="7" t="s">
        <v>40</v>
      </c>
      <c r="E219" s="8">
        <v>0</v>
      </c>
      <c r="F219" s="9">
        <v>0</v>
      </c>
      <c r="G219" s="8">
        <v>0</v>
      </c>
      <c r="H219" s="10">
        <v>0</v>
      </c>
      <c r="I219" s="310">
        <v>0</v>
      </c>
      <c r="J219" s="405">
        <v>0</v>
      </c>
      <c r="K219" s="409">
        <v>0</v>
      </c>
      <c r="L219" s="782" t="s">
        <v>875</v>
      </c>
      <c r="O219"/>
      <c r="P219"/>
      <c r="Q219"/>
    </row>
    <row r="220" spans="1:17" s="1" customFormat="1" ht="18.25" customHeight="1" outlineLevel="3">
      <c r="A220" s="778"/>
      <c r="B220" s="5" t="s">
        <v>185</v>
      </c>
      <c r="C220" s="540" t="s">
        <v>752</v>
      </c>
      <c r="D220" s="7" t="s">
        <v>17</v>
      </c>
      <c r="E220" s="8">
        <v>0</v>
      </c>
      <c r="F220" s="9">
        <v>0</v>
      </c>
      <c r="G220" s="8">
        <v>0</v>
      </c>
      <c r="H220" s="10">
        <v>0</v>
      </c>
      <c r="I220" s="310">
        <v>0</v>
      </c>
      <c r="J220" s="405">
        <v>0</v>
      </c>
      <c r="K220" s="409">
        <v>0</v>
      </c>
      <c r="L220" s="782" t="s">
        <v>875</v>
      </c>
      <c r="O220"/>
      <c r="P220"/>
      <c r="Q220"/>
    </row>
    <row r="221" spans="1:17" s="1" customFormat="1" ht="18.25" customHeight="1" outlineLevel="3">
      <c r="A221" s="778"/>
      <c r="B221" s="5" t="s">
        <v>185</v>
      </c>
      <c r="C221" s="540" t="s">
        <v>94</v>
      </c>
      <c r="D221" s="7" t="s">
        <v>17</v>
      </c>
      <c r="E221" s="8">
        <v>1</v>
      </c>
      <c r="F221" s="9">
        <v>39434</v>
      </c>
      <c r="G221" s="8">
        <v>2</v>
      </c>
      <c r="H221" s="10">
        <v>59361</v>
      </c>
      <c r="I221" s="310">
        <v>1</v>
      </c>
      <c r="J221" s="405">
        <v>1</v>
      </c>
      <c r="K221" s="409">
        <v>1</v>
      </c>
      <c r="L221" s="782" t="s">
        <v>875</v>
      </c>
      <c r="O221"/>
      <c r="P221"/>
      <c r="Q221"/>
    </row>
    <row r="222" spans="1:17" s="1" customFormat="1" ht="18.25" customHeight="1" outlineLevel="3">
      <c r="A222" s="778"/>
      <c r="B222" s="5" t="s">
        <v>185</v>
      </c>
      <c r="C222" s="540" t="s">
        <v>657</v>
      </c>
      <c r="D222" s="7" t="s">
        <v>17</v>
      </c>
      <c r="E222" s="8">
        <v>0</v>
      </c>
      <c r="F222" s="9">
        <v>0</v>
      </c>
      <c r="G222" s="8">
        <v>0</v>
      </c>
      <c r="H222" s="10">
        <v>0</v>
      </c>
      <c r="I222" s="310">
        <v>0</v>
      </c>
      <c r="J222" s="405">
        <v>0</v>
      </c>
      <c r="K222" s="409">
        <v>0</v>
      </c>
      <c r="L222" s="782" t="s">
        <v>875</v>
      </c>
      <c r="O222"/>
      <c r="P222"/>
      <c r="Q222"/>
    </row>
    <row r="223" spans="1:17" s="1" customFormat="1" ht="18.25" customHeight="1" outlineLevel="2">
      <c r="A223" s="778"/>
      <c r="B223" s="47" t="s">
        <v>185</v>
      </c>
      <c r="C223" s="13" t="s">
        <v>96</v>
      </c>
      <c r="D223" s="14">
        <v>4</v>
      </c>
      <c r="E223" s="15">
        <v>1</v>
      </c>
      <c r="F223" s="16">
        <v>39434</v>
      </c>
      <c r="G223" s="15">
        <v>2</v>
      </c>
      <c r="H223" s="17">
        <v>59361</v>
      </c>
      <c r="I223" s="311">
        <v>1</v>
      </c>
      <c r="J223" s="312">
        <v>1</v>
      </c>
      <c r="K223" s="410">
        <v>1</v>
      </c>
      <c r="L223" s="782" t="s">
        <v>875</v>
      </c>
      <c r="M223" s="1" t="s">
        <v>51</v>
      </c>
      <c r="O223"/>
      <c r="P223"/>
      <c r="Q223"/>
    </row>
    <row r="224" spans="1:17" s="1" customFormat="1" ht="18.25" customHeight="1" outlineLevel="3">
      <c r="A224" s="778"/>
      <c r="B224" s="5" t="s">
        <v>185</v>
      </c>
      <c r="C224" s="540" t="s">
        <v>95</v>
      </c>
      <c r="D224" s="7" t="s">
        <v>22</v>
      </c>
      <c r="E224" s="8">
        <v>1</v>
      </c>
      <c r="F224" s="9">
        <v>0</v>
      </c>
      <c r="G224" s="8">
        <v>3</v>
      </c>
      <c r="H224" s="10">
        <v>71715</v>
      </c>
      <c r="I224" s="310">
        <v>1</v>
      </c>
      <c r="J224" s="405">
        <v>1</v>
      </c>
      <c r="K224" s="409">
        <v>1</v>
      </c>
      <c r="L224" s="782" t="s">
        <v>875</v>
      </c>
      <c r="O224"/>
      <c r="P224"/>
      <c r="Q224"/>
    </row>
    <row r="225" spans="1:17" s="1" customFormat="1" ht="18.25" customHeight="1" outlineLevel="3">
      <c r="A225" s="778"/>
      <c r="B225" s="5" t="s">
        <v>185</v>
      </c>
      <c r="C225" s="540" t="s">
        <v>386</v>
      </c>
      <c r="D225" s="7" t="s">
        <v>17</v>
      </c>
      <c r="E225" s="8">
        <v>0</v>
      </c>
      <c r="F225" s="9">
        <v>0</v>
      </c>
      <c r="G225" s="8">
        <v>0</v>
      </c>
      <c r="H225" s="10">
        <v>0</v>
      </c>
      <c r="I225" s="310">
        <v>0</v>
      </c>
      <c r="J225" s="405">
        <v>0</v>
      </c>
      <c r="K225" s="409">
        <v>0</v>
      </c>
      <c r="L225" s="782" t="s">
        <v>875</v>
      </c>
      <c r="O225"/>
      <c r="P225"/>
      <c r="Q225"/>
    </row>
    <row r="226" spans="1:17" s="1" customFormat="1" ht="18.25" customHeight="1" outlineLevel="2">
      <c r="A226" s="778"/>
      <c r="B226" s="47" t="s">
        <v>185</v>
      </c>
      <c r="C226" s="13" t="s">
        <v>95</v>
      </c>
      <c r="D226" s="14">
        <v>2</v>
      </c>
      <c r="E226" s="15">
        <v>1</v>
      </c>
      <c r="F226" s="16">
        <v>0</v>
      </c>
      <c r="G226" s="15">
        <v>3</v>
      </c>
      <c r="H226" s="17">
        <v>71715</v>
      </c>
      <c r="I226" s="311">
        <v>1</v>
      </c>
      <c r="J226" s="312">
        <v>1</v>
      </c>
      <c r="K226" s="410">
        <v>1</v>
      </c>
      <c r="L226" s="782" t="s">
        <v>875</v>
      </c>
      <c r="M226" s="1" t="s">
        <v>171</v>
      </c>
      <c r="O226"/>
      <c r="P226"/>
      <c r="Q226"/>
    </row>
    <row r="227" spans="1:17" s="1" customFormat="1" ht="18.25" customHeight="1" outlineLevel="2">
      <c r="A227" s="570" t="s">
        <v>844</v>
      </c>
      <c r="B227" s="554" t="s">
        <v>826</v>
      </c>
      <c r="C227" s="555" t="s">
        <v>111</v>
      </c>
      <c r="D227" s="547">
        <v>33</v>
      </c>
      <c r="E227" s="556">
        <v>4</v>
      </c>
      <c r="F227" s="550">
        <v>62242</v>
      </c>
      <c r="G227" s="548">
        <v>32</v>
      </c>
      <c r="H227" s="557">
        <v>991024</v>
      </c>
      <c r="I227" s="551">
        <v>14</v>
      </c>
      <c r="J227" s="552">
        <v>14</v>
      </c>
      <c r="K227" s="553">
        <v>12</v>
      </c>
      <c r="L227" s="782" t="s">
        <v>875</v>
      </c>
      <c r="O227"/>
      <c r="P227"/>
      <c r="Q227"/>
    </row>
    <row r="228" spans="1:17" s="149" customFormat="1" ht="18.25" customHeight="1">
      <c r="A228" s="569" t="s">
        <v>835</v>
      </c>
      <c r="B228" s="945" t="s">
        <v>7</v>
      </c>
      <c r="C228" s="946"/>
      <c r="D228" s="145">
        <v>89</v>
      </c>
      <c r="E228" s="150">
        <v>9</v>
      </c>
      <c r="F228" s="151">
        <v>239029</v>
      </c>
      <c r="G228" s="146">
        <v>83</v>
      </c>
      <c r="H228" s="152">
        <v>2916022</v>
      </c>
      <c r="I228" s="314">
        <v>36</v>
      </c>
      <c r="J228" s="315">
        <v>30</v>
      </c>
      <c r="K228" s="411">
        <v>25</v>
      </c>
      <c r="L228" s="428" t="e">
        <v>#VALUE!</v>
      </c>
      <c r="M228" s="248"/>
      <c r="N228" s="248"/>
    </row>
    <row r="229" spans="1:17" ht="18.25" customHeight="1" outlineLevel="2">
      <c r="B229" s="5" t="s">
        <v>9</v>
      </c>
      <c r="C229" s="6" t="s">
        <v>123</v>
      </c>
      <c r="D229" s="7" t="s">
        <v>54</v>
      </c>
      <c r="E229" s="8">
        <v>0</v>
      </c>
      <c r="F229" s="9">
        <v>0</v>
      </c>
      <c r="G229" s="8">
        <v>0</v>
      </c>
      <c r="H229" s="10">
        <v>0</v>
      </c>
      <c r="I229" s="310">
        <v>0</v>
      </c>
      <c r="J229" s="405">
        <v>0</v>
      </c>
      <c r="K229" s="409">
        <v>0</v>
      </c>
      <c r="L229" s="426"/>
    </row>
    <row r="230" spans="1:17" ht="18.25" customHeight="1" outlineLevel="2">
      <c r="B230" s="5" t="s">
        <v>2</v>
      </c>
      <c r="C230" s="6" t="s">
        <v>259</v>
      </c>
      <c r="D230" s="7" t="s">
        <v>17</v>
      </c>
      <c r="E230" s="8">
        <v>0</v>
      </c>
      <c r="F230" s="9">
        <v>0</v>
      </c>
      <c r="G230" s="8">
        <v>0</v>
      </c>
      <c r="H230" s="10">
        <v>0</v>
      </c>
      <c r="I230" s="310">
        <v>0</v>
      </c>
      <c r="J230" s="405">
        <v>0</v>
      </c>
      <c r="K230" s="409">
        <v>0</v>
      </c>
      <c r="L230" s="426"/>
    </row>
    <row r="231" spans="1:17" ht="18.25" customHeight="1" outlineLevel="1">
      <c r="B231" s="12" t="s">
        <v>9</v>
      </c>
      <c r="C231" s="13" t="s">
        <v>123</v>
      </c>
      <c r="D231" s="14">
        <v>2</v>
      </c>
      <c r="E231" s="15">
        <v>0</v>
      </c>
      <c r="F231" s="16">
        <v>0</v>
      </c>
      <c r="G231" s="15">
        <v>0</v>
      </c>
      <c r="H231" s="17">
        <v>0</v>
      </c>
      <c r="I231" s="311">
        <v>0</v>
      </c>
      <c r="J231" s="312">
        <v>0</v>
      </c>
      <c r="K231" s="410">
        <v>0</v>
      </c>
      <c r="L231" s="427">
        <v>0</v>
      </c>
      <c r="M231" s="1" t="s">
        <v>167</v>
      </c>
    </row>
    <row r="232" spans="1:17" ht="18.25" customHeight="1" outlineLevel="2">
      <c r="B232" s="5" t="s">
        <v>2</v>
      </c>
      <c r="C232" s="39" t="s">
        <v>35</v>
      </c>
      <c r="D232" s="7" t="s">
        <v>40</v>
      </c>
      <c r="E232" s="8">
        <v>0</v>
      </c>
      <c r="F232" s="9">
        <v>0</v>
      </c>
      <c r="G232" s="8">
        <v>1</v>
      </c>
      <c r="H232" s="10">
        <v>19486</v>
      </c>
      <c r="I232" s="310">
        <v>1</v>
      </c>
      <c r="J232" s="405">
        <v>0</v>
      </c>
      <c r="K232" s="409">
        <v>0</v>
      </c>
      <c r="L232" s="426"/>
    </row>
    <row r="233" spans="1:17" ht="18.25" customHeight="1" outlineLevel="2">
      <c r="B233" s="5" t="s">
        <v>2</v>
      </c>
      <c r="C233" s="6" t="s">
        <v>36</v>
      </c>
      <c r="D233" s="7" t="s">
        <v>17</v>
      </c>
      <c r="E233" s="8">
        <v>0</v>
      </c>
      <c r="F233" s="9">
        <v>0</v>
      </c>
      <c r="G233" s="8">
        <v>0</v>
      </c>
      <c r="H233" s="10">
        <v>0</v>
      </c>
      <c r="I233" s="310">
        <v>0</v>
      </c>
      <c r="J233" s="405">
        <v>0</v>
      </c>
      <c r="K233" s="409">
        <v>0</v>
      </c>
      <c r="L233" s="426"/>
    </row>
    <row r="234" spans="1:17" ht="18.25" customHeight="1" outlineLevel="1">
      <c r="B234" s="12" t="s">
        <v>2</v>
      </c>
      <c r="C234" s="13" t="s">
        <v>35</v>
      </c>
      <c r="D234" s="14">
        <v>2</v>
      </c>
      <c r="E234" s="15">
        <v>0</v>
      </c>
      <c r="F234" s="16">
        <v>0</v>
      </c>
      <c r="G234" s="15">
        <v>1</v>
      </c>
      <c r="H234" s="17">
        <v>19486</v>
      </c>
      <c r="I234" s="311">
        <v>1</v>
      </c>
      <c r="J234" s="312">
        <v>0</v>
      </c>
      <c r="K234" s="410">
        <v>0</v>
      </c>
      <c r="L234" s="427">
        <v>0</v>
      </c>
      <c r="M234" s="1" t="s">
        <v>51</v>
      </c>
    </row>
    <row r="235" spans="1:17" ht="18.25" customHeight="1" outlineLevel="2">
      <c r="B235" s="5" t="s">
        <v>2</v>
      </c>
      <c r="C235" s="39" t="s">
        <v>649</v>
      </c>
      <c r="D235" s="7" t="s">
        <v>307</v>
      </c>
      <c r="E235" s="8">
        <v>0</v>
      </c>
      <c r="F235" s="9">
        <v>0</v>
      </c>
      <c r="G235" s="8">
        <v>0</v>
      </c>
      <c r="H235" s="10">
        <v>0</v>
      </c>
      <c r="I235" s="310">
        <v>0</v>
      </c>
      <c r="J235" s="405">
        <v>0</v>
      </c>
      <c r="K235" s="409">
        <v>0</v>
      </c>
      <c r="L235" s="426"/>
    </row>
    <row r="236" spans="1:17" ht="18.25" customHeight="1" outlineLevel="1">
      <c r="B236" s="12" t="s">
        <v>2</v>
      </c>
      <c r="C236" s="13" t="s">
        <v>649</v>
      </c>
      <c r="D236" s="14">
        <v>1</v>
      </c>
      <c r="E236" s="15">
        <v>0</v>
      </c>
      <c r="F236" s="16">
        <v>0</v>
      </c>
      <c r="G236" s="15">
        <v>0</v>
      </c>
      <c r="H236" s="17">
        <v>0</v>
      </c>
      <c r="I236" s="311">
        <v>0</v>
      </c>
      <c r="J236" s="312">
        <v>0</v>
      </c>
      <c r="K236" s="410">
        <v>0</v>
      </c>
      <c r="L236" s="427">
        <v>0</v>
      </c>
      <c r="M236" s="1" t="s">
        <v>668</v>
      </c>
    </row>
    <row r="237" spans="1:17" ht="18.25" customHeight="1" outlineLevel="2">
      <c r="B237" s="5" t="s">
        <v>2</v>
      </c>
      <c r="C237" s="39" t="s">
        <v>29</v>
      </c>
      <c r="D237" s="7" t="s">
        <v>22</v>
      </c>
      <c r="E237" s="8">
        <v>0</v>
      </c>
      <c r="F237" s="9">
        <v>0</v>
      </c>
      <c r="G237" s="8">
        <v>2</v>
      </c>
      <c r="H237" s="10">
        <v>57899</v>
      </c>
      <c r="I237" s="310">
        <v>1</v>
      </c>
      <c r="J237" s="405">
        <v>1</v>
      </c>
      <c r="K237" s="409">
        <v>1</v>
      </c>
      <c r="L237" s="426"/>
    </row>
    <row r="238" spans="1:17" ht="18.25" customHeight="1" outlineLevel="2">
      <c r="B238" s="5" t="s">
        <v>2</v>
      </c>
      <c r="C238" s="6" t="s">
        <v>30</v>
      </c>
      <c r="D238" s="7" t="s">
        <v>27</v>
      </c>
      <c r="E238" s="8">
        <v>1</v>
      </c>
      <c r="F238" s="9">
        <v>7431</v>
      </c>
      <c r="G238" s="8">
        <v>1</v>
      </c>
      <c r="H238" s="10">
        <v>7431</v>
      </c>
      <c r="I238" s="310">
        <v>1</v>
      </c>
      <c r="J238" s="405">
        <v>0</v>
      </c>
      <c r="K238" s="409">
        <v>0</v>
      </c>
      <c r="L238" s="426"/>
    </row>
    <row r="239" spans="1:17" ht="18.25" customHeight="1" outlineLevel="2">
      <c r="B239" s="5" t="s">
        <v>2</v>
      </c>
      <c r="C239" s="6" t="s">
        <v>23</v>
      </c>
      <c r="D239" s="7" t="s">
        <v>27</v>
      </c>
      <c r="E239" s="8">
        <v>0</v>
      </c>
      <c r="F239" s="9">
        <v>0</v>
      </c>
      <c r="G239" s="8">
        <v>0</v>
      </c>
      <c r="H239" s="10">
        <v>0</v>
      </c>
      <c r="I239" s="310">
        <v>0</v>
      </c>
      <c r="J239" s="405">
        <v>0</v>
      </c>
      <c r="K239" s="409">
        <v>0</v>
      </c>
      <c r="L239" s="426"/>
    </row>
    <row r="240" spans="1:17" ht="18.25" customHeight="1" outlineLevel="1">
      <c r="B240" s="12" t="s">
        <v>2</v>
      </c>
      <c r="C240" s="13" t="s">
        <v>31</v>
      </c>
      <c r="D240" s="14">
        <v>3</v>
      </c>
      <c r="E240" s="15">
        <v>1</v>
      </c>
      <c r="F240" s="16">
        <v>7431</v>
      </c>
      <c r="G240" s="15">
        <v>3</v>
      </c>
      <c r="H240" s="17">
        <v>65330</v>
      </c>
      <c r="I240" s="311">
        <v>2</v>
      </c>
      <c r="J240" s="312">
        <v>1</v>
      </c>
      <c r="K240" s="410">
        <v>1</v>
      </c>
      <c r="L240" s="427">
        <v>0</v>
      </c>
      <c r="M240" s="1" t="s">
        <v>171</v>
      </c>
    </row>
    <row r="241" spans="1:17" ht="18.25" customHeight="1" outlineLevel="2">
      <c r="B241" s="5" t="s">
        <v>2</v>
      </c>
      <c r="C241" s="39" t="s">
        <v>320</v>
      </c>
      <c r="D241" s="7" t="s">
        <v>22</v>
      </c>
      <c r="E241" s="8">
        <v>0</v>
      </c>
      <c r="F241" s="9">
        <v>0</v>
      </c>
      <c r="G241" s="8">
        <v>1.5</v>
      </c>
      <c r="H241" s="10">
        <v>8793</v>
      </c>
      <c r="I241" s="310">
        <v>1</v>
      </c>
      <c r="J241" s="405">
        <v>0</v>
      </c>
      <c r="K241" s="409">
        <v>0</v>
      </c>
      <c r="L241" s="426"/>
    </row>
    <row r="242" spans="1:17" ht="18.25" customHeight="1" outlineLevel="2">
      <c r="B242" s="5" t="s">
        <v>2</v>
      </c>
      <c r="C242" s="6" t="s">
        <v>707</v>
      </c>
      <c r="D242" s="7" t="s">
        <v>17</v>
      </c>
      <c r="E242" s="8">
        <v>0</v>
      </c>
      <c r="F242" s="9">
        <v>0</v>
      </c>
      <c r="G242" s="8">
        <v>0.5</v>
      </c>
      <c r="H242" s="10">
        <v>3461</v>
      </c>
      <c r="I242" s="310">
        <v>1</v>
      </c>
      <c r="J242" s="405">
        <v>0</v>
      </c>
      <c r="K242" s="409">
        <v>0</v>
      </c>
      <c r="L242" s="426"/>
    </row>
    <row r="243" spans="1:17" ht="18.25" customHeight="1" outlineLevel="2">
      <c r="B243" s="5" t="s">
        <v>2</v>
      </c>
      <c r="C243" s="6" t="s">
        <v>658</v>
      </c>
      <c r="D243" s="7" t="s">
        <v>17</v>
      </c>
      <c r="E243" s="8">
        <v>0</v>
      </c>
      <c r="F243" s="9">
        <v>0</v>
      </c>
      <c r="G243" s="8">
        <v>1</v>
      </c>
      <c r="H243" s="10">
        <v>4393</v>
      </c>
      <c r="I243" s="310">
        <v>1</v>
      </c>
      <c r="J243" s="405">
        <v>0</v>
      </c>
      <c r="K243" s="409">
        <v>0</v>
      </c>
      <c r="L243" s="426"/>
    </row>
    <row r="244" spans="1:17" s="1" customFormat="1" ht="18.25" customHeight="1" outlineLevel="2">
      <c r="A244" s="570"/>
      <c r="B244" s="5" t="s">
        <v>2</v>
      </c>
      <c r="C244" s="6" t="s">
        <v>568</v>
      </c>
      <c r="D244" s="7" t="s">
        <v>17</v>
      </c>
      <c r="E244" s="8">
        <v>0</v>
      </c>
      <c r="F244" s="9">
        <v>0</v>
      </c>
      <c r="G244" s="8">
        <v>0</v>
      </c>
      <c r="H244" s="10">
        <v>0</v>
      </c>
      <c r="I244" s="310">
        <v>0</v>
      </c>
      <c r="J244" s="405">
        <v>0</v>
      </c>
      <c r="K244" s="409">
        <v>0</v>
      </c>
      <c r="L244" s="426"/>
      <c r="O244"/>
      <c r="P244"/>
      <c r="Q244"/>
    </row>
    <row r="245" spans="1:17" s="1" customFormat="1" ht="18.25" customHeight="1" outlineLevel="1">
      <c r="A245" s="570"/>
      <c r="B245" s="12" t="s">
        <v>2</v>
      </c>
      <c r="C245" s="13" t="s">
        <v>320</v>
      </c>
      <c r="D245" s="14">
        <v>4</v>
      </c>
      <c r="E245" s="15">
        <v>0</v>
      </c>
      <c r="F245" s="16">
        <v>0</v>
      </c>
      <c r="G245" s="15">
        <v>3</v>
      </c>
      <c r="H245" s="17">
        <v>16647</v>
      </c>
      <c r="I245" s="311">
        <v>3</v>
      </c>
      <c r="J245" s="312">
        <v>0</v>
      </c>
      <c r="K245" s="410">
        <v>0</v>
      </c>
      <c r="L245" s="427">
        <v>0</v>
      </c>
      <c r="M245" s="1" t="s">
        <v>171</v>
      </c>
      <c r="O245"/>
      <c r="P245"/>
      <c r="Q245"/>
    </row>
    <row r="246" spans="1:17" s="1" customFormat="1" ht="18.25" customHeight="1" outlineLevel="2">
      <c r="A246" s="570"/>
      <c r="B246" s="5" t="s">
        <v>2</v>
      </c>
      <c r="C246" s="39" t="s">
        <v>24</v>
      </c>
      <c r="D246" s="7" t="s">
        <v>25</v>
      </c>
      <c r="E246" s="8">
        <v>0</v>
      </c>
      <c r="F246" s="9">
        <v>0</v>
      </c>
      <c r="G246" s="8">
        <v>0</v>
      </c>
      <c r="H246" s="10">
        <v>0</v>
      </c>
      <c r="I246" s="310">
        <v>0</v>
      </c>
      <c r="J246" s="405">
        <v>0</v>
      </c>
      <c r="K246" s="409">
        <v>0</v>
      </c>
      <c r="L246" s="426"/>
      <c r="O246"/>
      <c r="P246"/>
      <c r="Q246"/>
    </row>
    <row r="247" spans="1:17" s="1" customFormat="1" ht="18.25" customHeight="1" outlineLevel="2">
      <c r="A247" s="570"/>
      <c r="B247" s="5" t="s">
        <v>2</v>
      </c>
      <c r="C247" s="6" t="s">
        <v>26</v>
      </c>
      <c r="D247" s="7" t="s">
        <v>17</v>
      </c>
      <c r="E247" s="8">
        <v>0</v>
      </c>
      <c r="F247" s="9">
        <v>0</v>
      </c>
      <c r="G247" s="8">
        <v>1</v>
      </c>
      <c r="H247" s="10">
        <v>1574</v>
      </c>
      <c r="I247" s="310">
        <v>1</v>
      </c>
      <c r="J247" s="405">
        <v>0</v>
      </c>
      <c r="K247" s="409">
        <v>0</v>
      </c>
      <c r="L247" s="426"/>
      <c r="O247"/>
      <c r="P247"/>
      <c r="Q247"/>
    </row>
    <row r="248" spans="1:17" s="1" customFormat="1" ht="18.25" customHeight="1" outlineLevel="1">
      <c r="A248" s="570"/>
      <c r="B248" s="12" t="s">
        <v>2</v>
      </c>
      <c r="C248" s="13" t="s">
        <v>24</v>
      </c>
      <c r="D248" s="14">
        <v>2</v>
      </c>
      <c r="E248" s="15">
        <v>0</v>
      </c>
      <c r="F248" s="16">
        <v>0</v>
      </c>
      <c r="G248" s="15">
        <v>1</v>
      </c>
      <c r="H248" s="17">
        <v>1574</v>
      </c>
      <c r="I248" s="311">
        <v>1</v>
      </c>
      <c r="J248" s="312">
        <v>0</v>
      </c>
      <c r="K248" s="410">
        <v>0</v>
      </c>
      <c r="L248" s="427">
        <v>0</v>
      </c>
      <c r="M248" s="1" t="s">
        <v>169</v>
      </c>
      <c r="O248"/>
      <c r="P248"/>
      <c r="Q248"/>
    </row>
    <row r="249" spans="1:17" s="1" customFormat="1" ht="18.25" customHeight="1" outlineLevel="2">
      <c r="A249" s="570"/>
      <c r="B249" s="5" t="s">
        <v>2</v>
      </c>
      <c r="C249" s="39" t="s">
        <v>817</v>
      </c>
      <c r="D249" s="7" t="s">
        <v>307</v>
      </c>
      <c r="E249" s="8">
        <v>0</v>
      </c>
      <c r="F249" s="9">
        <v>0</v>
      </c>
      <c r="G249" s="8">
        <v>1</v>
      </c>
      <c r="H249" s="10">
        <v>34287</v>
      </c>
      <c r="I249" s="310">
        <v>1</v>
      </c>
      <c r="J249" s="405">
        <v>1</v>
      </c>
      <c r="K249" s="409">
        <v>1</v>
      </c>
      <c r="L249" s="426"/>
      <c r="O249"/>
      <c r="P249"/>
      <c r="Q249"/>
    </row>
    <row r="250" spans="1:17" s="1" customFormat="1" ht="18.25" customHeight="1" outlineLevel="1">
      <c r="A250" s="570"/>
      <c r="B250" s="12" t="s">
        <v>2</v>
      </c>
      <c r="C250" s="13" t="s">
        <v>817</v>
      </c>
      <c r="D250" s="14">
        <v>1</v>
      </c>
      <c r="E250" s="15">
        <v>0</v>
      </c>
      <c r="F250" s="16">
        <v>0</v>
      </c>
      <c r="G250" s="15">
        <v>1</v>
      </c>
      <c r="H250" s="17">
        <v>34287</v>
      </c>
      <c r="I250" s="311">
        <v>1</v>
      </c>
      <c r="J250" s="312">
        <v>1</v>
      </c>
      <c r="K250" s="410">
        <v>1</v>
      </c>
      <c r="L250" s="427">
        <v>0</v>
      </c>
      <c r="M250" s="1" t="s">
        <v>668</v>
      </c>
      <c r="O250"/>
      <c r="P250"/>
      <c r="Q250"/>
    </row>
    <row r="251" spans="1:17" s="1" customFormat="1" ht="18.25" customHeight="1" outlineLevel="2">
      <c r="A251" s="570"/>
      <c r="B251" s="5" t="s">
        <v>9</v>
      </c>
      <c r="C251" s="6" t="s">
        <v>275</v>
      </c>
      <c r="D251" s="7" t="s">
        <v>481</v>
      </c>
      <c r="E251" s="8">
        <v>0</v>
      </c>
      <c r="F251" s="9">
        <v>0</v>
      </c>
      <c r="G251" s="8">
        <v>0</v>
      </c>
      <c r="H251" s="10">
        <v>0</v>
      </c>
      <c r="I251" s="310">
        <v>0</v>
      </c>
      <c r="J251" s="405">
        <v>0</v>
      </c>
      <c r="K251" s="409">
        <v>0</v>
      </c>
      <c r="L251" s="426"/>
      <c r="O251"/>
      <c r="P251"/>
      <c r="Q251"/>
    </row>
    <row r="252" spans="1:17" s="1" customFormat="1" ht="18.25" customHeight="1" outlineLevel="1">
      <c r="A252" s="570"/>
      <c r="B252" s="12" t="s">
        <v>9</v>
      </c>
      <c r="C252" s="13" t="s">
        <v>275</v>
      </c>
      <c r="D252" s="14">
        <v>1</v>
      </c>
      <c r="E252" s="15">
        <v>0</v>
      </c>
      <c r="F252" s="16">
        <v>0</v>
      </c>
      <c r="G252" s="15">
        <v>0</v>
      </c>
      <c r="H252" s="17">
        <v>0</v>
      </c>
      <c r="I252" s="311">
        <v>0</v>
      </c>
      <c r="J252" s="312">
        <v>0</v>
      </c>
      <c r="K252" s="410">
        <v>0</v>
      </c>
      <c r="L252" s="427">
        <v>0</v>
      </c>
      <c r="M252" s="1" t="s">
        <v>667</v>
      </c>
      <c r="O252"/>
      <c r="P252"/>
      <c r="Q252"/>
    </row>
    <row r="253" spans="1:17" s="1" customFormat="1" ht="18.25" customHeight="1" outlineLevel="2">
      <c r="A253" s="570"/>
      <c r="B253" s="5" t="s">
        <v>2</v>
      </c>
      <c r="C253" s="6" t="s">
        <v>276</v>
      </c>
      <c r="D253" s="7" t="s">
        <v>481</v>
      </c>
      <c r="E253" s="8">
        <v>0</v>
      </c>
      <c r="F253" s="9">
        <v>0</v>
      </c>
      <c r="G253" s="8">
        <v>2</v>
      </c>
      <c r="H253" s="10">
        <v>18083</v>
      </c>
      <c r="I253" s="310">
        <v>1</v>
      </c>
      <c r="J253" s="405">
        <v>0</v>
      </c>
      <c r="K253" s="409">
        <v>0</v>
      </c>
      <c r="L253" s="426"/>
      <c r="O253"/>
      <c r="P253"/>
      <c r="Q253"/>
    </row>
    <row r="254" spans="1:17" s="1" customFormat="1" ht="18.25" customHeight="1" outlineLevel="1">
      <c r="A254" s="570"/>
      <c r="B254" s="12" t="s">
        <v>9</v>
      </c>
      <c r="C254" s="13" t="s">
        <v>357</v>
      </c>
      <c r="D254" s="14">
        <v>1</v>
      </c>
      <c r="E254" s="15">
        <v>0</v>
      </c>
      <c r="F254" s="16">
        <v>0</v>
      </c>
      <c r="G254" s="15">
        <v>2</v>
      </c>
      <c r="H254" s="17">
        <v>18083</v>
      </c>
      <c r="I254" s="311">
        <v>1</v>
      </c>
      <c r="J254" s="312">
        <v>0</v>
      </c>
      <c r="K254" s="410">
        <v>0</v>
      </c>
      <c r="L254" s="427">
        <v>0</v>
      </c>
      <c r="M254" s="1" t="s">
        <v>667</v>
      </c>
      <c r="O254"/>
      <c r="P254"/>
      <c r="Q254"/>
    </row>
    <row r="255" spans="1:17" s="1" customFormat="1" ht="18.25" customHeight="1" outlineLevel="2">
      <c r="A255" s="570"/>
      <c r="B255" s="5" t="s">
        <v>2</v>
      </c>
      <c r="C255" s="6" t="s">
        <v>124</v>
      </c>
      <c r="D255" s="7" t="s">
        <v>221</v>
      </c>
      <c r="E255" s="8">
        <v>0</v>
      </c>
      <c r="F255" s="9">
        <v>0</v>
      </c>
      <c r="G255" s="8">
        <v>0</v>
      </c>
      <c r="H255" s="10">
        <v>0</v>
      </c>
      <c r="I255" s="310">
        <v>0</v>
      </c>
      <c r="J255" s="405">
        <v>0</v>
      </c>
      <c r="K255" s="409">
        <v>0</v>
      </c>
      <c r="L255" s="426"/>
      <c r="O255"/>
      <c r="P255"/>
      <c r="Q255"/>
    </row>
    <row r="256" spans="1:17" s="1" customFormat="1" ht="18.25" customHeight="1" outlineLevel="2">
      <c r="A256" s="570"/>
      <c r="B256" s="5" t="s">
        <v>251</v>
      </c>
      <c r="C256" s="6" t="s">
        <v>522</v>
      </c>
      <c r="D256" s="7" t="s">
        <v>188</v>
      </c>
      <c r="E256" s="8">
        <v>0</v>
      </c>
      <c r="F256" s="9">
        <v>0</v>
      </c>
      <c r="G256" s="8">
        <v>0</v>
      </c>
      <c r="H256" s="10">
        <v>0</v>
      </c>
      <c r="I256" s="310">
        <v>0</v>
      </c>
      <c r="J256" s="405">
        <v>0</v>
      </c>
      <c r="K256" s="409">
        <v>0</v>
      </c>
      <c r="L256" s="426"/>
      <c r="O256"/>
      <c r="P256"/>
      <c r="Q256"/>
    </row>
    <row r="257" spans="1:17" s="1" customFormat="1" ht="18.25" customHeight="1" outlineLevel="2">
      <c r="A257" s="570"/>
      <c r="B257" s="5" t="s">
        <v>251</v>
      </c>
      <c r="C257" s="6" t="s">
        <v>728</v>
      </c>
      <c r="D257" s="7" t="s">
        <v>188</v>
      </c>
      <c r="E257" s="8">
        <v>0</v>
      </c>
      <c r="F257" s="9">
        <v>0</v>
      </c>
      <c r="G257" s="8">
        <v>0</v>
      </c>
      <c r="H257" s="10">
        <v>0</v>
      </c>
      <c r="I257" s="310">
        <v>0</v>
      </c>
      <c r="J257" s="405">
        <v>0</v>
      </c>
      <c r="K257" s="409">
        <v>0</v>
      </c>
      <c r="L257" s="426"/>
      <c r="O257"/>
      <c r="P257"/>
      <c r="Q257"/>
    </row>
    <row r="258" spans="1:17" s="1" customFormat="1" ht="18.25" customHeight="1" outlineLevel="2">
      <c r="A258" s="570"/>
      <c r="B258" s="5" t="s">
        <v>251</v>
      </c>
      <c r="C258" s="6" t="s">
        <v>378</v>
      </c>
      <c r="D258" s="7" t="s">
        <v>188</v>
      </c>
      <c r="E258" s="8">
        <v>0</v>
      </c>
      <c r="F258" s="9">
        <v>0</v>
      </c>
      <c r="G258" s="8">
        <v>0</v>
      </c>
      <c r="H258" s="10">
        <v>0</v>
      </c>
      <c r="I258" s="310">
        <v>0</v>
      </c>
      <c r="J258" s="405">
        <v>0</v>
      </c>
      <c r="K258" s="409">
        <v>0</v>
      </c>
      <c r="L258" s="426"/>
      <c r="O258"/>
      <c r="P258"/>
      <c r="Q258"/>
    </row>
    <row r="259" spans="1:17" s="1" customFormat="1" ht="18.25" customHeight="1" outlineLevel="2">
      <c r="A259" s="570"/>
      <c r="B259" s="5" t="s">
        <v>2</v>
      </c>
      <c r="C259" s="39" t="s">
        <v>643</v>
      </c>
      <c r="D259" s="7" t="s">
        <v>188</v>
      </c>
      <c r="E259" s="8">
        <v>0</v>
      </c>
      <c r="F259" s="9">
        <v>0</v>
      </c>
      <c r="G259" s="8">
        <v>0</v>
      </c>
      <c r="H259" s="10">
        <v>0</v>
      </c>
      <c r="I259" s="310">
        <v>0</v>
      </c>
      <c r="J259" s="405">
        <v>0</v>
      </c>
      <c r="K259" s="409">
        <v>0</v>
      </c>
      <c r="L259" s="426"/>
      <c r="O259"/>
      <c r="P259"/>
      <c r="Q259"/>
    </row>
    <row r="260" spans="1:17" s="1" customFormat="1" ht="18.25" customHeight="1" outlineLevel="1">
      <c r="A260" s="570"/>
      <c r="B260" s="12" t="s">
        <v>9</v>
      </c>
      <c r="C260" s="13" t="s">
        <v>214</v>
      </c>
      <c r="D260" s="14">
        <v>5</v>
      </c>
      <c r="E260" s="15">
        <v>0</v>
      </c>
      <c r="F260" s="16">
        <v>0</v>
      </c>
      <c r="G260" s="15">
        <v>0</v>
      </c>
      <c r="H260" s="17">
        <v>0</v>
      </c>
      <c r="I260" s="311">
        <v>0</v>
      </c>
      <c r="J260" s="312">
        <v>0</v>
      </c>
      <c r="K260" s="410">
        <v>0</v>
      </c>
      <c r="L260" s="427">
        <v>0</v>
      </c>
      <c r="M260" s="1" t="s">
        <v>51</v>
      </c>
      <c r="O260"/>
      <c r="P260"/>
      <c r="Q260"/>
    </row>
    <row r="261" spans="1:17" s="1" customFormat="1" ht="18.25" customHeight="1" outlineLevel="2">
      <c r="A261" s="570"/>
      <c r="B261" s="5" t="s">
        <v>9</v>
      </c>
      <c r="C261" s="6" t="s">
        <v>125</v>
      </c>
      <c r="D261" s="7" t="s">
        <v>47</v>
      </c>
      <c r="E261" s="8">
        <v>0</v>
      </c>
      <c r="F261" s="9">
        <v>0</v>
      </c>
      <c r="G261" s="8">
        <v>0</v>
      </c>
      <c r="H261" s="10">
        <v>0</v>
      </c>
      <c r="I261" s="310">
        <v>0</v>
      </c>
      <c r="J261" s="405">
        <v>0</v>
      </c>
      <c r="K261" s="409">
        <v>0</v>
      </c>
      <c r="L261" s="426"/>
      <c r="O261"/>
      <c r="P261"/>
      <c r="Q261"/>
    </row>
    <row r="262" spans="1:17" s="1" customFormat="1" ht="18.25" customHeight="1" outlineLevel="2">
      <c r="A262" s="570"/>
      <c r="B262" s="5" t="s">
        <v>9</v>
      </c>
      <c r="C262" s="39" t="s">
        <v>889</v>
      </c>
      <c r="D262" s="23" t="s">
        <v>17</v>
      </c>
      <c r="E262" s="8">
        <v>0</v>
      </c>
      <c r="F262" s="9">
        <v>0</v>
      </c>
      <c r="G262" s="8">
        <v>0</v>
      </c>
      <c r="H262" s="10">
        <v>0</v>
      </c>
      <c r="I262" s="310">
        <v>0</v>
      </c>
      <c r="J262" s="405">
        <v>0</v>
      </c>
      <c r="K262" s="409">
        <v>0</v>
      </c>
      <c r="L262" s="426"/>
      <c r="O262"/>
      <c r="P262"/>
      <c r="Q262"/>
    </row>
    <row r="263" spans="1:17" s="1" customFormat="1" ht="18.25" customHeight="1" outlineLevel="2">
      <c r="A263" s="570"/>
      <c r="B263" s="5" t="s">
        <v>9</v>
      </c>
      <c r="C263" s="39" t="s">
        <v>689</v>
      </c>
      <c r="D263" s="23" t="s">
        <v>17</v>
      </c>
      <c r="E263" s="8">
        <v>0</v>
      </c>
      <c r="F263" s="9">
        <v>0</v>
      </c>
      <c r="G263" s="8">
        <v>0</v>
      </c>
      <c r="H263" s="10">
        <v>0</v>
      </c>
      <c r="I263" s="310">
        <v>0</v>
      </c>
      <c r="J263" s="405">
        <v>0</v>
      </c>
      <c r="K263" s="409">
        <v>0</v>
      </c>
      <c r="L263" s="426"/>
      <c r="O263"/>
      <c r="P263"/>
      <c r="Q263"/>
    </row>
    <row r="264" spans="1:17" s="1" customFormat="1" ht="18.25" customHeight="1" outlineLevel="2">
      <c r="A264" s="570"/>
      <c r="B264" s="5" t="s">
        <v>9</v>
      </c>
      <c r="C264" s="39" t="s">
        <v>654</v>
      </c>
      <c r="D264" s="23" t="s">
        <v>17</v>
      </c>
      <c r="E264" s="8">
        <v>0</v>
      </c>
      <c r="F264" s="9">
        <v>0</v>
      </c>
      <c r="G264" s="8">
        <v>0</v>
      </c>
      <c r="H264" s="10">
        <v>0</v>
      </c>
      <c r="I264" s="310">
        <v>0</v>
      </c>
      <c r="J264" s="405">
        <v>0</v>
      </c>
      <c r="K264" s="409">
        <v>0</v>
      </c>
      <c r="L264" s="426"/>
      <c r="O264"/>
      <c r="P264"/>
      <c r="Q264"/>
    </row>
    <row r="265" spans="1:17" s="1" customFormat="1" ht="18.25" customHeight="1" outlineLevel="1">
      <c r="A265" s="570"/>
      <c r="B265" s="12" t="s">
        <v>9</v>
      </c>
      <c r="C265" s="13" t="s">
        <v>125</v>
      </c>
      <c r="D265" s="14">
        <v>4</v>
      </c>
      <c r="E265" s="15">
        <v>0</v>
      </c>
      <c r="F265" s="16">
        <v>0</v>
      </c>
      <c r="G265" s="15">
        <v>0</v>
      </c>
      <c r="H265" s="17">
        <v>0</v>
      </c>
      <c r="I265" s="311">
        <v>0</v>
      </c>
      <c r="J265" s="312">
        <v>0</v>
      </c>
      <c r="K265" s="410">
        <v>0</v>
      </c>
      <c r="L265" s="427">
        <v>0</v>
      </c>
      <c r="M265" s="1" t="s">
        <v>51</v>
      </c>
      <c r="O265"/>
      <c r="P265"/>
      <c r="Q265"/>
    </row>
    <row r="266" spans="1:17" s="1" customFormat="1" ht="18.25" customHeight="1" outlineLevel="2">
      <c r="A266" s="570"/>
      <c r="B266" s="5" t="s">
        <v>9</v>
      </c>
      <c r="C266" s="6" t="s">
        <v>126</v>
      </c>
      <c r="D266" s="7" t="s">
        <v>20</v>
      </c>
      <c r="E266" s="8">
        <v>0</v>
      </c>
      <c r="F266" s="9">
        <v>0</v>
      </c>
      <c r="G266" s="8">
        <v>0</v>
      </c>
      <c r="H266" s="10">
        <v>0</v>
      </c>
      <c r="I266" s="310">
        <v>0</v>
      </c>
      <c r="J266" s="405">
        <v>0</v>
      </c>
      <c r="K266" s="409">
        <v>0</v>
      </c>
      <c r="L266" s="426"/>
      <c r="O266"/>
      <c r="P266"/>
      <c r="Q266"/>
    </row>
    <row r="267" spans="1:17" s="1" customFormat="1" ht="18.25" customHeight="1" outlineLevel="2">
      <c r="A267" s="570"/>
      <c r="B267" s="5" t="s">
        <v>9</v>
      </c>
      <c r="C267" s="6" t="s">
        <v>127</v>
      </c>
      <c r="D267" s="7" t="s">
        <v>17</v>
      </c>
      <c r="E267" s="8">
        <v>0</v>
      </c>
      <c r="F267" s="9">
        <v>0</v>
      </c>
      <c r="G267" s="8">
        <v>1</v>
      </c>
      <c r="H267" s="10">
        <v>4662</v>
      </c>
      <c r="I267" s="310">
        <v>1</v>
      </c>
      <c r="J267" s="405">
        <v>0</v>
      </c>
      <c r="K267" s="409">
        <v>0</v>
      </c>
      <c r="L267" s="426"/>
      <c r="O267"/>
      <c r="P267"/>
      <c r="Q267"/>
    </row>
    <row r="268" spans="1:17" s="1" customFormat="1" ht="18.25" customHeight="1" outlineLevel="2">
      <c r="A268" s="570"/>
      <c r="B268" s="5" t="s">
        <v>9</v>
      </c>
      <c r="C268" s="6" t="s">
        <v>697</v>
      </c>
      <c r="D268" s="7" t="s">
        <v>17</v>
      </c>
      <c r="E268" s="8">
        <v>0</v>
      </c>
      <c r="F268" s="9">
        <v>0</v>
      </c>
      <c r="G268" s="8">
        <v>0</v>
      </c>
      <c r="H268" s="10">
        <v>0</v>
      </c>
      <c r="I268" s="310">
        <v>0</v>
      </c>
      <c r="J268" s="405">
        <v>0</v>
      </c>
      <c r="K268" s="409">
        <v>0</v>
      </c>
      <c r="L268" s="426"/>
      <c r="O268"/>
      <c r="P268"/>
      <c r="Q268"/>
    </row>
    <row r="269" spans="1:17" s="1" customFormat="1" ht="18.25" customHeight="1" outlineLevel="1">
      <c r="A269" s="570"/>
      <c r="B269" s="12" t="s">
        <v>9</v>
      </c>
      <c r="C269" s="13" t="s">
        <v>126</v>
      </c>
      <c r="D269" s="14">
        <v>3</v>
      </c>
      <c r="E269" s="15">
        <v>0</v>
      </c>
      <c r="F269" s="16">
        <v>0</v>
      </c>
      <c r="G269" s="15">
        <v>1</v>
      </c>
      <c r="H269" s="17">
        <v>4662</v>
      </c>
      <c r="I269" s="311">
        <v>1</v>
      </c>
      <c r="J269" s="312">
        <v>0</v>
      </c>
      <c r="K269" s="410">
        <v>0</v>
      </c>
      <c r="L269" s="427">
        <v>0</v>
      </c>
      <c r="M269" s="1" t="s">
        <v>169</v>
      </c>
      <c r="O269"/>
      <c r="P269"/>
      <c r="Q269"/>
    </row>
    <row r="270" spans="1:17" s="1" customFormat="1" ht="18.25" customHeight="1" outlineLevel="2">
      <c r="A270" s="570"/>
      <c r="B270" s="5" t="s">
        <v>9</v>
      </c>
      <c r="C270" s="39" t="s">
        <v>819</v>
      </c>
      <c r="D270" s="23" t="s">
        <v>221</v>
      </c>
      <c r="E270" s="42">
        <v>1</v>
      </c>
      <c r="F270" s="43">
        <v>77810</v>
      </c>
      <c r="G270" s="42">
        <v>4</v>
      </c>
      <c r="H270" s="44">
        <v>114507</v>
      </c>
      <c r="I270" s="310">
        <v>1</v>
      </c>
      <c r="J270" s="405">
        <v>1</v>
      </c>
      <c r="K270" s="409">
        <v>1</v>
      </c>
      <c r="L270" s="426"/>
      <c r="O270"/>
      <c r="P270"/>
      <c r="Q270"/>
    </row>
    <row r="271" spans="1:17" s="1" customFormat="1" ht="18.25" customHeight="1" outlineLevel="2">
      <c r="A271" s="570"/>
      <c r="B271" s="5" t="s">
        <v>2</v>
      </c>
      <c r="C271" s="39" t="s">
        <v>810</v>
      </c>
      <c r="D271" s="23" t="s">
        <v>27</v>
      </c>
      <c r="E271" s="8">
        <v>0</v>
      </c>
      <c r="F271" s="9">
        <v>0</v>
      </c>
      <c r="G271" s="8">
        <v>0</v>
      </c>
      <c r="H271" s="10">
        <v>0</v>
      </c>
      <c r="I271" s="310">
        <v>0</v>
      </c>
      <c r="J271" s="405">
        <v>0</v>
      </c>
      <c r="K271" s="409">
        <v>0</v>
      </c>
      <c r="L271" s="426"/>
      <c r="O271"/>
      <c r="P271"/>
      <c r="Q271"/>
    </row>
    <row r="272" spans="1:17" s="1" customFormat="1" ht="18.25" customHeight="1" outlineLevel="2">
      <c r="A272" s="570"/>
      <c r="B272" s="5" t="s">
        <v>2</v>
      </c>
      <c r="C272" s="6" t="s">
        <v>381</v>
      </c>
      <c r="D272" s="7" t="s">
        <v>27</v>
      </c>
      <c r="E272" s="8">
        <v>0</v>
      </c>
      <c r="F272" s="9">
        <v>0</v>
      </c>
      <c r="G272" s="8">
        <v>2</v>
      </c>
      <c r="H272" s="10">
        <v>25524</v>
      </c>
      <c r="I272" s="310">
        <v>1</v>
      </c>
      <c r="J272" s="405">
        <v>1</v>
      </c>
      <c r="K272" s="409">
        <v>1</v>
      </c>
      <c r="L272" s="426"/>
      <c r="O272"/>
      <c r="P272"/>
      <c r="Q272"/>
    </row>
    <row r="273" spans="1:17" s="1" customFormat="1" ht="18.25" customHeight="1" outlineLevel="1">
      <c r="A273" s="570"/>
      <c r="B273" s="12" t="s">
        <v>9</v>
      </c>
      <c r="C273" s="13" t="s">
        <v>226</v>
      </c>
      <c r="D273" s="14">
        <v>3</v>
      </c>
      <c r="E273" s="15">
        <v>1</v>
      </c>
      <c r="F273" s="16">
        <v>77810</v>
      </c>
      <c r="G273" s="15">
        <v>6</v>
      </c>
      <c r="H273" s="17">
        <v>140031</v>
      </c>
      <c r="I273" s="311">
        <v>2</v>
      </c>
      <c r="J273" s="312">
        <v>2</v>
      </c>
      <c r="K273" s="410">
        <v>2</v>
      </c>
      <c r="L273" s="427">
        <v>0</v>
      </c>
      <c r="M273" s="1" t="s">
        <v>51</v>
      </c>
      <c r="O273"/>
      <c r="P273"/>
      <c r="Q273"/>
    </row>
    <row r="274" spans="1:17" s="1" customFormat="1" ht="18.25" customHeight="1" outlineLevel="2">
      <c r="A274" s="570"/>
      <c r="B274" s="5" t="s">
        <v>9</v>
      </c>
      <c r="C274" s="18" t="s">
        <v>128</v>
      </c>
      <c r="D274" s="19" t="s">
        <v>40</v>
      </c>
      <c r="E274" s="8">
        <v>0</v>
      </c>
      <c r="F274" s="9">
        <v>0</v>
      </c>
      <c r="G274" s="8">
        <v>0</v>
      </c>
      <c r="H274" s="10">
        <v>0</v>
      </c>
      <c r="I274" s="310">
        <v>0</v>
      </c>
      <c r="J274" s="405">
        <v>0</v>
      </c>
      <c r="K274" s="409">
        <v>0</v>
      </c>
      <c r="L274" s="426"/>
      <c r="O274"/>
      <c r="P274"/>
      <c r="Q274"/>
    </row>
    <row r="275" spans="1:17" ht="18.25" customHeight="1" outlineLevel="2">
      <c r="B275" s="5" t="s">
        <v>9</v>
      </c>
      <c r="C275" s="6" t="s">
        <v>129</v>
      </c>
      <c r="D275" s="7" t="s">
        <v>17</v>
      </c>
      <c r="E275" s="8">
        <v>0</v>
      </c>
      <c r="F275" s="9">
        <v>0</v>
      </c>
      <c r="G275" s="8">
        <v>0</v>
      </c>
      <c r="H275" s="10">
        <v>0</v>
      </c>
      <c r="I275" s="310">
        <v>0</v>
      </c>
      <c r="J275" s="405">
        <v>0</v>
      </c>
      <c r="K275" s="409">
        <v>0</v>
      </c>
      <c r="L275" s="426"/>
    </row>
    <row r="276" spans="1:17" s="65" customFormat="1" ht="18.25" customHeight="1" outlineLevel="1">
      <c r="A276" s="571"/>
      <c r="B276" s="47" t="s">
        <v>9</v>
      </c>
      <c r="C276" s="61" t="s">
        <v>128</v>
      </c>
      <c r="D276" s="26">
        <v>2</v>
      </c>
      <c r="E276" s="62">
        <v>0</v>
      </c>
      <c r="F276" s="63">
        <v>0</v>
      </c>
      <c r="G276" s="62">
        <v>0</v>
      </c>
      <c r="H276" s="64">
        <v>0</v>
      </c>
      <c r="I276" s="316">
        <v>0</v>
      </c>
      <c r="J276" s="317">
        <v>0</v>
      </c>
      <c r="K276" s="412">
        <v>0</v>
      </c>
      <c r="L276" s="429">
        <v>0</v>
      </c>
      <c r="M276" s="249" t="s">
        <v>51</v>
      </c>
      <c r="N276" s="249"/>
    </row>
    <row r="277" spans="1:17" ht="18.25" customHeight="1" outlineLevel="2">
      <c r="B277" s="5" t="s">
        <v>9</v>
      </c>
      <c r="C277" s="6" t="s">
        <v>478</v>
      </c>
      <c r="D277" s="7" t="s">
        <v>240</v>
      </c>
      <c r="E277" s="8">
        <v>0</v>
      </c>
      <c r="F277" s="9">
        <v>0</v>
      </c>
      <c r="G277" s="8">
        <v>0</v>
      </c>
      <c r="H277" s="10">
        <v>0</v>
      </c>
      <c r="I277" s="310">
        <v>0</v>
      </c>
      <c r="J277" s="405">
        <v>0</v>
      </c>
      <c r="K277" s="409">
        <v>0</v>
      </c>
      <c r="L277" s="426"/>
    </row>
    <row r="278" spans="1:17" ht="18.25" customHeight="1" outlineLevel="2">
      <c r="B278" s="5" t="s">
        <v>9</v>
      </c>
      <c r="C278" s="39" t="s">
        <v>513</v>
      </c>
      <c r="D278" s="7" t="s">
        <v>188</v>
      </c>
      <c r="E278" s="8">
        <v>0</v>
      </c>
      <c r="F278" s="9">
        <v>0</v>
      </c>
      <c r="G278" s="8">
        <v>4</v>
      </c>
      <c r="H278" s="10">
        <v>30120</v>
      </c>
      <c r="I278" s="310">
        <v>1</v>
      </c>
      <c r="J278" s="405">
        <v>1</v>
      </c>
      <c r="K278" s="409">
        <v>1</v>
      </c>
      <c r="L278" s="426"/>
    </row>
    <row r="279" spans="1:17" s="65" customFormat="1" ht="18.25" customHeight="1" outlineLevel="1">
      <c r="A279" s="571"/>
      <c r="B279" s="47" t="s">
        <v>9</v>
      </c>
      <c r="C279" s="61" t="s">
        <v>478</v>
      </c>
      <c r="D279" s="26">
        <v>2</v>
      </c>
      <c r="E279" s="62">
        <v>0</v>
      </c>
      <c r="F279" s="63">
        <v>0</v>
      </c>
      <c r="G279" s="62">
        <v>4</v>
      </c>
      <c r="H279" s="64">
        <v>30120</v>
      </c>
      <c r="I279" s="316">
        <v>1</v>
      </c>
      <c r="J279" s="317">
        <v>1</v>
      </c>
      <c r="K279" s="412">
        <v>1</v>
      </c>
      <c r="L279" s="429">
        <v>0</v>
      </c>
      <c r="M279" s="249" t="s">
        <v>171</v>
      </c>
      <c r="N279" s="249"/>
    </row>
    <row r="280" spans="1:17" ht="18.25" customHeight="1" outlineLevel="2">
      <c r="B280" s="5" t="s">
        <v>9</v>
      </c>
      <c r="C280" s="6" t="s">
        <v>291</v>
      </c>
      <c r="D280" s="7" t="s">
        <v>237</v>
      </c>
      <c r="E280" s="8">
        <v>0</v>
      </c>
      <c r="F280" s="9">
        <v>0</v>
      </c>
      <c r="G280" s="8">
        <v>6</v>
      </c>
      <c r="H280" s="10">
        <v>37632</v>
      </c>
      <c r="I280" s="310">
        <v>1</v>
      </c>
      <c r="J280" s="405">
        <v>1</v>
      </c>
      <c r="K280" s="409">
        <v>1</v>
      </c>
      <c r="L280" s="426"/>
    </row>
    <row r="281" spans="1:17" s="65" customFormat="1" ht="18.25" customHeight="1" outlineLevel="1">
      <c r="A281" s="571"/>
      <c r="B281" s="47" t="s">
        <v>9</v>
      </c>
      <c r="C281" s="61" t="s">
        <v>291</v>
      </c>
      <c r="D281" s="26">
        <v>1</v>
      </c>
      <c r="E281" s="62">
        <v>0</v>
      </c>
      <c r="F281" s="63">
        <v>0</v>
      </c>
      <c r="G281" s="62">
        <v>6</v>
      </c>
      <c r="H281" s="64">
        <v>37632</v>
      </c>
      <c r="I281" s="316">
        <v>1</v>
      </c>
      <c r="J281" s="317">
        <v>1</v>
      </c>
      <c r="K281" s="412">
        <v>1</v>
      </c>
      <c r="L281" s="429">
        <v>0</v>
      </c>
      <c r="M281" s="249" t="s">
        <v>667</v>
      </c>
      <c r="N281" s="249"/>
    </row>
    <row r="282" spans="1:17" ht="18.25" customHeight="1" outlineLevel="2">
      <c r="B282" s="5" t="s">
        <v>9</v>
      </c>
      <c r="C282" s="6" t="s">
        <v>277</v>
      </c>
      <c r="D282" s="7" t="s">
        <v>25</v>
      </c>
      <c r="E282" s="8">
        <v>0</v>
      </c>
      <c r="F282" s="9">
        <v>0</v>
      </c>
      <c r="G282" s="8">
        <v>0</v>
      </c>
      <c r="H282" s="10">
        <v>0</v>
      </c>
      <c r="I282" s="310">
        <v>0</v>
      </c>
      <c r="J282" s="405">
        <v>0</v>
      </c>
      <c r="K282" s="409">
        <v>0</v>
      </c>
      <c r="L282" s="426"/>
    </row>
    <row r="283" spans="1:17" ht="18.25" customHeight="1" outlineLevel="2">
      <c r="B283" s="5" t="s">
        <v>9</v>
      </c>
      <c r="C283" s="6" t="s">
        <v>352</v>
      </c>
      <c r="D283" s="7" t="s">
        <v>17</v>
      </c>
      <c r="E283" s="8">
        <v>0</v>
      </c>
      <c r="F283" s="9">
        <v>0</v>
      </c>
      <c r="G283" s="8">
        <v>1</v>
      </c>
      <c r="H283" s="10">
        <v>3915</v>
      </c>
      <c r="I283" s="310">
        <v>1</v>
      </c>
      <c r="J283" s="405">
        <v>0</v>
      </c>
      <c r="K283" s="409">
        <v>0</v>
      </c>
      <c r="L283" s="426"/>
    </row>
    <row r="284" spans="1:17" s="65" customFormat="1" ht="18.25" customHeight="1" outlineLevel="1">
      <c r="A284" s="571"/>
      <c r="B284" s="47" t="s">
        <v>9</v>
      </c>
      <c r="C284" s="61" t="s">
        <v>372</v>
      </c>
      <c r="D284" s="26">
        <v>2</v>
      </c>
      <c r="E284" s="62">
        <v>0</v>
      </c>
      <c r="F284" s="63">
        <v>0</v>
      </c>
      <c r="G284" s="62">
        <v>1</v>
      </c>
      <c r="H284" s="64">
        <v>3915</v>
      </c>
      <c r="I284" s="316">
        <v>1</v>
      </c>
      <c r="J284" s="317">
        <v>0</v>
      </c>
      <c r="K284" s="412">
        <v>0</v>
      </c>
      <c r="L284" s="429">
        <v>0</v>
      </c>
      <c r="M284" s="249" t="s">
        <v>169</v>
      </c>
      <c r="N284" s="249"/>
    </row>
    <row r="285" spans="1:17" s="149" customFormat="1" ht="18.25" customHeight="1">
      <c r="A285" s="569" t="s">
        <v>836</v>
      </c>
      <c r="B285" s="945" t="s">
        <v>9</v>
      </c>
      <c r="C285" s="946"/>
      <c r="D285" s="145">
        <v>39</v>
      </c>
      <c r="E285" s="146">
        <v>2</v>
      </c>
      <c r="F285" s="147">
        <v>85241</v>
      </c>
      <c r="G285" s="146">
        <v>29</v>
      </c>
      <c r="H285" s="148">
        <v>371767</v>
      </c>
      <c r="I285" s="314">
        <v>15</v>
      </c>
      <c r="J285" s="315">
        <v>6</v>
      </c>
      <c r="K285" s="411">
        <v>6</v>
      </c>
      <c r="L285" s="428">
        <v>0</v>
      </c>
      <c r="M285" s="248"/>
      <c r="N285" s="248"/>
    </row>
    <row r="286" spans="1:17" ht="18.25" customHeight="1" outlineLevel="2">
      <c r="B286" s="5" t="s">
        <v>3</v>
      </c>
      <c r="C286" s="6" t="s">
        <v>130</v>
      </c>
      <c r="D286" s="7" t="s">
        <v>16</v>
      </c>
      <c r="E286" s="8">
        <v>0</v>
      </c>
      <c r="F286" s="9">
        <v>0</v>
      </c>
      <c r="G286" s="8">
        <v>0</v>
      </c>
      <c r="H286" s="10">
        <v>0</v>
      </c>
      <c r="I286" s="310">
        <v>0</v>
      </c>
      <c r="J286" s="405">
        <v>0</v>
      </c>
      <c r="K286" s="409">
        <v>0</v>
      </c>
      <c r="L286" s="426"/>
    </row>
    <row r="287" spans="1:17" ht="18.25" customHeight="1" outlineLevel="1">
      <c r="B287" s="12" t="s">
        <v>3</v>
      </c>
      <c r="C287" s="13" t="s">
        <v>130</v>
      </c>
      <c r="D287" s="14">
        <v>1</v>
      </c>
      <c r="E287" s="15">
        <v>0</v>
      </c>
      <c r="F287" s="16">
        <v>0</v>
      </c>
      <c r="G287" s="15">
        <v>0</v>
      </c>
      <c r="H287" s="17">
        <v>0</v>
      </c>
      <c r="I287" s="311">
        <v>0</v>
      </c>
      <c r="J287" s="312">
        <v>0</v>
      </c>
      <c r="K287" s="410">
        <v>0</v>
      </c>
      <c r="L287" s="427">
        <v>0</v>
      </c>
      <c r="M287" s="1" t="s">
        <v>167</v>
      </c>
    </row>
    <row r="288" spans="1:17" ht="18.25" customHeight="1" outlineLevel="2">
      <c r="B288" s="5" t="s">
        <v>3</v>
      </c>
      <c r="C288" s="6" t="s">
        <v>646</v>
      </c>
      <c r="D288" s="7" t="s">
        <v>25</v>
      </c>
      <c r="E288" s="8">
        <v>0</v>
      </c>
      <c r="F288" s="9">
        <v>0</v>
      </c>
      <c r="G288" s="8">
        <v>0</v>
      </c>
      <c r="H288" s="10">
        <v>0</v>
      </c>
      <c r="I288" s="310">
        <v>0</v>
      </c>
      <c r="J288" s="405">
        <v>0</v>
      </c>
      <c r="K288" s="409">
        <v>0</v>
      </c>
      <c r="L288" s="426"/>
    </row>
    <row r="289" spans="1:17" ht="18.25" customHeight="1" outlineLevel="2">
      <c r="B289" s="5" t="s">
        <v>3</v>
      </c>
      <c r="C289" s="6" t="s">
        <v>799</v>
      </c>
      <c r="D289" s="7" t="s">
        <v>17</v>
      </c>
      <c r="E289" s="8">
        <v>0</v>
      </c>
      <c r="F289" s="9">
        <v>0</v>
      </c>
      <c r="G289" s="8">
        <v>0</v>
      </c>
      <c r="H289" s="10">
        <v>0</v>
      </c>
      <c r="I289" s="310">
        <v>0</v>
      </c>
      <c r="J289" s="405">
        <v>0</v>
      </c>
      <c r="K289" s="409">
        <v>0</v>
      </c>
      <c r="L289" s="426"/>
    </row>
    <row r="290" spans="1:17" s="1" customFormat="1" ht="18.25" customHeight="1" outlineLevel="1">
      <c r="A290" s="570"/>
      <c r="B290" s="12" t="s">
        <v>3</v>
      </c>
      <c r="C290" s="13" t="s">
        <v>646</v>
      </c>
      <c r="D290" s="14">
        <v>2</v>
      </c>
      <c r="E290" s="15">
        <v>0</v>
      </c>
      <c r="F290" s="16">
        <v>0</v>
      </c>
      <c r="G290" s="15">
        <v>0</v>
      </c>
      <c r="H290" s="17">
        <v>0</v>
      </c>
      <c r="I290" s="311">
        <v>0</v>
      </c>
      <c r="J290" s="312">
        <v>0</v>
      </c>
      <c r="K290" s="410">
        <v>0</v>
      </c>
      <c r="L290" s="427">
        <v>0</v>
      </c>
      <c r="M290" s="1" t="s">
        <v>169</v>
      </c>
      <c r="O290"/>
      <c r="P290"/>
      <c r="Q290"/>
    </row>
    <row r="291" spans="1:17" s="1" customFormat="1" ht="18.25" customHeight="1" outlineLevel="2">
      <c r="A291" s="570"/>
      <c r="B291" s="5" t="s">
        <v>3</v>
      </c>
      <c r="C291" s="39" t="s">
        <v>723</v>
      </c>
      <c r="D291" s="40" t="s">
        <v>189</v>
      </c>
      <c r="E291" s="8">
        <v>0</v>
      </c>
      <c r="F291" s="9">
        <v>0</v>
      </c>
      <c r="G291" s="8">
        <v>1</v>
      </c>
      <c r="H291" s="10">
        <v>1215</v>
      </c>
      <c r="I291" s="310">
        <v>1</v>
      </c>
      <c r="J291" s="405">
        <v>0</v>
      </c>
      <c r="K291" s="409">
        <v>0</v>
      </c>
      <c r="L291" s="426"/>
      <c r="O291"/>
      <c r="P291"/>
      <c r="Q291"/>
    </row>
    <row r="292" spans="1:17" s="1" customFormat="1" ht="18.25" customHeight="1" outlineLevel="1">
      <c r="A292" s="570"/>
      <c r="B292" s="12" t="s">
        <v>3</v>
      </c>
      <c r="C292" s="25" t="s">
        <v>723</v>
      </c>
      <c r="D292" s="26">
        <v>1</v>
      </c>
      <c r="E292" s="15">
        <v>0</v>
      </c>
      <c r="F292" s="16">
        <v>0</v>
      </c>
      <c r="G292" s="15">
        <v>1</v>
      </c>
      <c r="H292" s="17">
        <v>1215</v>
      </c>
      <c r="I292" s="311">
        <v>1</v>
      </c>
      <c r="J292" s="312">
        <v>0</v>
      </c>
      <c r="K292" s="410">
        <v>0</v>
      </c>
      <c r="L292" s="427">
        <v>0</v>
      </c>
      <c r="M292" s="1" t="s">
        <v>169</v>
      </c>
      <c r="O292"/>
      <c r="P292"/>
      <c r="Q292"/>
    </row>
    <row r="293" spans="1:17" s="1" customFormat="1" ht="18.25" customHeight="1" outlineLevel="2">
      <c r="A293" s="570"/>
      <c r="B293" s="5" t="s">
        <v>3</v>
      </c>
      <c r="C293" s="39" t="s">
        <v>807</v>
      </c>
      <c r="D293" s="40" t="s">
        <v>369</v>
      </c>
      <c r="E293" s="8">
        <v>0</v>
      </c>
      <c r="F293" s="9">
        <v>0</v>
      </c>
      <c r="G293" s="8">
        <v>0</v>
      </c>
      <c r="H293" s="10">
        <v>0</v>
      </c>
      <c r="I293" s="310">
        <v>0</v>
      </c>
      <c r="J293" s="405">
        <v>0</v>
      </c>
      <c r="K293" s="409">
        <v>0</v>
      </c>
      <c r="L293" s="426"/>
      <c r="O293"/>
      <c r="P293"/>
      <c r="Q293"/>
    </row>
    <row r="294" spans="1:17" s="1" customFormat="1" ht="18.25" customHeight="1" outlineLevel="1">
      <c r="A294" s="570"/>
      <c r="B294" s="12" t="s">
        <v>3</v>
      </c>
      <c r="C294" s="25" t="s">
        <v>807</v>
      </c>
      <c r="D294" s="26">
        <v>1</v>
      </c>
      <c r="E294" s="15">
        <v>0</v>
      </c>
      <c r="F294" s="16">
        <v>0</v>
      </c>
      <c r="G294" s="15">
        <v>0</v>
      </c>
      <c r="H294" s="17">
        <v>0</v>
      </c>
      <c r="I294" s="311">
        <v>0</v>
      </c>
      <c r="J294" s="312">
        <v>0</v>
      </c>
      <c r="K294" s="410">
        <v>0</v>
      </c>
      <c r="L294" s="427">
        <v>0</v>
      </c>
      <c r="M294" s="1" t="s">
        <v>668</v>
      </c>
      <c r="O294"/>
      <c r="P294"/>
      <c r="Q294"/>
    </row>
    <row r="295" spans="1:17" s="1" customFormat="1" ht="18.25" customHeight="1" outlineLevel="2">
      <c r="A295" s="570"/>
      <c r="B295" s="5" t="s">
        <v>3</v>
      </c>
      <c r="C295" s="39" t="s">
        <v>131</v>
      </c>
      <c r="D295" s="40" t="s">
        <v>40</v>
      </c>
      <c r="E295" s="8">
        <v>0</v>
      </c>
      <c r="F295" s="9">
        <v>0</v>
      </c>
      <c r="G295" s="8">
        <v>1</v>
      </c>
      <c r="H295" s="10">
        <v>18470</v>
      </c>
      <c r="I295" s="310">
        <v>1</v>
      </c>
      <c r="J295" s="405">
        <v>0</v>
      </c>
      <c r="K295" s="409">
        <v>0</v>
      </c>
      <c r="L295" s="426"/>
      <c r="O295"/>
      <c r="P295"/>
      <c r="Q295"/>
    </row>
    <row r="296" spans="1:17" s="1" customFormat="1" ht="18.25" customHeight="1" outlineLevel="2">
      <c r="A296" s="570"/>
      <c r="B296" s="5" t="s">
        <v>3</v>
      </c>
      <c r="C296" s="6" t="s">
        <v>294</v>
      </c>
      <c r="D296" s="7" t="s">
        <v>17</v>
      </c>
      <c r="E296" s="8">
        <v>0</v>
      </c>
      <c r="F296" s="9">
        <v>0</v>
      </c>
      <c r="G296" s="8">
        <v>1</v>
      </c>
      <c r="H296" s="10">
        <v>18470</v>
      </c>
      <c r="I296" s="310">
        <v>1</v>
      </c>
      <c r="J296" s="405">
        <v>1</v>
      </c>
      <c r="K296" s="409">
        <v>0</v>
      </c>
      <c r="L296" s="426"/>
      <c r="O296"/>
      <c r="P296"/>
      <c r="Q296"/>
    </row>
    <row r="297" spans="1:17" s="1" customFormat="1" ht="18.25" customHeight="1" outlineLevel="2">
      <c r="A297" s="570"/>
      <c r="B297" s="5" t="s">
        <v>3</v>
      </c>
      <c r="C297" s="6" t="s">
        <v>650</v>
      </c>
      <c r="D297" s="7" t="s">
        <v>17</v>
      </c>
      <c r="E297" s="8">
        <v>0</v>
      </c>
      <c r="F297" s="9">
        <v>0</v>
      </c>
      <c r="G297" s="8">
        <v>0</v>
      </c>
      <c r="H297" s="10">
        <v>0</v>
      </c>
      <c r="I297" s="310">
        <v>0</v>
      </c>
      <c r="J297" s="405">
        <v>0</v>
      </c>
      <c r="K297" s="409">
        <v>0</v>
      </c>
      <c r="L297" s="426"/>
      <c r="O297"/>
      <c r="P297"/>
      <c r="Q297"/>
    </row>
    <row r="298" spans="1:17" s="1" customFormat="1" ht="18.25" customHeight="1" outlineLevel="1">
      <c r="A298" s="570"/>
      <c r="B298" s="12" t="s">
        <v>3</v>
      </c>
      <c r="C298" s="25" t="s">
        <v>131</v>
      </c>
      <c r="D298" s="26">
        <v>3</v>
      </c>
      <c r="E298" s="15">
        <v>0</v>
      </c>
      <c r="F298" s="16">
        <v>0</v>
      </c>
      <c r="G298" s="15">
        <v>2</v>
      </c>
      <c r="H298" s="17">
        <v>36940</v>
      </c>
      <c r="I298" s="311">
        <v>2</v>
      </c>
      <c r="J298" s="312">
        <v>1</v>
      </c>
      <c r="K298" s="410">
        <v>0</v>
      </c>
      <c r="L298" s="427">
        <v>0</v>
      </c>
      <c r="M298" s="1" t="s">
        <v>51</v>
      </c>
      <c r="O298"/>
      <c r="P298"/>
      <c r="Q298"/>
    </row>
    <row r="299" spans="1:17" s="1" customFormat="1" ht="18" customHeight="1" outlineLevel="2">
      <c r="A299" s="570"/>
      <c r="B299" s="5" t="s">
        <v>3</v>
      </c>
      <c r="C299" s="6" t="s">
        <v>132</v>
      </c>
      <c r="D299" s="19" t="s">
        <v>40</v>
      </c>
      <c r="E299" s="8">
        <v>0</v>
      </c>
      <c r="F299" s="9">
        <v>0</v>
      </c>
      <c r="G299" s="8">
        <v>0</v>
      </c>
      <c r="H299" s="10">
        <v>0</v>
      </c>
      <c r="I299" s="310">
        <v>0</v>
      </c>
      <c r="J299" s="405">
        <v>0</v>
      </c>
      <c r="K299" s="409">
        <v>0</v>
      </c>
      <c r="L299" s="426"/>
      <c r="O299"/>
      <c r="P299"/>
      <c r="Q299"/>
    </row>
    <row r="300" spans="1:17" s="1" customFormat="1" ht="18.25" customHeight="1" outlineLevel="2">
      <c r="A300" s="570"/>
      <c r="B300" s="5" t="s">
        <v>3</v>
      </c>
      <c r="C300" s="6" t="s">
        <v>918</v>
      </c>
      <c r="D300" s="7" t="s">
        <v>17</v>
      </c>
      <c r="E300" s="8">
        <v>0</v>
      </c>
      <c r="F300" s="9">
        <v>0</v>
      </c>
      <c r="G300" s="8">
        <v>0</v>
      </c>
      <c r="H300" s="10">
        <v>0</v>
      </c>
      <c r="I300" s="310">
        <v>0</v>
      </c>
      <c r="J300" s="405">
        <v>0</v>
      </c>
      <c r="K300" s="409">
        <v>0</v>
      </c>
      <c r="L300" s="426"/>
      <c r="O300"/>
      <c r="P300"/>
      <c r="Q300"/>
    </row>
    <row r="301" spans="1:17" s="1" customFormat="1" ht="18.25" customHeight="1" outlineLevel="2">
      <c r="A301" s="570"/>
      <c r="B301" s="5" t="s">
        <v>3</v>
      </c>
      <c r="C301" s="6" t="s">
        <v>139</v>
      </c>
      <c r="D301" s="7" t="s">
        <v>17</v>
      </c>
      <c r="E301" s="8">
        <v>0</v>
      </c>
      <c r="F301" s="9">
        <v>0</v>
      </c>
      <c r="G301" s="8">
        <v>1</v>
      </c>
      <c r="H301" s="10">
        <v>20000</v>
      </c>
      <c r="I301" s="310">
        <v>1</v>
      </c>
      <c r="J301" s="405">
        <v>1</v>
      </c>
      <c r="K301" s="409">
        <v>0</v>
      </c>
      <c r="L301" s="426"/>
      <c r="O301"/>
      <c r="P301"/>
      <c r="Q301"/>
    </row>
    <row r="302" spans="1:17" s="1" customFormat="1" ht="18.25" customHeight="1" outlineLevel="2">
      <c r="A302" s="570"/>
      <c r="B302" s="5" t="s">
        <v>3</v>
      </c>
      <c r="C302" s="6" t="s">
        <v>285</v>
      </c>
      <c r="D302" s="7" t="s">
        <v>17</v>
      </c>
      <c r="E302" s="8">
        <v>0</v>
      </c>
      <c r="F302" s="9">
        <v>0</v>
      </c>
      <c r="G302" s="8">
        <v>0</v>
      </c>
      <c r="H302" s="10">
        <v>0</v>
      </c>
      <c r="I302" s="310">
        <v>0</v>
      </c>
      <c r="J302" s="405">
        <v>0</v>
      </c>
      <c r="K302" s="409">
        <v>0</v>
      </c>
      <c r="L302" s="426"/>
      <c r="O302"/>
      <c r="P302"/>
      <c r="Q302"/>
    </row>
    <row r="303" spans="1:17" s="1" customFormat="1" ht="18.25" customHeight="1" outlineLevel="1">
      <c r="A303" s="570"/>
      <c r="B303" s="12" t="s">
        <v>3</v>
      </c>
      <c r="C303" s="13" t="s">
        <v>132</v>
      </c>
      <c r="D303" s="14">
        <v>4</v>
      </c>
      <c r="E303" s="15">
        <v>0</v>
      </c>
      <c r="F303" s="16">
        <v>0</v>
      </c>
      <c r="G303" s="15">
        <v>1</v>
      </c>
      <c r="H303" s="17">
        <v>20000</v>
      </c>
      <c r="I303" s="311">
        <v>1</v>
      </c>
      <c r="J303" s="312">
        <v>1</v>
      </c>
      <c r="K303" s="410">
        <v>0</v>
      </c>
      <c r="L303" s="427">
        <v>0</v>
      </c>
      <c r="M303" s="1" t="s">
        <v>51</v>
      </c>
      <c r="O303"/>
      <c r="P303"/>
      <c r="Q303"/>
    </row>
    <row r="304" spans="1:17" s="1" customFormat="1" ht="18.25" customHeight="1" outlineLevel="2">
      <c r="A304" s="570"/>
      <c r="B304" s="5" t="s">
        <v>3</v>
      </c>
      <c r="C304" s="39" t="s">
        <v>716</v>
      </c>
      <c r="D304" s="40" t="s">
        <v>369</v>
      </c>
      <c r="E304" s="8">
        <v>0</v>
      </c>
      <c r="F304" s="9">
        <v>0</v>
      </c>
      <c r="G304" s="8">
        <v>0</v>
      </c>
      <c r="H304" s="10">
        <v>0</v>
      </c>
      <c r="I304" s="310">
        <v>0</v>
      </c>
      <c r="J304" s="405">
        <v>0</v>
      </c>
      <c r="K304" s="409">
        <v>0</v>
      </c>
      <c r="L304" s="426"/>
      <c r="O304"/>
      <c r="P304"/>
      <c r="Q304"/>
    </row>
    <row r="305" spans="1:17" s="1" customFormat="1" ht="18.25" customHeight="1" outlineLevel="1">
      <c r="A305" s="570"/>
      <c r="B305" s="12" t="s">
        <v>3</v>
      </c>
      <c r="C305" s="25" t="s">
        <v>716</v>
      </c>
      <c r="D305" s="26">
        <v>1</v>
      </c>
      <c r="E305" s="15">
        <v>0</v>
      </c>
      <c r="F305" s="16">
        <v>0</v>
      </c>
      <c r="G305" s="15">
        <v>0</v>
      </c>
      <c r="H305" s="17">
        <v>0</v>
      </c>
      <c r="I305" s="311">
        <v>0</v>
      </c>
      <c r="J305" s="312">
        <v>0</v>
      </c>
      <c r="K305" s="410">
        <v>0</v>
      </c>
      <c r="L305" s="427">
        <v>0</v>
      </c>
      <c r="M305" s="1" t="s">
        <v>668</v>
      </c>
      <c r="O305"/>
      <c r="P305"/>
      <c r="Q305"/>
    </row>
    <row r="306" spans="1:17" s="1" customFormat="1" ht="18" customHeight="1" outlineLevel="2">
      <c r="A306" s="570"/>
      <c r="B306" s="5" t="s">
        <v>3</v>
      </c>
      <c r="C306" s="6" t="s">
        <v>343</v>
      </c>
      <c r="D306" s="19" t="s">
        <v>25</v>
      </c>
      <c r="E306" s="8">
        <v>0</v>
      </c>
      <c r="F306" s="9">
        <v>0</v>
      </c>
      <c r="G306" s="8">
        <v>0</v>
      </c>
      <c r="H306" s="10">
        <v>0</v>
      </c>
      <c r="I306" s="310">
        <v>0</v>
      </c>
      <c r="J306" s="405">
        <v>0</v>
      </c>
      <c r="K306" s="409">
        <v>0</v>
      </c>
      <c r="L306" s="426"/>
      <c r="O306"/>
      <c r="P306"/>
      <c r="Q306"/>
    </row>
    <row r="307" spans="1:17" s="1" customFormat="1" ht="18.25" customHeight="1" outlineLevel="2">
      <c r="A307" s="570"/>
      <c r="B307" s="5" t="s">
        <v>3</v>
      </c>
      <c r="C307" s="6" t="s">
        <v>620</v>
      </c>
      <c r="D307" s="7" t="s">
        <v>17</v>
      </c>
      <c r="E307" s="8">
        <v>0</v>
      </c>
      <c r="F307" s="9">
        <v>0</v>
      </c>
      <c r="G307" s="8">
        <v>0</v>
      </c>
      <c r="H307" s="10">
        <v>0</v>
      </c>
      <c r="I307" s="310">
        <v>0</v>
      </c>
      <c r="J307" s="405">
        <v>0</v>
      </c>
      <c r="K307" s="409">
        <v>0</v>
      </c>
      <c r="L307" s="426"/>
      <c r="O307"/>
      <c r="P307"/>
      <c r="Q307"/>
    </row>
    <row r="308" spans="1:17" s="1" customFormat="1" ht="18.25" customHeight="1" outlineLevel="1">
      <c r="A308" s="570"/>
      <c r="B308" s="12" t="s">
        <v>3</v>
      </c>
      <c r="C308" s="13" t="s">
        <v>343</v>
      </c>
      <c r="D308" s="14">
        <v>2</v>
      </c>
      <c r="E308" s="15">
        <v>0</v>
      </c>
      <c r="F308" s="16">
        <v>0</v>
      </c>
      <c r="G308" s="15">
        <v>0</v>
      </c>
      <c r="H308" s="17">
        <v>0</v>
      </c>
      <c r="I308" s="311">
        <v>0</v>
      </c>
      <c r="J308" s="312">
        <v>0</v>
      </c>
      <c r="K308" s="410">
        <v>0</v>
      </c>
      <c r="L308" s="427">
        <v>0</v>
      </c>
      <c r="M308" s="1" t="s">
        <v>169</v>
      </c>
      <c r="O308"/>
      <c r="P308"/>
      <c r="Q308"/>
    </row>
    <row r="309" spans="1:17" s="1" customFormat="1" ht="18.25" customHeight="1" outlineLevel="2">
      <c r="A309" s="570"/>
      <c r="B309" s="5" t="s">
        <v>3</v>
      </c>
      <c r="C309" s="11" t="s">
        <v>204</v>
      </c>
      <c r="D309" s="7" t="s">
        <v>22</v>
      </c>
      <c r="E309" s="8">
        <v>0</v>
      </c>
      <c r="F309" s="9">
        <v>0</v>
      </c>
      <c r="G309" s="8">
        <v>0</v>
      </c>
      <c r="H309" s="10">
        <v>0</v>
      </c>
      <c r="I309" s="310">
        <v>0</v>
      </c>
      <c r="J309" s="405">
        <v>0</v>
      </c>
      <c r="K309" s="409">
        <v>0</v>
      </c>
      <c r="L309" s="426"/>
      <c r="O309"/>
      <c r="P309"/>
      <c r="Q309"/>
    </row>
    <row r="310" spans="1:17" s="1" customFormat="1" ht="18.25" customHeight="1" outlineLevel="2">
      <c r="A310" s="570"/>
      <c r="B310" s="5" t="s">
        <v>3</v>
      </c>
      <c r="C310" s="11" t="s">
        <v>356</v>
      </c>
      <c r="D310" s="7" t="s">
        <v>17</v>
      </c>
      <c r="E310" s="8">
        <v>0</v>
      </c>
      <c r="F310" s="9">
        <v>0</v>
      </c>
      <c r="G310" s="8">
        <v>6</v>
      </c>
      <c r="H310" s="10">
        <v>46433</v>
      </c>
      <c r="I310" s="310">
        <v>1</v>
      </c>
      <c r="J310" s="405">
        <v>1</v>
      </c>
      <c r="K310" s="409">
        <v>1</v>
      </c>
      <c r="L310" s="426"/>
      <c r="O310"/>
      <c r="P310"/>
      <c r="Q310"/>
    </row>
    <row r="311" spans="1:17" s="1" customFormat="1" ht="18.25" customHeight="1" outlineLevel="1">
      <c r="A311" s="570"/>
      <c r="B311" s="12" t="s">
        <v>3</v>
      </c>
      <c r="C311" s="13" t="s">
        <v>495</v>
      </c>
      <c r="D311" s="14">
        <v>2</v>
      </c>
      <c r="E311" s="15">
        <v>0</v>
      </c>
      <c r="F311" s="16">
        <v>0</v>
      </c>
      <c r="G311" s="15">
        <v>6</v>
      </c>
      <c r="H311" s="17">
        <v>46433</v>
      </c>
      <c r="I311" s="311">
        <v>1</v>
      </c>
      <c r="J311" s="312">
        <v>1</v>
      </c>
      <c r="K311" s="410">
        <v>1</v>
      </c>
      <c r="L311" s="427">
        <v>0</v>
      </c>
      <c r="M311" s="1" t="s">
        <v>171</v>
      </c>
      <c r="O311"/>
      <c r="P311"/>
      <c r="Q311"/>
    </row>
    <row r="312" spans="1:17" s="1" customFormat="1" ht="18.25" customHeight="1" outlineLevel="2">
      <c r="A312" s="570"/>
      <c r="B312" s="5" t="s">
        <v>3</v>
      </c>
      <c r="C312" s="11" t="s">
        <v>224</v>
      </c>
      <c r="D312" s="7" t="s">
        <v>25</v>
      </c>
      <c r="E312" s="8">
        <v>0</v>
      </c>
      <c r="F312" s="9">
        <v>0</v>
      </c>
      <c r="G312" s="8">
        <v>0</v>
      </c>
      <c r="H312" s="10">
        <v>0</v>
      </c>
      <c r="I312" s="310">
        <v>0</v>
      </c>
      <c r="J312" s="405">
        <v>0</v>
      </c>
      <c r="K312" s="409">
        <v>0</v>
      </c>
      <c r="L312" s="426"/>
      <c r="O312"/>
      <c r="P312"/>
      <c r="Q312"/>
    </row>
    <row r="313" spans="1:17" s="1" customFormat="1" ht="18.25" customHeight="1" outlineLevel="2">
      <c r="A313" s="570"/>
      <c r="B313" s="5" t="s">
        <v>3</v>
      </c>
      <c r="C313" s="11" t="s">
        <v>475</v>
      </c>
      <c r="D313" s="7" t="s">
        <v>17</v>
      </c>
      <c r="E313" s="8">
        <v>0</v>
      </c>
      <c r="F313" s="9">
        <v>0</v>
      </c>
      <c r="G313" s="8">
        <v>0</v>
      </c>
      <c r="H313" s="10">
        <v>0</v>
      </c>
      <c r="I313" s="310">
        <v>0</v>
      </c>
      <c r="J313" s="405">
        <v>0</v>
      </c>
      <c r="K313" s="409">
        <v>0</v>
      </c>
      <c r="L313" s="426"/>
      <c r="O313"/>
      <c r="P313"/>
      <c r="Q313"/>
    </row>
    <row r="314" spans="1:17" s="1" customFormat="1" ht="18.25" customHeight="1" outlineLevel="1">
      <c r="A314" s="570"/>
      <c r="B314" s="12" t="s">
        <v>3</v>
      </c>
      <c r="C314" s="13" t="s">
        <v>480</v>
      </c>
      <c r="D314" s="14">
        <v>2</v>
      </c>
      <c r="E314" s="15">
        <v>0</v>
      </c>
      <c r="F314" s="16">
        <v>0</v>
      </c>
      <c r="G314" s="15">
        <v>0</v>
      </c>
      <c r="H314" s="17">
        <v>0</v>
      </c>
      <c r="I314" s="311">
        <v>0</v>
      </c>
      <c r="J314" s="312">
        <v>0</v>
      </c>
      <c r="K314" s="410">
        <v>0</v>
      </c>
      <c r="L314" s="427">
        <v>0</v>
      </c>
      <c r="M314" s="1" t="s">
        <v>169</v>
      </c>
      <c r="O314"/>
      <c r="P314"/>
      <c r="Q314"/>
    </row>
    <row r="315" spans="1:17" s="1" customFormat="1" ht="18.25" customHeight="1" outlineLevel="2">
      <c r="A315" s="570"/>
      <c r="B315" s="5" t="s">
        <v>3</v>
      </c>
      <c r="C315" s="6" t="s">
        <v>311</v>
      </c>
      <c r="D315" s="7" t="s">
        <v>25</v>
      </c>
      <c r="E315" s="8">
        <v>0</v>
      </c>
      <c r="F315" s="9">
        <v>0</v>
      </c>
      <c r="G315" s="8">
        <v>0</v>
      </c>
      <c r="H315" s="10">
        <v>0</v>
      </c>
      <c r="I315" s="310">
        <v>0</v>
      </c>
      <c r="J315" s="405">
        <v>0</v>
      </c>
      <c r="K315" s="409">
        <v>0</v>
      </c>
      <c r="L315" s="426"/>
      <c r="O315"/>
      <c r="P315"/>
      <c r="Q315"/>
    </row>
    <row r="316" spans="1:17" s="1" customFormat="1" ht="18.25" customHeight="1" outlineLevel="2">
      <c r="A316" s="570"/>
      <c r="B316" s="5" t="s">
        <v>3</v>
      </c>
      <c r="C316" s="38" t="s">
        <v>530</v>
      </c>
      <c r="D316" s="24" t="s">
        <v>17</v>
      </c>
      <c r="E316" s="8">
        <v>0</v>
      </c>
      <c r="F316" s="9">
        <v>0</v>
      </c>
      <c r="G316" s="8">
        <v>0</v>
      </c>
      <c r="H316" s="10">
        <v>0</v>
      </c>
      <c r="I316" s="310">
        <v>0</v>
      </c>
      <c r="J316" s="405">
        <v>0</v>
      </c>
      <c r="K316" s="409">
        <v>0</v>
      </c>
      <c r="L316" s="426"/>
      <c r="O316"/>
      <c r="P316"/>
      <c r="Q316"/>
    </row>
    <row r="317" spans="1:17" s="1" customFormat="1" ht="18.25" customHeight="1" outlineLevel="1">
      <c r="A317" s="570"/>
      <c r="B317" s="12" t="s">
        <v>3</v>
      </c>
      <c r="C317" s="13" t="s">
        <v>311</v>
      </c>
      <c r="D317" s="14">
        <v>2</v>
      </c>
      <c r="E317" s="15">
        <v>0</v>
      </c>
      <c r="F317" s="16">
        <v>0</v>
      </c>
      <c r="G317" s="15">
        <v>0</v>
      </c>
      <c r="H317" s="17">
        <v>0</v>
      </c>
      <c r="I317" s="311">
        <v>0</v>
      </c>
      <c r="J317" s="312">
        <v>0</v>
      </c>
      <c r="K317" s="410">
        <v>0</v>
      </c>
      <c r="L317" s="427">
        <v>0</v>
      </c>
      <c r="M317" s="1" t="s">
        <v>169</v>
      </c>
      <c r="O317"/>
      <c r="P317"/>
      <c r="Q317"/>
    </row>
    <row r="318" spans="1:17" s="1" customFormat="1" ht="18.25" customHeight="1" outlineLevel="2">
      <c r="A318" s="570"/>
      <c r="B318" s="5" t="s">
        <v>3</v>
      </c>
      <c r="C318" s="18" t="s">
        <v>137</v>
      </c>
      <c r="D318" s="7" t="s">
        <v>22</v>
      </c>
      <c r="E318" s="8">
        <v>0</v>
      </c>
      <c r="F318" s="9">
        <v>0</v>
      </c>
      <c r="G318" s="8">
        <v>0</v>
      </c>
      <c r="H318" s="10">
        <v>0</v>
      </c>
      <c r="I318" s="310">
        <v>0</v>
      </c>
      <c r="J318" s="405">
        <v>0</v>
      </c>
      <c r="K318" s="409">
        <v>0</v>
      </c>
      <c r="L318" s="426"/>
      <c r="O318"/>
      <c r="P318"/>
      <c r="Q318"/>
    </row>
    <row r="319" spans="1:17" s="1" customFormat="1" ht="18.25" customHeight="1" outlineLevel="2">
      <c r="A319" s="570"/>
      <c r="B319" s="5" t="s">
        <v>3</v>
      </c>
      <c r="C319" s="18" t="s">
        <v>138</v>
      </c>
      <c r="D319" s="7" t="s">
        <v>188</v>
      </c>
      <c r="E319" s="8">
        <v>0</v>
      </c>
      <c r="F319" s="9">
        <v>0</v>
      </c>
      <c r="G319" s="8">
        <v>0</v>
      </c>
      <c r="H319" s="10">
        <v>0</v>
      </c>
      <c r="I319" s="310">
        <v>0</v>
      </c>
      <c r="J319" s="405">
        <v>0</v>
      </c>
      <c r="K319" s="409">
        <v>0</v>
      </c>
      <c r="L319" s="426"/>
      <c r="O319"/>
      <c r="P319"/>
      <c r="Q319"/>
    </row>
    <row r="320" spans="1:17" s="1" customFormat="1" ht="18.25" customHeight="1" outlineLevel="1">
      <c r="A320" s="570"/>
      <c r="B320" s="12" t="s">
        <v>3</v>
      </c>
      <c r="C320" s="13" t="s">
        <v>137</v>
      </c>
      <c r="D320" s="14">
        <v>2</v>
      </c>
      <c r="E320" s="15">
        <v>0</v>
      </c>
      <c r="F320" s="16">
        <v>0</v>
      </c>
      <c r="G320" s="15">
        <v>0</v>
      </c>
      <c r="H320" s="17">
        <v>0</v>
      </c>
      <c r="I320" s="311">
        <v>0</v>
      </c>
      <c r="J320" s="312">
        <v>0</v>
      </c>
      <c r="K320" s="410">
        <v>0</v>
      </c>
      <c r="L320" s="427">
        <v>0</v>
      </c>
      <c r="M320" s="1" t="s">
        <v>171</v>
      </c>
      <c r="O320"/>
      <c r="P320"/>
      <c r="Q320"/>
    </row>
    <row r="321" spans="1:17" s="1" customFormat="1" ht="18.25" customHeight="1" outlineLevel="2">
      <c r="A321" s="570"/>
      <c r="B321" s="5" t="s">
        <v>3</v>
      </c>
      <c r="C321" s="6" t="s">
        <v>228</v>
      </c>
      <c r="D321" s="7" t="s">
        <v>240</v>
      </c>
      <c r="E321" s="8">
        <v>0</v>
      </c>
      <c r="F321" s="9">
        <v>0</v>
      </c>
      <c r="G321" s="8">
        <v>0</v>
      </c>
      <c r="H321" s="10">
        <v>0</v>
      </c>
      <c r="I321" s="310">
        <v>0</v>
      </c>
      <c r="J321" s="405">
        <v>0</v>
      </c>
      <c r="K321" s="409">
        <v>0</v>
      </c>
      <c r="L321" s="426"/>
      <c r="O321"/>
      <c r="P321"/>
      <c r="Q321"/>
    </row>
    <row r="322" spans="1:17" s="1" customFormat="1" ht="18.25" customHeight="1" outlineLevel="2">
      <c r="A322" s="570"/>
      <c r="B322" s="5" t="s">
        <v>3</v>
      </c>
      <c r="C322" s="6" t="s">
        <v>345</v>
      </c>
      <c r="D322" s="7" t="s">
        <v>17</v>
      </c>
      <c r="E322" s="8">
        <v>0</v>
      </c>
      <c r="F322" s="9">
        <v>0</v>
      </c>
      <c r="G322" s="8">
        <v>0</v>
      </c>
      <c r="H322" s="10">
        <v>0</v>
      </c>
      <c r="I322" s="310">
        <v>0</v>
      </c>
      <c r="J322" s="405">
        <v>0</v>
      </c>
      <c r="K322" s="409">
        <v>0</v>
      </c>
      <c r="L322" s="426"/>
      <c r="O322"/>
      <c r="P322"/>
      <c r="Q322"/>
    </row>
    <row r="323" spans="1:17" s="1" customFormat="1" ht="18.25" customHeight="1" outlineLevel="1">
      <c r="A323" s="570"/>
      <c r="B323" s="12" t="s">
        <v>3</v>
      </c>
      <c r="C323" s="13" t="s">
        <v>248</v>
      </c>
      <c r="D323" s="14">
        <v>2</v>
      </c>
      <c r="E323" s="15">
        <v>0</v>
      </c>
      <c r="F323" s="16">
        <v>0</v>
      </c>
      <c r="G323" s="15">
        <v>0</v>
      </c>
      <c r="H323" s="17">
        <v>0</v>
      </c>
      <c r="I323" s="311">
        <v>0</v>
      </c>
      <c r="J323" s="312">
        <v>0</v>
      </c>
      <c r="K323" s="410">
        <v>0</v>
      </c>
      <c r="L323" s="427">
        <v>0</v>
      </c>
      <c r="M323" s="1" t="s">
        <v>171</v>
      </c>
      <c r="O323"/>
      <c r="P323"/>
      <c r="Q323"/>
    </row>
    <row r="324" spans="1:17" s="1" customFormat="1" ht="18.25" customHeight="1" outlineLevel="2">
      <c r="A324" s="570"/>
      <c r="B324" s="5" t="s">
        <v>3</v>
      </c>
      <c r="C324" s="6" t="s">
        <v>140</v>
      </c>
      <c r="D324" s="7" t="s">
        <v>40</v>
      </c>
      <c r="E324" s="8">
        <v>0</v>
      </c>
      <c r="F324" s="9">
        <v>0</v>
      </c>
      <c r="G324" s="8">
        <v>0</v>
      </c>
      <c r="H324" s="10">
        <v>0</v>
      </c>
      <c r="I324" s="310">
        <v>0</v>
      </c>
      <c r="J324" s="405">
        <v>0</v>
      </c>
      <c r="K324" s="409">
        <v>0</v>
      </c>
      <c r="L324" s="426"/>
      <c r="O324"/>
      <c r="P324"/>
      <c r="Q324"/>
    </row>
    <row r="325" spans="1:17" s="1" customFormat="1" ht="18.25" customHeight="1" outlineLevel="2">
      <c r="A325" s="570"/>
      <c r="B325" s="5" t="s">
        <v>3</v>
      </c>
      <c r="C325" s="11" t="s">
        <v>144</v>
      </c>
      <c r="D325" s="7" t="s">
        <v>17</v>
      </c>
      <c r="E325" s="8">
        <v>0</v>
      </c>
      <c r="F325" s="9">
        <v>0</v>
      </c>
      <c r="G325" s="8">
        <v>0</v>
      </c>
      <c r="H325" s="10">
        <v>0</v>
      </c>
      <c r="I325" s="310">
        <v>0</v>
      </c>
      <c r="J325" s="405">
        <v>0</v>
      </c>
      <c r="K325" s="409">
        <v>0</v>
      </c>
      <c r="L325" s="426"/>
      <c r="O325"/>
      <c r="P325"/>
      <c r="Q325"/>
    </row>
    <row r="326" spans="1:17" s="1" customFormat="1" ht="18.25" customHeight="1" outlineLevel="2">
      <c r="A326" s="570"/>
      <c r="B326" s="5" t="s">
        <v>3</v>
      </c>
      <c r="C326" s="11" t="s">
        <v>141</v>
      </c>
      <c r="D326" s="7" t="s">
        <v>17</v>
      </c>
      <c r="E326" s="8">
        <v>0</v>
      </c>
      <c r="F326" s="9">
        <v>0</v>
      </c>
      <c r="G326" s="8">
        <v>0</v>
      </c>
      <c r="H326" s="10">
        <v>0</v>
      </c>
      <c r="I326" s="310">
        <v>0</v>
      </c>
      <c r="J326" s="405">
        <v>0</v>
      </c>
      <c r="K326" s="409">
        <v>0</v>
      </c>
      <c r="L326" s="426"/>
      <c r="O326"/>
      <c r="P326"/>
      <c r="Q326"/>
    </row>
    <row r="327" spans="1:17" s="1" customFormat="1" ht="18.25" customHeight="1" outlineLevel="1">
      <c r="A327" s="570"/>
      <c r="B327" s="12" t="s">
        <v>3</v>
      </c>
      <c r="C327" s="13" t="s">
        <v>140</v>
      </c>
      <c r="D327" s="14">
        <v>3</v>
      </c>
      <c r="E327" s="15">
        <v>0</v>
      </c>
      <c r="F327" s="16">
        <v>0</v>
      </c>
      <c r="G327" s="15">
        <v>0</v>
      </c>
      <c r="H327" s="17">
        <v>0</v>
      </c>
      <c r="I327" s="311">
        <v>0</v>
      </c>
      <c r="J327" s="312">
        <v>0</v>
      </c>
      <c r="K327" s="410">
        <v>0</v>
      </c>
      <c r="L327" s="427">
        <v>0</v>
      </c>
      <c r="M327" s="1" t="s">
        <v>51</v>
      </c>
      <c r="O327"/>
      <c r="P327"/>
      <c r="Q327"/>
    </row>
    <row r="328" spans="1:17" s="1" customFormat="1" ht="18.25" customHeight="1" outlineLevel="2">
      <c r="A328" s="570"/>
      <c r="B328" s="5" t="s">
        <v>3</v>
      </c>
      <c r="C328" s="18" t="s">
        <v>142</v>
      </c>
      <c r="D328" s="23" t="s">
        <v>22</v>
      </c>
      <c r="E328" s="8">
        <v>0</v>
      </c>
      <c r="F328" s="9">
        <v>0</v>
      </c>
      <c r="G328" s="8">
        <v>0</v>
      </c>
      <c r="H328" s="10">
        <v>0</v>
      </c>
      <c r="I328" s="310">
        <v>0</v>
      </c>
      <c r="J328" s="405">
        <v>0</v>
      </c>
      <c r="K328" s="409">
        <v>0</v>
      </c>
      <c r="L328" s="426"/>
      <c r="O328"/>
      <c r="P328"/>
      <c r="Q328"/>
    </row>
    <row r="329" spans="1:17" s="1" customFormat="1" ht="18.25" customHeight="1" outlineLevel="2">
      <c r="A329" s="570"/>
      <c r="B329" s="5" t="s">
        <v>3</v>
      </c>
      <c r="C329" s="39" t="s">
        <v>534</v>
      </c>
      <c r="D329" s="23" t="s">
        <v>188</v>
      </c>
      <c r="E329" s="8">
        <v>0</v>
      </c>
      <c r="F329" s="9">
        <v>0</v>
      </c>
      <c r="G329" s="8">
        <v>0</v>
      </c>
      <c r="H329" s="10">
        <v>0</v>
      </c>
      <c r="I329" s="313">
        <v>0</v>
      </c>
      <c r="J329" s="423">
        <v>0</v>
      </c>
      <c r="K329" s="415">
        <v>0</v>
      </c>
      <c r="L329" s="433"/>
      <c r="O329"/>
      <c r="P329"/>
      <c r="Q329"/>
    </row>
    <row r="330" spans="1:17" s="1" customFormat="1" ht="18.25" customHeight="1" outlineLevel="1">
      <c r="A330" s="570"/>
      <c r="B330" s="12" t="s">
        <v>3</v>
      </c>
      <c r="C330" s="13" t="s">
        <v>143</v>
      </c>
      <c r="D330" s="14">
        <v>2</v>
      </c>
      <c r="E330" s="15">
        <v>0</v>
      </c>
      <c r="F330" s="16">
        <v>0</v>
      </c>
      <c r="G330" s="15">
        <v>0</v>
      </c>
      <c r="H330" s="17">
        <v>0</v>
      </c>
      <c r="I330" s="311">
        <v>0</v>
      </c>
      <c r="J330" s="312">
        <v>0</v>
      </c>
      <c r="K330" s="410">
        <v>0</v>
      </c>
      <c r="L330" s="427">
        <v>0</v>
      </c>
      <c r="M330" s="1" t="s">
        <v>171</v>
      </c>
      <c r="O330"/>
      <c r="P330"/>
      <c r="Q330"/>
    </row>
    <row r="331" spans="1:17" s="1" customFormat="1" ht="18.25" customHeight="1" outlineLevel="2">
      <c r="A331" s="570"/>
      <c r="B331" s="5" t="s">
        <v>3</v>
      </c>
      <c r="C331" s="18" t="s">
        <v>278</v>
      </c>
      <c r="D331" s="23" t="s">
        <v>20</v>
      </c>
      <c r="E331" s="8">
        <v>0</v>
      </c>
      <c r="F331" s="9">
        <v>0</v>
      </c>
      <c r="G331" s="8">
        <v>1</v>
      </c>
      <c r="H331" s="10">
        <v>8963</v>
      </c>
      <c r="I331" s="310">
        <v>1</v>
      </c>
      <c r="J331" s="405">
        <v>0</v>
      </c>
      <c r="K331" s="409">
        <v>0</v>
      </c>
      <c r="L331" s="426"/>
      <c r="O331"/>
      <c r="P331"/>
      <c r="Q331"/>
    </row>
    <row r="332" spans="1:17" s="1" customFormat="1" ht="18.25" customHeight="1" outlineLevel="2">
      <c r="A332" s="570"/>
      <c r="B332" s="5" t="s">
        <v>3</v>
      </c>
      <c r="C332" s="39" t="s">
        <v>208</v>
      </c>
      <c r="D332" s="23" t="s">
        <v>188</v>
      </c>
      <c r="E332" s="8">
        <v>0</v>
      </c>
      <c r="F332" s="9">
        <v>0</v>
      </c>
      <c r="G332" s="8">
        <v>0</v>
      </c>
      <c r="H332" s="10">
        <v>0</v>
      </c>
      <c r="I332" s="310">
        <v>0</v>
      </c>
      <c r="J332" s="405">
        <v>0</v>
      </c>
      <c r="K332" s="409">
        <v>0</v>
      </c>
      <c r="L332" s="426"/>
      <c r="O332"/>
      <c r="P332"/>
      <c r="Q332"/>
    </row>
    <row r="333" spans="1:17" s="1" customFormat="1" ht="18.25" customHeight="1" outlineLevel="1">
      <c r="A333" s="570"/>
      <c r="B333" s="12" t="s">
        <v>3</v>
      </c>
      <c r="C333" s="13" t="s">
        <v>278</v>
      </c>
      <c r="D333" s="14">
        <v>2</v>
      </c>
      <c r="E333" s="15">
        <v>0</v>
      </c>
      <c r="F333" s="16">
        <v>0</v>
      </c>
      <c r="G333" s="15">
        <v>1</v>
      </c>
      <c r="H333" s="17">
        <v>8963</v>
      </c>
      <c r="I333" s="311">
        <v>1</v>
      </c>
      <c r="J333" s="312">
        <v>0</v>
      </c>
      <c r="K333" s="410">
        <v>0</v>
      </c>
      <c r="L333" s="427">
        <v>0</v>
      </c>
      <c r="M333" s="1" t="s">
        <v>169</v>
      </c>
      <c r="O333"/>
      <c r="P333"/>
      <c r="Q333"/>
    </row>
    <row r="334" spans="1:17" s="1" customFormat="1" ht="18.25" customHeight="1" outlineLevel="2">
      <c r="A334" s="570"/>
      <c r="B334" s="5" t="s">
        <v>3</v>
      </c>
      <c r="C334" s="18" t="s">
        <v>301</v>
      </c>
      <c r="D334" s="7" t="s">
        <v>497</v>
      </c>
      <c r="E334" s="8">
        <v>1</v>
      </c>
      <c r="F334" s="9">
        <v>1797</v>
      </c>
      <c r="G334" s="8">
        <v>3</v>
      </c>
      <c r="H334" s="10">
        <v>13729</v>
      </c>
      <c r="I334" s="310">
        <v>1</v>
      </c>
      <c r="J334" s="405">
        <v>0</v>
      </c>
      <c r="K334" s="409">
        <v>0</v>
      </c>
      <c r="L334" s="426"/>
      <c r="O334"/>
      <c r="P334"/>
      <c r="Q334"/>
    </row>
    <row r="335" spans="1:17" s="1" customFormat="1" ht="18.25" customHeight="1" outlineLevel="1">
      <c r="A335" s="570"/>
      <c r="B335" s="12" t="s">
        <v>3</v>
      </c>
      <c r="C335" s="13" t="s">
        <v>301</v>
      </c>
      <c r="D335" s="14">
        <v>1</v>
      </c>
      <c r="E335" s="15">
        <v>1</v>
      </c>
      <c r="F335" s="16">
        <v>1797</v>
      </c>
      <c r="G335" s="15">
        <v>3</v>
      </c>
      <c r="H335" s="17">
        <v>13729</v>
      </c>
      <c r="I335" s="311">
        <v>1</v>
      </c>
      <c r="J335" s="312">
        <v>0</v>
      </c>
      <c r="K335" s="410">
        <v>0</v>
      </c>
      <c r="L335" s="427">
        <v>0</v>
      </c>
      <c r="M335" s="1" t="s">
        <v>355</v>
      </c>
      <c r="O335"/>
      <c r="P335"/>
      <c r="Q335"/>
    </row>
    <row r="336" spans="1:17" s="1" customFormat="1" ht="18.25" customHeight="1" outlineLevel="2">
      <c r="A336" s="570"/>
      <c r="B336" s="5" t="s">
        <v>3</v>
      </c>
      <c r="C336" s="6" t="s">
        <v>145</v>
      </c>
      <c r="D336" s="7" t="s">
        <v>47</v>
      </c>
      <c r="E336" s="8">
        <v>0</v>
      </c>
      <c r="F336" s="9">
        <v>0</v>
      </c>
      <c r="G336" s="8">
        <v>0</v>
      </c>
      <c r="H336" s="10">
        <v>0</v>
      </c>
      <c r="I336" s="310">
        <v>0</v>
      </c>
      <c r="J336" s="405">
        <v>0</v>
      </c>
      <c r="K336" s="409">
        <v>0</v>
      </c>
      <c r="L336" s="426"/>
      <c r="O336"/>
      <c r="P336"/>
      <c r="Q336"/>
    </row>
    <row r="337" spans="1:17" s="1" customFormat="1" ht="18.25" customHeight="1" outlineLevel="2">
      <c r="A337" s="570"/>
      <c r="B337" s="5" t="s">
        <v>3</v>
      </c>
      <c r="C337" s="18" t="s">
        <v>146</v>
      </c>
      <c r="D337" s="23" t="s">
        <v>17</v>
      </c>
      <c r="E337" s="8">
        <v>0</v>
      </c>
      <c r="F337" s="9">
        <v>0</v>
      </c>
      <c r="G337" s="8">
        <v>0</v>
      </c>
      <c r="H337" s="10">
        <v>0</v>
      </c>
      <c r="I337" s="310">
        <v>0</v>
      </c>
      <c r="J337" s="405">
        <v>0</v>
      </c>
      <c r="K337" s="409">
        <v>0</v>
      </c>
      <c r="L337" s="426"/>
      <c r="O337"/>
      <c r="P337"/>
      <c r="Q337"/>
    </row>
    <row r="338" spans="1:17" s="1" customFormat="1" ht="18.25" customHeight="1" outlineLevel="1">
      <c r="A338" s="570"/>
      <c r="B338" s="12" t="s">
        <v>3</v>
      </c>
      <c r="C338" s="13" t="s">
        <v>145</v>
      </c>
      <c r="D338" s="14">
        <v>2</v>
      </c>
      <c r="E338" s="15">
        <v>0</v>
      </c>
      <c r="F338" s="16">
        <v>0</v>
      </c>
      <c r="G338" s="15">
        <v>0</v>
      </c>
      <c r="H338" s="17">
        <v>0</v>
      </c>
      <c r="I338" s="311">
        <v>0</v>
      </c>
      <c r="J338" s="312">
        <v>0</v>
      </c>
      <c r="K338" s="410">
        <v>0</v>
      </c>
      <c r="L338" s="427">
        <v>0</v>
      </c>
      <c r="M338" s="1" t="s">
        <v>51</v>
      </c>
      <c r="O338"/>
      <c r="P338"/>
      <c r="Q338"/>
    </row>
    <row r="339" spans="1:17" s="1" customFormat="1" ht="18.25" customHeight="1" outlineLevel="2">
      <c r="A339" s="570"/>
      <c r="B339" s="5" t="s">
        <v>3</v>
      </c>
      <c r="C339" s="18" t="s">
        <v>147</v>
      </c>
      <c r="D339" s="23" t="s">
        <v>20</v>
      </c>
      <c r="E339" s="8">
        <v>1</v>
      </c>
      <c r="F339" s="9">
        <v>9474</v>
      </c>
      <c r="G339" s="8">
        <v>3</v>
      </c>
      <c r="H339" s="10">
        <v>17811</v>
      </c>
      <c r="I339" s="310">
        <v>1</v>
      </c>
      <c r="J339" s="405">
        <v>0</v>
      </c>
      <c r="K339" s="409">
        <v>0</v>
      </c>
      <c r="L339" s="426"/>
      <c r="O339"/>
      <c r="P339"/>
      <c r="Q339"/>
    </row>
    <row r="340" spans="1:17" s="1" customFormat="1" ht="18.25" customHeight="1" outlineLevel="2">
      <c r="A340" s="570"/>
      <c r="B340" s="41" t="s">
        <v>3</v>
      </c>
      <c r="C340" s="39" t="s">
        <v>730</v>
      </c>
      <c r="D340" s="23" t="s">
        <v>17</v>
      </c>
      <c r="E340" s="8">
        <v>0</v>
      </c>
      <c r="F340" s="9">
        <v>0</v>
      </c>
      <c r="G340" s="8">
        <v>0</v>
      </c>
      <c r="H340" s="10">
        <v>0</v>
      </c>
      <c r="I340" s="310">
        <v>0</v>
      </c>
      <c r="J340" s="405">
        <v>0</v>
      </c>
      <c r="K340" s="409">
        <v>0</v>
      </c>
      <c r="L340" s="426"/>
      <c r="O340"/>
      <c r="P340"/>
      <c r="Q340"/>
    </row>
    <row r="341" spans="1:17" s="1" customFormat="1" ht="18.25" customHeight="1" outlineLevel="1">
      <c r="A341" s="570"/>
      <c r="B341" s="12" t="s">
        <v>3</v>
      </c>
      <c r="C341" s="13" t="s">
        <v>148</v>
      </c>
      <c r="D341" s="14">
        <v>2</v>
      </c>
      <c r="E341" s="15">
        <v>1</v>
      </c>
      <c r="F341" s="16">
        <v>9474</v>
      </c>
      <c r="G341" s="15">
        <v>3</v>
      </c>
      <c r="H341" s="17">
        <v>17811</v>
      </c>
      <c r="I341" s="311">
        <v>1</v>
      </c>
      <c r="J341" s="312">
        <v>0</v>
      </c>
      <c r="K341" s="410">
        <v>0</v>
      </c>
      <c r="L341" s="427">
        <v>0</v>
      </c>
      <c r="M341" s="1" t="s">
        <v>169</v>
      </c>
      <c r="O341"/>
      <c r="P341"/>
      <c r="Q341"/>
    </row>
    <row r="342" spans="1:17" s="1" customFormat="1" ht="18.25" customHeight="1" outlineLevel="2">
      <c r="A342" s="570"/>
      <c r="B342" s="5" t="s">
        <v>3</v>
      </c>
      <c r="C342" s="18" t="s">
        <v>133</v>
      </c>
      <c r="D342" s="7" t="s">
        <v>25</v>
      </c>
      <c r="E342" s="8">
        <v>0</v>
      </c>
      <c r="F342" s="9">
        <v>0</v>
      </c>
      <c r="G342" s="8">
        <v>0</v>
      </c>
      <c r="H342" s="10">
        <v>0</v>
      </c>
      <c r="I342" s="310">
        <v>0</v>
      </c>
      <c r="J342" s="405">
        <v>0</v>
      </c>
      <c r="K342" s="409">
        <v>0</v>
      </c>
      <c r="L342" s="426"/>
      <c r="O342"/>
      <c r="P342"/>
      <c r="Q342"/>
    </row>
    <row r="343" spans="1:17" s="1" customFormat="1" ht="18.25" customHeight="1" outlineLevel="2">
      <c r="A343" s="570"/>
      <c r="B343" s="41" t="s">
        <v>3</v>
      </c>
      <c r="C343" s="39" t="s">
        <v>368</v>
      </c>
      <c r="D343" s="23" t="s">
        <v>17</v>
      </c>
      <c r="E343" s="8">
        <v>0</v>
      </c>
      <c r="F343" s="9">
        <v>0</v>
      </c>
      <c r="G343" s="8">
        <v>0</v>
      </c>
      <c r="H343" s="10">
        <v>0</v>
      </c>
      <c r="I343" s="310">
        <v>0</v>
      </c>
      <c r="J343" s="405">
        <v>0</v>
      </c>
      <c r="K343" s="409">
        <v>0</v>
      </c>
      <c r="L343" s="426"/>
      <c r="O343"/>
      <c r="P343"/>
      <c r="Q343"/>
    </row>
    <row r="344" spans="1:17" s="1" customFormat="1" ht="18.25" customHeight="1" outlineLevel="2">
      <c r="A344" s="570"/>
      <c r="B344" s="5" t="s">
        <v>3</v>
      </c>
      <c r="C344" s="18" t="s">
        <v>359</v>
      </c>
      <c r="D344" s="7" t="s">
        <v>17</v>
      </c>
      <c r="E344" s="8">
        <v>0</v>
      </c>
      <c r="F344" s="9">
        <v>0</v>
      </c>
      <c r="G344" s="8">
        <v>0</v>
      </c>
      <c r="H344" s="10">
        <v>0</v>
      </c>
      <c r="I344" s="310">
        <v>0</v>
      </c>
      <c r="J344" s="405">
        <v>0</v>
      </c>
      <c r="K344" s="409">
        <v>0</v>
      </c>
      <c r="L344" s="426"/>
      <c r="O344"/>
      <c r="P344"/>
      <c r="Q344"/>
    </row>
    <row r="345" spans="1:17" s="1" customFormat="1" ht="18.25" customHeight="1" outlineLevel="1">
      <c r="A345" s="570"/>
      <c r="B345" s="12" t="s">
        <v>3</v>
      </c>
      <c r="C345" s="61" t="s">
        <v>133</v>
      </c>
      <c r="D345" s="14">
        <v>3</v>
      </c>
      <c r="E345" s="15">
        <v>0</v>
      </c>
      <c r="F345" s="16">
        <v>0</v>
      </c>
      <c r="G345" s="15">
        <v>0</v>
      </c>
      <c r="H345" s="17">
        <v>0</v>
      </c>
      <c r="I345" s="311">
        <v>0</v>
      </c>
      <c r="J345" s="312">
        <v>0</v>
      </c>
      <c r="K345" s="410">
        <v>0</v>
      </c>
      <c r="L345" s="427">
        <v>0</v>
      </c>
      <c r="M345" s="1" t="s">
        <v>169</v>
      </c>
      <c r="O345"/>
      <c r="P345"/>
      <c r="Q345"/>
    </row>
    <row r="346" spans="1:17" s="1" customFormat="1" ht="18.25" customHeight="1" outlineLevel="2">
      <c r="A346" s="570"/>
      <c r="B346" s="5" t="s">
        <v>3</v>
      </c>
      <c r="C346" s="6" t="s">
        <v>134</v>
      </c>
      <c r="D346" s="7" t="s">
        <v>40</v>
      </c>
      <c r="E346" s="8">
        <v>0</v>
      </c>
      <c r="F346" s="9">
        <v>0</v>
      </c>
      <c r="G346" s="8">
        <v>0</v>
      </c>
      <c r="H346" s="10">
        <v>0</v>
      </c>
      <c r="I346" s="310">
        <v>0</v>
      </c>
      <c r="J346" s="405">
        <v>0</v>
      </c>
      <c r="K346" s="409">
        <v>0</v>
      </c>
      <c r="L346" s="426"/>
      <c r="O346"/>
      <c r="P346"/>
      <c r="Q346"/>
    </row>
    <row r="347" spans="1:17" s="1" customFormat="1" ht="18.25" customHeight="1" outlineLevel="2">
      <c r="A347" s="570"/>
      <c r="B347" s="5" t="s">
        <v>3</v>
      </c>
      <c r="C347" s="18" t="s">
        <v>135</v>
      </c>
      <c r="D347" s="7" t="s">
        <v>17</v>
      </c>
      <c r="E347" s="8">
        <v>0</v>
      </c>
      <c r="F347" s="9">
        <v>0</v>
      </c>
      <c r="G347" s="8">
        <v>0</v>
      </c>
      <c r="H347" s="10">
        <v>0</v>
      </c>
      <c r="I347" s="310">
        <v>0</v>
      </c>
      <c r="J347" s="405">
        <v>0</v>
      </c>
      <c r="K347" s="409">
        <v>0</v>
      </c>
      <c r="L347" s="426"/>
      <c r="O347"/>
      <c r="P347"/>
      <c r="Q347"/>
    </row>
    <row r="348" spans="1:17" s="1" customFormat="1" ht="18.25" customHeight="1" outlineLevel="1">
      <c r="A348" s="570"/>
      <c r="B348" s="12" t="s">
        <v>3</v>
      </c>
      <c r="C348" s="61" t="s">
        <v>134</v>
      </c>
      <c r="D348" s="14">
        <v>2</v>
      </c>
      <c r="E348" s="15">
        <v>0</v>
      </c>
      <c r="F348" s="16">
        <v>0</v>
      </c>
      <c r="G348" s="15">
        <v>0</v>
      </c>
      <c r="H348" s="17">
        <v>0</v>
      </c>
      <c r="I348" s="311">
        <v>0</v>
      </c>
      <c r="J348" s="312">
        <v>0</v>
      </c>
      <c r="K348" s="410">
        <v>0</v>
      </c>
      <c r="L348" s="427">
        <v>0</v>
      </c>
      <c r="M348" s="1" t="s">
        <v>51</v>
      </c>
      <c r="O348"/>
      <c r="P348"/>
      <c r="Q348"/>
    </row>
    <row r="349" spans="1:17" s="1" customFormat="1" ht="18.25" customHeight="1" outlineLevel="2">
      <c r="A349" s="570"/>
      <c r="B349" s="5" t="s">
        <v>3</v>
      </c>
      <c r="C349" s="6" t="s">
        <v>339</v>
      </c>
      <c r="D349" s="7" t="s">
        <v>169</v>
      </c>
      <c r="E349" s="8">
        <v>0</v>
      </c>
      <c r="F349" s="9">
        <v>0</v>
      </c>
      <c r="G349" s="8">
        <v>0</v>
      </c>
      <c r="H349" s="10">
        <v>0</v>
      </c>
      <c r="I349" s="310">
        <v>0</v>
      </c>
      <c r="J349" s="405">
        <v>0</v>
      </c>
      <c r="K349" s="409">
        <v>0</v>
      </c>
      <c r="L349" s="426"/>
      <c r="O349"/>
      <c r="P349"/>
      <c r="Q349"/>
    </row>
    <row r="350" spans="1:17" s="1" customFormat="1" ht="18.25" customHeight="1" outlineLevel="2">
      <c r="A350" s="570"/>
      <c r="B350" s="5" t="s">
        <v>3</v>
      </c>
      <c r="C350" s="6" t="s">
        <v>745</v>
      </c>
      <c r="D350" s="7" t="s">
        <v>27</v>
      </c>
      <c r="E350" s="8">
        <v>0</v>
      </c>
      <c r="F350" s="9">
        <v>0</v>
      </c>
      <c r="G350" s="8">
        <v>0</v>
      </c>
      <c r="H350" s="10">
        <v>0</v>
      </c>
      <c r="I350" s="310">
        <v>0</v>
      </c>
      <c r="J350" s="405">
        <v>0</v>
      </c>
      <c r="K350" s="409">
        <v>0</v>
      </c>
      <c r="L350" s="426"/>
      <c r="O350"/>
      <c r="P350"/>
      <c r="Q350"/>
    </row>
    <row r="351" spans="1:17" ht="18.25" customHeight="1" outlineLevel="1">
      <c r="B351" s="12" t="s">
        <v>3</v>
      </c>
      <c r="C351" s="61" t="s">
        <v>339</v>
      </c>
      <c r="D351" s="14">
        <v>2</v>
      </c>
      <c r="E351" s="15">
        <v>0</v>
      </c>
      <c r="F351" s="16">
        <v>0</v>
      </c>
      <c r="G351" s="15">
        <v>0</v>
      </c>
      <c r="H351" s="17">
        <v>0</v>
      </c>
      <c r="I351" s="311">
        <v>0</v>
      </c>
      <c r="J351" s="312">
        <v>0</v>
      </c>
      <c r="K351" s="410">
        <v>0</v>
      </c>
      <c r="L351" s="427">
        <v>0</v>
      </c>
      <c r="M351" s="1" t="s">
        <v>169</v>
      </c>
    </row>
    <row r="352" spans="1:17" ht="18.25" customHeight="1" outlineLevel="2">
      <c r="B352" s="5" t="s">
        <v>3</v>
      </c>
      <c r="C352" s="6" t="s">
        <v>136</v>
      </c>
      <c r="D352" s="7" t="s">
        <v>20</v>
      </c>
      <c r="E352" s="8">
        <v>0</v>
      </c>
      <c r="F352" s="9">
        <v>0</v>
      </c>
      <c r="G352" s="8">
        <v>1</v>
      </c>
      <c r="H352" s="10">
        <v>6000</v>
      </c>
      <c r="I352" s="310">
        <v>1</v>
      </c>
      <c r="J352" s="405">
        <v>0</v>
      </c>
      <c r="K352" s="409">
        <v>0</v>
      </c>
      <c r="L352" s="426"/>
    </row>
    <row r="353" spans="1:17" ht="18.25" customHeight="1" outlineLevel="2">
      <c r="B353" s="5" t="s">
        <v>3</v>
      </c>
      <c r="C353" s="6" t="s">
        <v>499</v>
      </c>
      <c r="D353" s="23" t="s">
        <v>17</v>
      </c>
      <c r="E353" s="8">
        <v>0</v>
      </c>
      <c r="F353" s="9">
        <v>0</v>
      </c>
      <c r="G353" s="8">
        <v>0</v>
      </c>
      <c r="H353" s="10">
        <v>0</v>
      </c>
      <c r="I353" s="310">
        <v>0</v>
      </c>
      <c r="J353" s="405">
        <v>0</v>
      </c>
      <c r="K353" s="409">
        <v>0</v>
      </c>
      <c r="L353" s="426"/>
    </row>
    <row r="354" spans="1:17" ht="18.25" customHeight="1" outlineLevel="1">
      <c r="B354" s="12" t="s">
        <v>3</v>
      </c>
      <c r="C354" s="61" t="s">
        <v>136</v>
      </c>
      <c r="D354" s="14">
        <v>2</v>
      </c>
      <c r="E354" s="15">
        <v>0</v>
      </c>
      <c r="F354" s="16">
        <v>0</v>
      </c>
      <c r="G354" s="15">
        <v>1</v>
      </c>
      <c r="H354" s="17">
        <v>6000</v>
      </c>
      <c r="I354" s="311">
        <v>1</v>
      </c>
      <c r="J354" s="312">
        <v>0</v>
      </c>
      <c r="K354" s="410">
        <v>0</v>
      </c>
      <c r="L354" s="427">
        <v>0</v>
      </c>
      <c r="M354" s="1" t="s">
        <v>169</v>
      </c>
    </row>
    <row r="355" spans="1:17" s="149" customFormat="1" ht="18.25" customHeight="1">
      <c r="A355" s="569" t="s">
        <v>837</v>
      </c>
      <c r="B355" s="945" t="s">
        <v>10</v>
      </c>
      <c r="C355" s="946"/>
      <c r="D355" s="145">
        <v>46</v>
      </c>
      <c r="E355" s="150">
        <v>2</v>
      </c>
      <c r="F355" s="148">
        <v>11271</v>
      </c>
      <c r="G355" s="146">
        <v>18</v>
      </c>
      <c r="H355" s="152">
        <v>151091</v>
      </c>
      <c r="I355" s="314">
        <v>9</v>
      </c>
      <c r="J355" s="315">
        <v>3</v>
      </c>
      <c r="K355" s="411">
        <v>1</v>
      </c>
      <c r="L355" s="428">
        <v>0</v>
      </c>
      <c r="M355" s="248"/>
      <c r="N355" s="248"/>
    </row>
    <row r="356" spans="1:17" ht="18.25" customHeight="1" outlineLevel="2">
      <c r="B356" s="5" t="s">
        <v>268</v>
      </c>
      <c r="C356" s="6" t="s">
        <v>81</v>
      </c>
      <c r="D356" s="7" t="s">
        <v>54</v>
      </c>
      <c r="E356" s="8">
        <v>0</v>
      </c>
      <c r="F356" s="9">
        <v>0</v>
      </c>
      <c r="G356" s="8">
        <v>0</v>
      </c>
      <c r="H356" s="10">
        <v>0</v>
      </c>
      <c r="I356" s="310">
        <v>0</v>
      </c>
      <c r="J356" s="405">
        <v>0</v>
      </c>
      <c r="K356" s="409">
        <v>0</v>
      </c>
      <c r="L356" s="426"/>
    </row>
    <row r="357" spans="1:17" ht="18.25" customHeight="1" outlineLevel="2">
      <c r="B357" s="5" t="s">
        <v>268</v>
      </c>
      <c r="C357" s="18" t="s">
        <v>87</v>
      </c>
      <c r="D357" s="7" t="s">
        <v>17</v>
      </c>
      <c r="E357" s="8">
        <v>0</v>
      </c>
      <c r="F357" s="9">
        <v>0</v>
      </c>
      <c r="G357" s="8">
        <v>0</v>
      </c>
      <c r="H357" s="10">
        <v>0</v>
      </c>
      <c r="I357" s="310">
        <v>0</v>
      </c>
      <c r="J357" s="405">
        <v>0</v>
      </c>
      <c r="K357" s="409">
        <v>0</v>
      </c>
      <c r="L357" s="426"/>
    </row>
    <row r="358" spans="1:17" ht="18.25" customHeight="1" outlineLevel="2">
      <c r="B358" s="5" t="s">
        <v>268</v>
      </c>
      <c r="C358" s="18" t="s">
        <v>82</v>
      </c>
      <c r="D358" s="7" t="s">
        <v>17</v>
      </c>
      <c r="E358" s="8">
        <v>0</v>
      </c>
      <c r="F358" s="9">
        <v>0</v>
      </c>
      <c r="G358" s="8">
        <v>0</v>
      </c>
      <c r="H358" s="10">
        <v>0</v>
      </c>
      <c r="I358" s="310">
        <v>0</v>
      </c>
      <c r="J358" s="405">
        <v>0</v>
      </c>
      <c r="K358" s="409">
        <v>0</v>
      </c>
      <c r="L358" s="426"/>
    </row>
    <row r="359" spans="1:17" ht="18.25" customHeight="1" outlineLevel="1">
      <c r="B359" s="12" t="s">
        <v>268</v>
      </c>
      <c r="C359" s="13" t="s">
        <v>85</v>
      </c>
      <c r="D359" s="14">
        <v>3</v>
      </c>
      <c r="E359" s="15">
        <v>0</v>
      </c>
      <c r="F359" s="16">
        <v>0</v>
      </c>
      <c r="G359" s="15">
        <v>0</v>
      </c>
      <c r="H359" s="17">
        <v>0</v>
      </c>
      <c r="I359" s="311">
        <v>0</v>
      </c>
      <c r="J359" s="312">
        <v>0</v>
      </c>
      <c r="K359" s="410">
        <v>0</v>
      </c>
      <c r="L359" s="427">
        <v>0</v>
      </c>
      <c r="M359" s="1" t="s">
        <v>167</v>
      </c>
    </row>
    <row r="360" spans="1:17" ht="18.25" customHeight="1" outlineLevel="2">
      <c r="B360" s="5" t="s">
        <v>268</v>
      </c>
      <c r="C360" s="6" t="s">
        <v>575</v>
      </c>
      <c r="D360" s="7" t="s">
        <v>237</v>
      </c>
      <c r="E360" s="8">
        <v>1</v>
      </c>
      <c r="F360" s="9">
        <v>5720</v>
      </c>
      <c r="G360" s="8">
        <v>2</v>
      </c>
      <c r="H360" s="10">
        <v>43265</v>
      </c>
      <c r="I360" s="310">
        <v>1</v>
      </c>
      <c r="J360" s="405">
        <v>1</v>
      </c>
      <c r="K360" s="409">
        <v>1</v>
      </c>
      <c r="L360" s="426"/>
    </row>
    <row r="361" spans="1:17" ht="18.25" customHeight="1" outlineLevel="1">
      <c r="B361" s="12" t="s">
        <v>268</v>
      </c>
      <c r="C361" s="13" t="s">
        <v>575</v>
      </c>
      <c r="D361" s="14">
        <v>1</v>
      </c>
      <c r="E361" s="15">
        <v>1</v>
      </c>
      <c r="F361" s="16">
        <v>5720</v>
      </c>
      <c r="G361" s="15">
        <v>2</v>
      </c>
      <c r="H361" s="17">
        <v>43265</v>
      </c>
      <c r="I361" s="311">
        <v>1</v>
      </c>
      <c r="J361" s="312">
        <v>1</v>
      </c>
      <c r="K361" s="410">
        <v>1</v>
      </c>
      <c r="L361" s="427">
        <v>0</v>
      </c>
      <c r="M361" s="1" t="s">
        <v>667</v>
      </c>
    </row>
    <row r="362" spans="1:17" ht="18" customHeight="1" outlineLevel="2">
      <c r="B362" s="5" t="s">
        <v>268</v>
      </c>
      <c r="C362" s="18" t="s">
        <v>83</v>
      </c>
      <c r="D362" s="7" t="s">
        <v>22</v>
      </c>
      <c r="E362" s="8">
        <v>0</v>
      </c>
      <c r="F362" s="9">
        <v>0</v>
      </c>
      <c r="G362" s="8">
        <v>3</v>
      </c>
      <c r="H362" s="10">
        <v>17100</v>
      </c>
      <c r="I362" s="310">
        <v>1</v>
      </c>
      <c r="J362" s="405">
        <v>0</v>
      </c>
      <c r="K362" s="409">
        <v>0</v>
      </c>
      <c r="L362" s="426"/>
    </row>
    <row r="363" spans="1:17" ht="18.25" customHeight="1" outlineLevel="2">
      <c r="B363" s="5" t="s">
        <v>269</v>
      </c>
      <c r="C363" s="18" t="s">
        <v>344</v>
      </c>
      <c r="D363" s="7" t="s">
        <v>17</v>
      </c>
      <c r="E363" s="8">
        <v>0</v>
      </c>
      <c r="F363" s="9">
        <v>0</v>
      </c>
      <c r="G363" s="8">
        <v>0</v>
      </c>
      <c r="H363" s="10">
        <v>0</v>
      </c>
      <c r="I363" s="310">
        <v>0</v>
      </c>
      <c r="J363" s="405">
        <v>0</v>
      </c>
      <c r="K363" s="409">
        <v>0</v>
      </c>
      <c r="L363" s="426"/>
    </row>
    <row r="364" spans="1:17" s="1" customFormat="1" ht="18.25" customHeight="1" outlineLevel="2">
      <c r="A364" s="570"/>
      <c r="B364" s="5" t="s">
        <v>269</v>
      </c>
      <c r="C364" s="18" t="s">
        <v>561</v>
      </c>
      <c r="D364" s="7" t="s">
        <v>17</v>
      </c>
      <c r="E364" s="8">
        <v>0</v>
      </c>
      <c r="F364" s="9">
        <v>0</v>
      </c>
      <c r="G364" s="8">
        <v>0</v>
      </c>
      <c r="H364" s="10">
        <v>0</v>
      </c>
      <c r="I364" s="310">
        <v>0</v>
      </c>
      <c r="J364" s="405">
        <v>0</v>
      </c>
      <c r="K364" s="409">
        <v>0</v>
      </c>
      <c r="L364" s="426"/>
      <c r="O364"/>
      <c r="P364"/>
      <c r="Q364"/>
    </row>
    <row r="365" spans="1:17" s="1" customFormat="1" ht="18.25" customHeight="1" outlineLevel="1">
      <c r="A365" s="570"/>
      <c r="B365" s="12" t="s">
        <v>268</v>
      </c>
      <c r="C365" s="13" t="s">
        <v>83</v>
      </c>
      <c r="D365" s="14">
        <v>3</v>
      </c>
      <c r="E365" s="15">
        <v>0</v>
      </c>
      <c r="F365" s="16">
        <v>0</v>
      </c>
      <c r="G365" s="15">
        <v>3</v>
      </c>
      <c r="H365" s="17">
        <v>17100</v>
      </c>
      <c r="I365" s="311">
        <v>1</v>
      </c>
      <c r="J365" s="312">
        <v>0</v>
      </c>
      <c r="K365" s="410">
        <v>0</v>
      </c>
      <c r="L365" s="427">
        <v>0</v>
      </c>
      <c r="M365" s="1" t="s">
        <v>171</v>
      </c>
      <c r="O365"/>
      <c r="P365"/>
      <c r="Q365"/>
    </row>
    <row r="366" spans="1:17" s="1" customFormat="1" ht="18.25" customHeight="1" outlineLevel="2">
      <c r="A366" s="570"/>
      <c r="B366" s="5" t="s">
        <v>268</v>
      </c>
      <c r="C366" s="6" t="s">
        <v>86</v>
      </c>
      <c r="D366" s="7" t="s">
        <v>25</v>
      </c>
      <c r="E366" s="8">
        <v>0</v>
      </c>
      <c r="F366" s="9">
        <v>0</v>
      </c>
      <c r="G366" s="8">
        <v>2</v>
      </c>
      <c r="H366" s="10">
        <v>20768</v>
      </c>
      <c r="I366" s="310">
        <v>1</v>
      </c>
      <c r="J366" s="405">
        <v>1</v>
      </c>
      <c r="K366" s="409">
        <v>0</v>
      </c>
      <c r="L366" s="426"/>
      <c r="O366"/>
      <c r="P366"/>
      <c r="Q366"/>
    </row>
    <row r="367" spans="1:17" s="1" customFormat="1" ht="18.25" customHeight="1" outlineLevel="2">
      <c r="A367" s="570"/>
      <c r="B367" s="5" t="s">
        <v>268</v>
      </c>
      <c r="C367" s="6" t="s">
        <v>230</v>
      </c>
      <c r="D367" s="7" t="s">
        <v>17</v>
      </c>
      <c r="E367" s="8">
        <v>0</v>
      </c>
      <c r="F367" s="9">
        <v>0</v>
      </c>
      <c r="G367" s="8">
        <v>0</v>
      </c>
      <c r="H367" s="10">
        <v>0</v>
      </c>
      <c r="I367" s="310">
        <v>0</v>
      </c>
      <c r="J367" s="405">
        <v>0</v>
      </c>
      <c r="K367" s="409">
        <v>0</v>
      </c>
      <c r="L367" s="426"/>
      <c r="O367"/>
      <c r="P367"/>
      <c r="Q367"/>
    </row>
    <row r="368" spans="1:17" s="1" customFormat="1" ht="18.25" customHeight="1" outlineLevel="1">
      <c r="A368" s="570"/>
      <c r="B368" s="12" t="s">
        <v>268</v>
      </c>
      <c r="C368" s="13" t="s">
        <v>86</v>
      </c>
      <c r="D368" s="14">
        <v>2</v>
      </c>
      <c r="E368" s="15">
        <v>0</v>
      </c>
      <c r="F368" s="16">
        <v>0</v>
      </c>
      <c r="G368" s="15">
        <v>2</v>
      </c>
      <c r="H368" s="17">
        <v>20768</v>
      </c>
      <c r="I368" s="311">
        <v>1</v>
      </c>
      <c r="J368" s="312">
        <v>1</v>
      </c>
      <c r="K368" s="410">
        <v>0</v>
      </c>
      <c r="L368" s="427">
        <v>0</v>
      </c>
      <c r="M368" s="1" t="s">
        <v>169</v>
      </c>
      <c r="O368"/>
      <c r="P368"/>
      <c r="Q368"/>
    </row>
    <row r="369" spans="1:17" s="1" customFormat="1" ht="18.25" customHeight="1" outlineLevel="2">
      <c r="A369" s="570"/>
      <c r="B369" s="5" t="s">
        <v>268</v>
      </c>
      <c r="C369" s="6" t="s">
        <v>84</v>
      </c>
      <c r="D369" s="7" t="s">
        <v>20</v>
      </c>
      <c r="E369" s="8">
        <v>0</v>
      </c>
      <c r="F369" s="9">
        <v>0</v>
      </c>
      <c r="G369" s="8">
        <v>0</v>
      </c>
      <c r="H369" s="10">
        <v>0</v>
      </c>
      <c r="I369" s="310">
        <v>0</v>
      </c>
      <c r="J369" s="405">
        <v>0</v>
      </c>
      <c r="K369" s="409">
        <v>0</v>
      </c>
      <c r="L369" s="426"/>
      <c r="O369"/>
      <c r="P369"/>
      <c r="Q369"/>
    </row>
    <row r="370" spans="1:17" s="1" customFormat="1" ht="18.25" customHeight="1" outlineLevel="2">
      <c r="A370" s="570"/>
      <c r="B370" s="5" t="s">
        <v>268</v>
      </c>
      <c r="C370" s="6" t="s">
        <v>200</v>
      </c>
      <c r="D370" s="7" t="s">
        <v>17</v>
      </c>
      <c r="E370" s="8">
        <v>0</v>
      </c>
      <c r="F370" s="9">
        <v>0</v>
      </c>
      <c r="G370" s="8">
        <v>3</v>
      </c>
      <c r="H370" s="10">
        <v>53813</v>
      </c>
      <c r="I370" s="310">
        <v>1</v>
      </c>
      <c r="J370" s="405">
        <v>1</v>
      </c>
      <c r="K370" s="409">
        <v>1</v>
      </c>
      <c r="L370" s="426"/>
      <c r="O370"/>
      <c r="P370"/>
      <c r="Q370"/>
    </row>
    <row r="371" spans="1:17" s="1" customFormat="1" ht="18.25" customHeight="1" outlineLevel="1">
      <c r="A371" s="570"/>
      <c r="B371" s="12" t="s">
        <v>268</v>
      </c>
      <c r="C371" s="13" t="s">
        <v>84</v>
      </c>
      <c r="D371" s="14">
        <v>2</v>
      </c>
      <c r="E371" s="15">
        <v>0</v>
      </c>
      <c r="F371" s="16">
        <v>0</v>
      </c>
      <c r="G371" s="15">
        <v>3</v>
      </c>
      <c r="H371" s="17">
        <v>53813</v>
      </c>
      <c r="I371" s="311">
        <v>1</v>
      </c>
      <c r="J371" s="312">
        <v>1</v>
      </c>
      <c r="K371" s="410">
        <v>1</v>
      </c>
      <c r="L371" s="427">
        <v>1</v>
      </c>
      <c r="M371" s="1" t="s">
        <v>169</v>
      </c>
      <c r="O371"/>
      <c r="P371"/>
      <c r="Q371"/>
    </row>
    <row r="372" spans="1:17" s="1" customFormat="1" ht="18.25" customHeight="1" outlineLevel="2">
      <c r="A372" s="570"/>
      <c r="B372" s="5" t="s">
        <v>268</v>
      </c>
      <c r="C372" s="6" t="s">
        <v>215</v>
      </c>
      <c r="D372" s="7" t="s">
        <v>40</v>
      </c>
      <c r="E372" s="8">
        <v>0</v>
      </c>
      <c r="F372" s="9">
        <v>0</v>
      </c>
      <c r="G372" s="8">
        <v>0</v>
      </c>
      <c r="H372" s="10">
        <v>0</v>
      </c>
      <c r="I372" s="310">
        <v>0</v>
      </c>
      <c r="J372" s="405">
        <v>0</v>
      </c>
      <c r="K372" s="409">
        <v>0</v>
      </c>
      <c r="L372" s="426"/>
      <c r="O372"/>
      <c r="P372"/>
      <c r="Q372"/>
    </row>
    <row r="373" spans="1:17" s="1" customFormat="1" ht="18.25" customHeight="1" outlineLevel="2">
      <c r="A373" s="570"/>
      <c r="B373" s="5" t="s">
        <v>268</v>
      </c>
      <c r="C373" s="39" t="s">
        <v>502</v>
      </c>
      <c r="D373" s="7" t="s">
        <v>17</v>
      </c>
      <c r="E373" s="8">
        <v>0</v>
      </c>
      <c r="F373" s="9">
        <v>0</v>
      </c>
      <c r="G373" s="8">
        <v>0</v>
      </c>
      <c r="H373" s="10">
        <v>0</v>
      </c>
      <c r="I373" s="310">
        <v>0</v>
      </c>
      <c r="J373" s="405">
        <v>0</v>
      </c>
      <c r="K373" s="409">
        <v>0</v>
      </c>
      <c r="L373" s="426"/>
      <c r="O373"/>
      <c r="P373"/>
      <c r="Q373"/>
    </row>
    <row r="374" spans="1:17" s="1" customFormat="1" ht="18.25" customHeight="1" outlineLevel="2">
      <c r="A374" s="570"/>
      <c r="B374" s="5" t="s">
        <v>268</v>
      </c>
      <c r="C374" s="39" t="s">
        <v>619</v>
      </c>
      <c r="D374" s="7" t="s">
        <v>17</v>
      </c>
      <c r="E374" s="8">
        <v>0</v>
      </c>
      <c r="F374" s="9">
        <v>0</v>
      </c>
      <c r="G374" s="8">
        <v>0</v>
      </c>
      <c r="H374" s="10">
        <v>0</v>
      </c>
      <c r="I374" s="310">
        <v>0</v>
      </c>
      <c r="J374" s="405">
        <v>0</v>
      </c>
      <c r="K374" s="409">
        <v>0</v>
      </c>
      <c r="L374" s="426"/>
      <c r="O374"/>
      <c r="P374"/>
      <c r="Q374"/>
    </row>
    <row r="375" spans="1:17" s="1" customFormat="1" ht="18.25" customHeight="1" outlineLevel="2">
      <c r="A375" s="570"/>
      <c r="B375" s="5" t="s">
        <v>268</v>
      </c>
      <c r="C375" s="6" t="s">
        <v>324</v>
      </c>
      <c r="D375" s="7" t="s">
        <v>188</v>
      </c>
      <c r="E375" s="8">
        <v>1</v>
      </c>
      <c r="F375" s="9">
        <v>42913</v>
      </c>
      <c r="G375" s="8">
        <v>1</v>
      </c>
      <c r="H375" s="10">
        <v>42913</v>
      </c>
      <c r="I375" s="310">
        <v>1</v>
      </c>
      <c r="J375" s="405">
        <v>1</v>
      </c>
      <c r="K375" s="409">
        <v>1</v>
      </c>
      <c r="L375" s="426"/>
      <c r="O375"/>
      <c r="P375"/>
      <c r="Q375"/>
    </row>
    <row r="376" spans="1:17" s="1" customFormat="1" ht="18.25" customHeight="1" outlineLevel="1">
      <c r="A376" s="570"/>
      <c r="B376" s="12" t="s">
        <v>268</v>
      </c>
      <c r="C376" s="13" t="s">
        <v>241</v>
      </c>
      <c r="D376" s="14">
        <v>4</v>
      </c>
      <c r="E376" s="15">
        <v>1</v>
      </c>
      <c r="F376" s="16">
        <v>42913</v>
      </c>
      <c r="G376" s="15">
        <v>1</v>
      </c>
      <c r="H376" s="17">
        <v>42913</v>
      </c>
      <c r="I376" s="311">
        <v>1</v>
      </c>
      <c r="J376" s="312">
        <v>1</v>
      </c>
      <c r="K376" s="410">
        <v>1</v>
      </c>
      <c r="L376" s="427">
        <v>0</v>
      </c>
      <c r="M376" s="1" t="s">
        <v>51</v>
      </c>
      <c r="O376"/>
      <c r="P376"/>
      <c r="Q376"/>
    </row>
    <row r="377" spans="1:17" s="1" customFormat="1" ht="18.25" customHeight="1" outlineLevel="2">
      <c r="A377" s="570"/>
      <c r="B377" s="5" t="s">
        <v>268</v>
      </c>
      <c r="C377" s="6" t="s">
        <v>800</v>
      </c>
      <c r="D377" s="19" t="s">
        <v>25</v>
      </c>
      <c r="E377" s="8">
        <v>0</v>
      </c>
      <c r="F377" s="9">
        <v>0</v>
      </c>
      <c r="G377" s="8">
        <v>1</v>
      </c>
      <c r="H377" s="10">
        <v>6000</v>
      </c>
      <c r="I377" s="310">
        <v>1</v>
      </c>
      <c r="J377" s="405">
        <v>0</v>
      </c>
      <c r="K377" s="409">
        <v>0</v>
      </c>
      <c r="L377" s="426"/>
      <c r="O377"/>
      <c r="P377"/>
      <c r="Q377"/>
    </row>
    <row r="378" spans="1:17" s="1" customFormat="1" ht="18.25" customHeight="1" outlineLevel="2">
      <c r="A378" s="570"/>
      <c r="B378" s="5" t="s">
        <v>268</v>
      </c>
      <c r="C378" s="6" t="s">
        <v>742</v>
      </c>
      <c r="D378" s="7" t="s">
        <v>17</v>
      </c>
      <c r="E378" s="8">
        <v>0</v>
      </c>
      <c r="F378" s="9">
        <v>0</v>
      </c>
      <c r="G378" s="8">
        <v>0</v>
      </c>
      <c r="H378" s="10">
        <v>0</v>
      </c>
      <c r="I378" s="310">
        <v>0</v>
      </c>
      <c r="J378" s="405">
        <v>0</v>
      </c>
      <c r="K378" s="409">
        <v>0</v>
      </c>
      <c r="L378" s="426"/>
      <c r="O378"/>
      <c r="P378"/>
      <c r="Q378"/>
    </row>
    <row r="379" spans="1:17" s="1" customFormat="1" ht="18.25" customHeight="1" outlineLevel="1">
      <c r="A379" s="570"/>
      <c r="B379" s="12" t="s">
        <v>268</v>
      </c>
      <c r="C379" s="13" t="s">
        <v>295</v>
      </c>
      <c r="D379" s="14">
        <v>2</v>
      </c>
      <c r="E379" s="15">
        <v>0</v>
      </c>
      <c r="F379" s="16">
        <v>0</v>
      </c>
      <c r="G379" s="15">
        <v>1</v>
      </c>
      <c r="H379" s="17">
        <v>6000</v>
      </c>
      <c r="I379" s="311">
        <v>1</v>
      </c>
      <c r="J379" s="312">
        <v>0</v>
      </c>
      <c r="K379" s="410">
        <v>0</v>
      </c>
      <c r="L379" s="427">
        <v>0</v>
      </c>
      <c r="M379" s="1" t="s">
        <v>169</v>
      </c>
      <c r="O379"/>
      <c r="P379"/>
      <c r="Q379"/>
    </row>
    <row r="380" spans="1:17" ht="18.25" customHeight="1" outlineLevel="2">
      <c r="B380" s="5" t="s">
        <v>268</v>
      </c>
      <c r="C380" s="6" t="s">
        <v>88</v>
      </c>
      <c r="D380" s="7" t="s">
        <v>22</v>
      </c>
      <c r="E380" s="8">
        <v>0</v>
      </c>
      <c r="F380" s="9">
        <v>0</v>
      </c>
      <c r="G380" s="8">
        <v>2</v>
      </c>
      <c r="H380" s="10">
        <v>7986</v>
      </c>
      <c r="I380" s="310">
        <v>1</v>
      </c>
      <c r="J380" s="405">
        <v>0</v>
      </c>
      <c r="K380" s="409">
        <v>0</v>
      </c>
      <c r="L380" s="426"/>
    </row>
    <row r="381" spans="1:17" ht="18.25" customHeight="1" outlineLevel="2">
      <c r="B381" s="5" t="s">
        <v>268</v>
      </c>
      <c r="C381" s="6" t="s">
        <v>89</v>
      </c>
      <c r="D381" s="7" t="s">
        <v>17</v>
      </c>
      <c r="E381" s="8">
        <v>0</v>
      </c>
      <c r="F381" s="9">
        <v>0</v>
      </c>
      <c r="G381" s="8">
        <v>0</v>
      </c>
      <c r="H381" s="10">
        <v>0</v>
      </c>
      <c r="I381" s="310">
        <v>0</v>
      </c>
      <c r="J381" s="405">
        <v>0</v>
      </c>
      <c r="K381" s="409">
        <v>0</v>
      </c>
      <c r="L381" s="426"/>
    </row>
    <row r="382" spans="1:17" ht="18.25" customHeight="1" outlineLevel="1">
      <c r="B382" s="12" t="s">
        <v>268</v>
      </c>
      <c r="C382" s="13" t="s">
        <v>88</v>
      </c>
      <c r="D382" s="14">
        <v>2</v>
      </c>
      <c r="E382" s="15">
        <v>0</v>
      </c>
      <c r="F382" s="16">
        <v>0</v>
      </c>
      <c r="G382" s="15">
        <v>2</v>
      </c>
      <c r="H382" s="17">
        <v>7986</v>
      </c>
      <c r="I382" s="311">
        <v>1</v>
      </c>
      <c r="J382" s="312">
        <v>0</v>
      </c>
      <c r="K382" s="410">
        <v>0</v>
      </c>
      <c r="L382" s="427">
        <v>0</v>
      </c>
      <c r="M382" s="1" t="s">
        <v>171</v>
      </c>
    </row>
    <row r="383" spans="1:17" s="149" customFormat="1" ht="18.25" customHeight="1">
      <c r="A383" s="569" t="s">
        <v>268</v>
      </c>
      <c r="B383" s="945" t="s">
        <v>268</v>
      </c>
      <c r="C383" s="946"/>
      <c r="D383" s="145">
        <v>19</v>
      </c>
      <c r="E383" s="150">
        <v>2</v>
      </c>
      <c r="F383" s="151">
        <v>48633</v>
      </c>
      <c r="G383" s="146">
        <v>14</v>
      </c>
      <c r="H383" s="152">
        <v>191845</v>
      </c>
      <c r="I383" s="314">
        <v>7</v>
      </c>
      <c r="J383" s="315">
        <v>4</v>
      </c>
      <c r="K383" s="411">
        <v>3</v>
      </c>
      <c r="L383" s="428">
        <v>1</v>
      </c>
      <c r="M383" s="248"/>
      <c r="N383" s="248"/>
    </row>
    <row r="384" spans="1:17" ht="18.25" customHeight="1" outlineLevel="2">
      <c r="B384" s="5" t="s">
        <v>207</v>
      </c>
      <c r="C384" s="6" t="s">
        <v>97</v>
      </c>
      <c r="D384" s="19" t="s">
        <v>54</v>
      </c>
      <c r="E384" s="8">
        <v>0</v>
      </c>
      <c r="F384" s="9">
        <v>0</v>
      </c>
      <c r="G384" s="8">
        <v>0</v>
      </c>
      <c r="H384" s="10">
        <v>0</v>
      </c>
      <c r="I384" s="310">
        <v>0</v>
      </c>
      <c r="J384" s="405">
        <v>0</v>
      </c>
      <c r="K384" s="409">
        <v>0</v>
      </c>
      <c r="L384" s="426"/>
    </row>
    <row r="385" spans="1:17" ht="18.25" customHeight="1" outlineLevel="2">
      <c r="B385" s="5" t="s">
        <v>206</v>
      </c>
      <c r="C385" s="6" t="s">
        <v>684</v>
      </c>
      <c r="D385" s="7" t="s">
        <v>39</v>
      </c>
      <c r="E385" s="8">
        <v>0</v>
      </c>
      <c r="F385" s="9">
        <v>0</v>
      </c>
      <c r="G385" s="8">
        <v>1</v>
      </c>
      <c r="H385" s="10">
        <v>13649</v>
      </c>
      <c r="I385" s="310">
        <v>1</v>
      </c>
      <c r="J385" s="405">
        <v>1</v>
      </c>
      <c r="K385" s="409">
        <v>0</v>
      </c>
      <c r="L385" s="426"/>
    </row>
    <row r="386" spans="1:17" ht="18.25" customHeight="1" outlineLevel="2">
      <c r="B386" s="5" t="s">
        <v>206</v>
      </c>
      <c r="C386" s="6" t="s">
        <v>98</v>
      </c>
      <c r="D386" s="23" t="s">
        <v>17</v>
      </c>
      <c r="E386" s="8">
        <v>0</v>
      </c>
      <c r="F386" s="9">
        <v>0</v>
      </c>
      <c r="G386" s="8">
        <v>0</v>
      </c>
      <c r="H386" s="10">
        <v>0</v>
      </c>
      <c r="I386" s="310">
        <v>0</v>
      </c>
      <c r="J386" s="405">
        <v>0</v>
      </c>
      <c r="K386" s="409">
        <v>0</v>
      </c>
      <c r="L386" s="426"/>
    </row>
    <row r="387" spans="1:17" ht="18.25" customHeight="1" outlineLevel="1">
      <c r="B387" s="12" t="s">
        <v>206</v>
      </c>
      <c r="C387" s="13" t="s">
        <v>100</v>
      </c>
      <c r="D387" s="14">
        <v>3</v>
      </c>
      <c r="E387" s="15">
        <v>0</v>
      </c>
      <c r="F387" s="16">
        <v>0</v>
      </c>
      <c r="G387" s="15">
        <v>1</v>
      </c>
      <c r="H387" s="17">
        <v>13649</v>
      </c>
      <c r="I387" s="311">
        <v>1</v>
      </c>
      <c r="J387" s="312">
        <v>1</v>
      </c>
      <c r="K387" s="410">
        <v>0</v>
      </c>
      <c r="L387" s="427">
        <v>0</v>
      </c>
      <c r="M387" s="1" t="s">
        <v>167</v>
      </c>
    </row>
    <row r="388" spans="1:17" ht="18.25" customHeight="1" outlineLevel="2">
      <c r="B388" s="5" t="s">
        <v>207</v>
      </c>
      <c r="C388" s="6" t="s">
        <v>178</v>
      </c>
      <c r="D388" s="19" t="s">
        <v>51</v>
      </c>
      <c r="E388" s="8">
        <v>0</v>
      </c>
      <c r="F388" s="9">
        <v>0</v>
      </c>
      <c r="G388" s="8">
        <v>0</v>
      </c>
      <c r="H388" s="10">
        <v>0</v>
      </c>
      <c r="I388" s="310">
        <v>0</v>
      </c>
      <c r="J388" s="405">
        <v>0</v>
      </c>
      <c r="K388" s="409">
        <v>0</v>
      </c>
      <c r="L388" s="426"/>
    </row>
    <row r="389" spans="1:17" ht="18.25" customHeight="1" outlineLevel="2">
      <c r="B389" s="5" t="s">
        <v>206</v>
      </c>
      <c r="C389" s="6" t="s">
        <v>179</v>
      </c>
      <c r="D389" s="7" t="s">
        <v>27</v>
      </c>
      <c r="E389" s="8">
        <v>0</v>
      </c>
      <c r="F389" s="9">
        <v>0</v>
      </c>
      <c r="G389" s="8">
        <v>1</v>
      </c>
      <c r="H389" s="10">
        <v>30372</v>
      </c>
      <c r="I389" s="310">
        <v>1</v>
      </c>
      <c r="J389" s="405">
        <v>1</v>
      </c>
      <c r="K389" s="409">
        <v>1</v>
      </c>
      <c r="L389" s="426"/>
    </row>
    <row r="390" spans="1:17" ht="18.25" customHeight="1" outlineLevel="1">
      <c r="B390" s="12" t="s">
        <v>206</v>
      </c>
      <c r="C390" s="13" t="s">
        <v>178</v>
      </c>
      <c r="D390" s="14">
        <v>2</v>
      </c>
      <c r="E390" s="15">
        <v>0</v>
      </c>
      <c r="F390" s="16">
        <v>0</v>
      </c>
      <c r="G390" s="15">
        <v>1</v>
      </c>
      <c r="H390" s="17">
        <v>30372</v>
      </c>
      <c r="I390" s="311">
        <v>1</v>
      </c>
      <c r="J390" s="312">
        <v>1</v>
      </c>
      <c r="K390" s="410">
        <v>1</v>
      </c>
      <c r="L390" s="427">
        <v>0</v>
      </c>
      <c r="M390" s="1" t="s">
        <v>51</v>
      </c>
    </row>
    <row r="391" spans="1:17" ht="18.25" customHeight="1" outlineLevel="2">
      <c r="B391" s="5" t="s">
        <v>207</v>
      </c>
      <c r="C391" s="6" t="s">
        <v>319</v>
      </c>
      <c r="D391" s="19" t="s">
        <v>22</v>
      </c>
      <c r="E391" s="8">
        <v>1</v>
      </c>
      <c r="F391" s="9">
        <v>42182</v>
      </c>
      <c r="G391" s="8">
        <v>12</v>
      </c>
      <c r="H391" s="10">
        <v>184970</v>
      </c>
      <c r="I391" s="310">
        <v>1</v>
      </c>
      <c r="J391" s="405">
        <v>1</v>
      </c>
      <c r="K391" s="409">
        <v>1</v>
      </c>
      <c r="L391" s="426"/>
    </row>
    <row r="392" spans="1:17" ht="18.25" customHeight="1" outlineLevel="2">
      <c r="B392" s="5" t="s">
        <v>206</v>
      </c>
      <c r="C392" s="39" t="s">
        <v>735</v>
      </c>
      <c r="D392" s="7" t="s">
        <v>39</v>
      </c>
      <c r="E392" s="8">
        <v>0</v>
      </c>
      <c r="F392" s="9">
        <v>0</v>
      </c>
      <c r="G392" s="8">
        <v>0</v>
      </c>
      <c r="H392" s="10">
        <v>0</v>
      </c>
      <c r="I392" s="310">
        <v>0</v>
      </c>
      <c r="J392" s="405">
        <v>0</v>
      </c>
      <c r="K392" s="409">
        <v>0</v>
      </c>
      <c r="L392" s="426"/>
    </row>
    <row r="393" spans="1:17" ht="18.25" customHeight="1" outlineLevel="2">
      <c r="B393" s="5" t="s">
        <v>206</v>
      </c>
      <c r="C393" s="74" t="s">
        <v>902</v>
      </c>
      <c r="D393" s="45"/>
      <c r="E393" s="8">
        <v>0</v>
      </c>
      <c r="F393" s="9">
        <v>0</v>
      </c>
      <c r="G393" s="8">
        <v>0</v>
      </c>
      <c r="H393" s="10">
        <v>0</v>
      </c>
      <c r="I393" s="318"/>
      <c r="J393" s="407"/>
      <c r="K393" s="414"/>
      <c r="L393" s="426"/>
    </row>
    <row r="394" spans="1:17" ht="18.25" customHeight="1" outlineLevel="2">
      <c r="B394" s="5" t="s">
        <v>206</v>
      </c>
      <c r="C394" s="6" t="s">
        <v>804</v>
      </c>
      <c r="D394" s="7" t="s">
        <v>39</v>
      </c>
      <c r="E394" s="8">
        <v>0</v>
      </c>
      <c r="F394" s="9">
        <v>0</v>
      </c>
      <c r="G394" s="8">
        <v>5</v>
      </c>
      <c r="H394" s="10">
        <v>47660</v>
      </c>
      <c r="I394" s="310">
        <v>1</v>
      </c>
      <c r="J394" s="405">
        <v>1</v>
      </c>
      <c r="K394" s="409">
        <v>1</v>
      </c>
      <c r="L394" s="426"/>
    </row>
    <row r="395" spans="1:17" ht="18.25" customHeight="1" outlineLevel="1">
      <c r="B395" s="12" t="s">
        <v>206</v>
      </c>
      <c r="C395" s="13" t="s">
        <v>319</v>
      </c>
      <c r="D395" s="14">
        <v>3</v>
      </c>
      <c r="E395" s="15">
        <v>1</v>
      </c>
      <c r="F395" s="16">
        <v>42182</v>
      </c>
      <c r="G395" s="15">
        <v>17</v>
      </c>
      <c r="H395" s="17">
        <v>232630</v>
      </c>
      <c r="I395" s="311">
        <v>2</v>
      </c>
      <c r="J395" s="312">
        <v>2</v>
      </c>
      <c r="K395" s="410">
        <v>2</v>
      </c>
      <c r="L395" s="427">
        <v>1</v>
      </c>
      <c r="M395" s="1" t="s">
        <v>171</v>
      </c>
    </row>
    <row r="396" spans="1:17" s="1" customFormat="1" ht="18.25" customHeight="1" outlineLevel="2">
      <c r="A396" s="570"/>
      <c r="B396" s="5" t="s">
        <v>207</v>
      </c>
      <c r="C396" s="6" t="s">
        <v>863</v>
      </c>
      <c r="D396" s="19" t="s">
        <v>22</v>
      </c>
      <c r="E396" s="8">
        <v>0</v>
      </c>
      <c r="F396" s="9">
        <v>0</v>
      </c>
      <c r="G396" s="8">
        <v>0</v>
      </c>
      <c r="H396" s="10">
        <v>0</v>
      </c>
      <c r="I396" s="310">
        <v>0</v>
      </c>
      <c r="J396" s="405">
        <v>0</v>
      </c>
      <c r="K396" s="409">
        <v>0</v>
      </c>
      <c r="L396" s="426"/>
      <c r="O396"/>
      <c r="P396"/>
      <c r="Q396"/>
    </row>
    <row r="397" spans="1:17" s="1" customFormat="1" ht="18.25" customHeight="1" outlineLevel="1">
      <c r="A397" s="570"/>
      <c r="B397" s="12" t="s">
        <v>206</v>
      </c>
      <c r="C397" s="13" t="s">
        <v>863</v>
      </c>
      <c r="D397" s="14">
        <v>1</v>
      </c>
      <c r="E397" s="15">
        <v>0</v>
      </c>
      <c r="F397" s="16">
        <v>0</v>
      </c>
      <c r="G397" s="15">
        <v>0</v>
      </c>
      <c r="H397" s="17">
        <v>0</v>
      </c>
      <c r="I397" s="311">
        <v>0</v>
      </c>
      <c r="J397" s="312">
        <v>0</v>
      </c>
      <c r="K397" s="410">
        <v>0</v>
      </c>
      <c r="L397" s="427">
        <v>0</v>
      </c>
      <c r="M397" s="1" t="s">
        <v>171</v>
      </c>
      <c r="O397"/>
      <c r="P397"/>
      <c r="Q397"/>
    </row>
    <row r="398" spans="1:17" s="1" customFormat="1" ht="18.25" customHeight="1" outlineLevel="2">
      <c r="A398" s="570"/>
      <c r="B398" s="5" t="s">
        <v>206</v>
      </c>
      <c r="C398" s="18" t="s">
        <v>99</v>
      </c>
      <c r="D398" s="23" t="s">
        <v>22</v>
      </c>
      <c r="E398" s="8">
        <v>0</v>
      </c>
      <c r="F398" s="9">
        <v>0</v>
      </c>
      <c r="G398" s="8">
        <v>1</v>
      </c>
      <c r="H398" s="10">
        <v>1401</v>
      </c>
      <c r="I398" s="310">
        <v>1</v>
      </c>
      <c r="J398" s="405">
        <v>0</v>
      </c>
      <c r="K398" s="409">
        <v>0</v>
      </c>
      <c r="L398" s="426"/>
      <c r="O398"/>
      <c r="P398"/>
      <c r="Q398"/>
    </row>
    <row r="399" spans="1:17" s="1" customFormat="1" ht="18.25" customHeight="1" outlineLevel="2">
      <c r="A399" s="570"/>
      <c r="B399" s="5" t="s">
        <v>206</v>
      </c>
      <c r="C399" s="18" t="s">
        <v>736</v>
      </c>
      <c r="D399" s="23" t="s">
        <v>17</v>
      </c>
      <c r="E399" s="8">
        <v>0</v>
      </c>
      <c r="F399" s="9">
        <v>0</v>
      </c>
      <c r="G399" s="8">
        <v>0</v>
      </c>
      <c r="H399" s="10">
        <v>0</v>
      </c>
      <c r="I399" s="310">
        <v>0</v>
      </c>
      <c r="J399" s="405">
        <v>0</v>
      </c>
      <c r="K399" s="409">
        <v>0</v>
      </c>
      <c r="L399" s="426"/>
      <c r="O399"/>
      <c r="P399"/>
      <c r="Q399"/>
    </row>
    <row r="400" spans="1:17" s="1" customFormat="1" ht="18.25" customHeight="1" outlineLevel="1">
      <c r="A400" s="570"/>
      <c r="B400" s="12" t="s">
        <v>206</v>
      </c>
      <c r="C400" s="13" t="s">
        <v>99</v>
      </c>
      <c r="D400" s="14">
        <v>2</v>
      </c>
      <c r="E400" s="15">
        <v>0</v>
      </c>
      <c r="F400" s="16">
        <v>0</v>
      </c>
      <c r="G400" s="15">
        <v>1</v>
      </c>
      <c r="H400" s="17">
        <v>1401</v>
      </c>
      <c r="I400" s="311">
        <v>1</v>
      </c>
      <c r="J400" s="312">
        <v>0</v>
      </c>
      <c r="K400" s="410">
        <v>0</v>
      </c>
      <c r="L400" s="427">
        <v>0</v>
      </c>
      <c r="M400" s="1" t="s">
        <v>171</v>
      </c>
      <c r="O400"/>
      <c r="P400"/>
      <c r="Q400"/>
    </row>
    <row r="401" spans="1:17" s="1" customFormat="1" ht="18.25" customHeight="1" outlineLevel="2">
      <c r="A401" s="570"/>
      <c r="B401" s="5" t="s">
        <v>206</v>
      </c>
      <c r="C401" s="18" t="s">
        <v>350</v>
      </c>
      <c r="D401" s="23" t="s">
        <v>25</v>
      </c>
      <c r="E401" s="8">
        <v>0</v>
      </c>
      <c r="F401" s="9">
        <v>0</v>
      </c>
      <c r="G401" s="8">
        <v>1</v>
      </c>
      <c r="H401" s="10">
        <v>5970</v>
      </c>
      <c r="I401" s="310">
        <v>1</v>
      </c>
      <c r="J401" s="405">
        <v>0</v>
      </c>
      <c r="K401" s="409">
        <v>0</v>
      </c>
      <c r="L401" s="426"/>
      <c r="O401"/>
      <c r="P401"/>
      <c r="Q401"/>
    </row>
    <row r="402" spans="1:17" s="1" customFormat="1" ht="18.25" customHeight="1" outlineLevel="2">
      <c r="A402" s="570"/>
      <c r="B402" s="5" t="s">
        <v>206</v>
      </c>
      <c r="C402" s="18" t="s">
        <v>746</v>
      </c>
      <c r="D402" s="23" t="s">
        <v>17</v>
      </c>
      <c r="E402" s="8">
        <v>0</v>
      </c>
      <c r="F402" s="9">
        <v>0</v>
      </c>
      <c r="G402" s="8">
        <v>0</v>
      </c>
      <c r="H402" s="10">
        <v>0</v>
      </c>
      <c r="I402" s="310">
        <v>0</v>
      </c>
      <c r="J402" s="405">
        <v>0</v>
      </c>
      <c r="K402" s="409">
        <v>0</v>
      </c>
      <c r="L402" s="426"/>
      <c r="O402"/>
      <c r="P402"/>
      <c r="Q402"/>
    </row>
    <row r="403" spans="1:17" s="1" customFormat="1" ht="18.25" customHeight="1" outlineLevel="1">
      <c r="A403" s="570"/>
      <c r="B403" s="12" t="s">
        <v>206</v>
      </c>
      <c r="C403" s="13" t="s">
        <v>350</v>
      </c>
      <c r="D403" s="14">
        <v>2</v>
      </c>
      <c r="E403" s="15">
        <v>0</v>
      </c>
      <c r="F403" s="16">
        <v>0</v>
      </c>
      <c r="G403" s="15">
        <v>1</v>
      </c>
      <c r="H403" s="17">
        <v>5970</v>
      </c>
      <c r="I403" s="311">
        <v>1</v>
      </c>
      <c r="J403" s="312">
        <v>0</v>
      </c>
      <c r="K403" s="410">
        <v>0</v>
      </c>
      <c r="L403" s="427">
        <v>0</v>
      </c>
      <c r="M403" s="1" t="s">
        <v>169</v>
      </c>
      <c r="O403"/>
      <c r="P403"/>
      <c r="Q403"/>
    </row>
    <row r="404" spans="1:17" s="1" customFormat="1" ht="18.25" customHeight="1" outlineLevel="2">
      <c r="A404" s="570"/>
      <c r="B404" s="5" t="s">
        <v>206</v>
      </c>
      <c r="C404" s="18" t="s">
        <v>202</v>
      </c>
      <c r="D404" s="7" t="s">
        <v>22</v>
      </c>
      <c r="E404" s="8">
        <v>0</v>
      </c>
      <c r="F404" s="9">
        <v>0</v>
      </c>
      <c r="G404" s="8">
        <v>0</v>
      </c>
      <c r="H404" s="10">
        <v>0</v>
      </c>
      <c r="I404" s="310">
        <v>0</v>
      </c>
      <c r="J404" s="405">
        <v>0</v>
      </c>
      <c r="K404" s="409">
        <v>0</v>
      </c>
      <c r="L404" s="426"/>
      <c r="O404"/>
      <c r="P404"/>
      <c r="Q404"/>
    </row>
    <row r="405" spans="1:17" s="1" customFormat="1" ht="18.25" customHeight="1" outlineLevel="2">
      <c r="A405" s="570"/>
      <c r="B405" s="5" t="s">
        <v>206</v>
      </c>
      <c r="C405" s="18" t="s">
        <v>199</v>
      </c>
      <c r="D405" s="7" t="s">
        <v>39</v>
      </c>
      <c r="E405" s="8">
        <v>0</v>
      </c>
      <c r="F405" s="9">
        <v>0</v>
      </c>
      <c r="G405" s="8">
        <v>0</v>
      </c>
      <c r="H405" s="10">
        <v>0</v>
      </c>
      <c r="I405" s="310">
        <v>0</v>
      </c>
      <c r="J405" s="405">
        <v>0</v>
      </c>
      <c r="K405" s="409">
        <v>0</v>
      </c>
      <c r="L405" s="426"/>
      <c r="O405"/>
      <c r="P405"/>
      <c r="Q405"/>
    </row>
    <row r="406" spans="1:17" s="1" customFormat="1" ht="18.25" customHeight="1" outlineLevel="1">
      <c r="A406" s="570"/>
      <c r="B406" s="12" t="s">
        <v>206</v>
      </c>
      <c r="C406" s="13" t="s">
        <v>202</v>
      </c>
      <c r="D406" s="14">
        <v>2</v>
      </c>
      <c r="E406" s="15">
        <v>0</v>
      </c>
      <c r="F406" s="16">
        <v>0</v>
      </c>
      <c r="G406" s="15">
        <v>0</v>
      </c>
      <c r="H406" s="17">
        <v>0</v>
      </c>
      <c r="I406" s="311">
        <v>0</v>
      </c>
      <c r="J406" s="312">
        <v>0</v>
      </c>
      <c r="K406" s="410">
        <v>0</v>
      </c>
      <c r="L406" s="427">
        <v>0</v>
      </c>
      <c r="M406" s="1" t="s">
        <v>171</v>
      </c>
      <c r="O406"/>
      <c r="P406"/>
      <c r="Q406"/>
    </row>
    <row r="407" spans="1:17" s="1" customFormat="1" ht="18.25" customHeight="1" outlineLevel="2">
      <c r="A407" s="570"/>
      <c r="B407" s="5" t="s">
        <v>206</v>
      </c>
      <c r="C407" s="18" t="s">
        <v>101</v>
      </c>
      <c r="D407" s="7" t="s">
        <v>22</v>
      </c>
      <c r="E407" s="8">
        <v>0</v>
      </c>
      <c r="F407" s="9">
        <v>0</v>
      </c>
      <c r="G407" s="8">
        <v>0</v>
      </c>
      <c r="H407" s="10">
        <v>0</v>
      </c>
      <c r="I407" s="310">
        <v>0</v>
      </c>
      <c r="J407" s="405">
        <v>0</v>
      </c>
      <c r="K407" s="409">
        <v>0</v>
      </c>
      <c r="L407" s="426"/>
      <c r="O407"/>
      <c r="P407"/>
      <c r="Q407"/>
    </row>
    <row r="408" spans="1:17" s="1" customFormat="1" ht="18.25" customHeight="1" outlineLevel="2">
      <c r="A408" s="570"/>
      <c r="B408" s="5" t="s">
        <v>206</v>
      </c>
      <c r="C408" s="18" t="s">
        <v>338</v>
      </c>
      <c r="D408" s="7" t="s">
        <v>39</v>
      </c>
      <c r="E408" s="8">
        <v>0</v>
      </c>
      <c r="F408" s="9">
        <v>0</v>
      </c>
      <c r="G408" s="8">
        <v>0</v>
      </c>
      <c r="H408" s="10">
        <v>0</v>
      </c>
      <c r="I408" s="310">
        <v>0</v>
      </c>
      <c r="J408" s="405">
        <v>0</v>
      </c>
      <c r="K408" s="409">
        <v>0</v>
      </c>
      <c r="L408" s="426"/>
      <c r="O408"/>
      <c r="P408"/>
      <c r="Q408"/>
    </row>
    <row r="409" spans="1:17" s="1" customFormat="1" ht="18.25" customHeight="1" outlineLevel="1">
      <c r="A409" s="570"/>
      <c r="B409" s="12" t="s">
        <v>206</v>
      </c>
      <c r="C409" s="13" t="s">
        <v>101</v>
      </c>
      <c r="D409" s="14">
        <v>2</v>
      </c>
      <c r="E409" s="15">
        <v>0</v>
      </c>
      <c r="F409" s="16">
        <v>0</v>
      </c>
      <c r="G409" s="15">
        <v>0</v>
      </c>
      <c r="H409" s="17">
        <v>0</v>
      </c>
      <c r="I409" s="311">
        <v>0</v>
      </c>
      <c r="J409" s="312">
        <v>0</v>
      </c>
      <c r="K409" s="410">
        <v>0</v>
      </c>
      <c r="L409" s="427">
        <v>0</v>
      </c>
      <c r="M409" s="1" t="s">
        <v>171</v>
      </c>
      <c r="O409"/>
      <c r="P409"/>
      <c r="Q409"/>
    </row>
    <row r="410" spans="1:17" s="1" customFormat="1" ht="18.25" customHeight="1" outlineLevel="2">
      <c r="A410" s="570"/>
      <c r="B410" s="5" t="s">
        <v>206</v>
      </c>
      <c r="C410" s="18" t="s">
        <v>336</v>
      </c>
      <c r="D410" s="7" t="s">
        <v>189</v>
      </c>
      <c r="E410" s="8">
        <v>0</v>
      </c>
      <c r="F410" s="9">
        <v>0</v>
      </c>
      <c r="G410" s="8">
        <v>0</v>
      </c>
      <c r="H410" s="10">
        <v>0</v>
      </c>
      <c r="I410" s="310">
        <v>0</v>
      </c>
      <c r="J410" s="405">
        <v>0</v>
      </c>
      <c r="K410" s="409">
        <v>0</v>
      </c>
      <c r="L410" s="426"/>
      <c r="O410"/>
      <c r="P410"/>
      <c r="Q410"/>
    </row>
    <row r="411" spans="1:17" s="1" customFormat="1" ht="18.25" customHeight="1" outlineLevel="2">
      <c r="A411" s="570"/>
      <c r="B411" s="5" t="s">
        <v>206</v>
      </c>
      <c r="C411" s="11" t="s">
        <v>638</v>
      </c>
      <c r="D411" s="19" t="s">
        <v>39</v>
      </c>
      <c r="E411" s="8">
        <v>0</v>
      </c>
      <c r="F411" s="9">
        <v>0</v>
      </c>
      <c r="G411" s="8">
        <v>0</v>
      </c>
      <c r="H411" s="10">
        <v>0</v>
      </c>
      <c r="I411" s="310">
        <v>0</v>
      </c>
      <c r="J411" s="405">
        <v>0</v>
      </c>
      <c r="K411" s="409">
        <v>0</v>
      </c>
      <c r="L411" s="426"/>
      <c r="O411"/>
      <c r="P411"/>
      <c r="Q411"/>
    </row>
    <row r="412" spans="1:17" s="1" customFormat="1" ht="18.25" customHeight="1" outlineLevel="1">
      <c r="A412" s="570"/>
      <c r="B412" s="12" t="s">
        <v>206</v>
      </c>
      <c r="C412" s="13" t="s">
        <v>336</v>
      </c>
      <c r="D412" s="14">
        <v>2</v>
      </c>
      <c r="E412" s="15">
        <v>0</v>
      </c>
      <c r="F412" s="15">
        <v>0</v>
      </c>
      <c r="G412" s="15">
        <v>0</v>
      </c>
      <c r="H412" s="21">
        <v>0</v>
      </c>
      <c r="I412" s="311">
        <v>0</v>
      </c>
      <c r="J412" s="312">
        <v>0</v>
      </c>
      <c r="K412" s="410">
        <v>0</v>
      </c>
      <c r="L412" s="427">
        <v>0</v>
      </c>
      <c r="M412" s="1" t="s">
        <v>169</v>
      </c>
      <c r="O412"/>
      <c r="P412"/>
      <c r="Q412"/>
    </row>
    <row r="413" spans="1:17" s="1" customFormat="1" ht="18.25" customHeight="1" outlineLevel="2">
      <c r="A413" s="570"/>
      <c r="B413" s="5" t="s">
        <v>206</v>
      </c>
      <c r="C413" s="18" t="s">
        <v>488</v>
      </c>
      <c r="D413" s="7" t="s">
        <v>240</v>
      </c>
      <c r="E413" s="8">
        <v>2</v>
      </c>
      <c r="F413" s="9">
        <v>20044</v>
      </c>
      <c r="G413" s="8">
        <v>2</v>
      </c>
      <c r="H413" s="10">
        <v>20044</v>
      </c>
      <c r="I413" s="310">
        <v>1</v>
      </c>
      <c r="J413" s="405">
        <v>1</v>
      </c>
      <c r="K413" s="409">
        <v>0</v>
      </c>
      <c r="L413" s="426"/>
      <c r="O413"/>
      <c r="P413"/>
      <c r="Q413"/>
    </row>
    <row r="414" spans="1:17" s="1" customFormat="1" ht="18.25" customHeight="1" outlineLevel="2">
      <c r="A414" s="570"/>
      <c r="B414" s="5" t="s">
        <v>206</v>
      </c>
      <c r="C414" s="50" t="s">
        <v>709</v>
      </c>
      <c r="D414" s="19" t="s">
        <v>39</v>
      </c>
      <c r="E414" s="8">
        <v>0</v>
      </c>
      <c r="F414" s="9">
        <v>0</v>
      </c>
      <c r="G414" s="8">
        <v>0</v>
      </c>
      <c r="H414" s="10">
        <v>0</v>
      </c>
      <c r="I414" s="310">
        <v>0</v>
      </c>
      <c r="J414" s="405">
        <v>0</v>
      </c>
      <c r="K414" s="409">
        <v>0</v>
      </c>
      <c r="L414" s="426"/>
      <c r="O414"/>
      <c r="P414"/>
      <c r="Q414"/>
    </row>
    <row r="415" spans="1:17" s="1" customFormat="1" ht="18.25" customHeight="1" outlineLevel="1">
      <c r="A415" s="570"/>
      <c r="B415" s="12" t="s">
        <v>206</v>
      </c>
      <c r="C415" s="13" t="s">
        <v>488</v>
      </c>
      <c r="D415" s="14">
        <v>2</v>
      </c>
      <c r="E415" s="15">
        <v>2</v>
      </c>
      <c r="F415" s="15">
        <v>20044</v>
      </c>
      <c r="G415" s="15">
        <v>2</v>
      </c>
      <c r="H415" s="21">
        <v>20044</v>
      </c>
      <c r="I415" s="311">
        <v>1</v>
      </c>
      <c r="J415" s="312">
        <v>1</v>
      </c>
      <c r="K415" s="410">
        <v>0</v>
      </c>
      <c r="L415" s="427">
        <v>0</v>
      </c>
      <c r="M415" s="1" t="s">
        <v>171</v>
      </c>
      <c r="O415"/>
      <c r="P415"/>
      <c r="Q415"/>
    </row>
    <row r="416" spans="1:17" s="1" customFormat="1" ht="18.25" customHeight="1" outlineLevel="2">
      <c r="A416" s="570"/>
      <c r="B416" s="5" t="s">
        <v>206</v>
      </c>
      <c r="C416" s="6" t="s">
        <v>102</v>
      </c>
      <c r="D416" s="7" t="s">
        <v>40</v>
      </c>
      <c r="E416" s="8">
        <v>0</v>
      </c>
      <c r="F416" s="9">
        <v>0</v>
      </c>
      <c r="G416" s="8">
        <v>0</v>
      </c>
      <c r="H416" s="10">
        <v>0</v>
      </c>
      <c r="I416" s="310">
        <v>0</v>
      </c>
      <c r="J416" s="405">
        <v>0</v>
      </c>
      <c r="K416" s="409">
        <v>0</v>
      </c>
      <c r="L416" s="426"/>
      <c r="O416"/>
      <c r="P416"/>
      <c r="Q416"/>
    </row>
    <row r="417" spans="1:17" s="1" customFormat="1" ht="18.25" customHeight="1" outlineLevel="2">
      <c r="A417" s="570"/>
      <c r="B417" s="5" t="s">
        <v>206</v>
      </c>
      <c r="C417" s="874" t="s">
        <v>906</v>
      </c>
      <c r="D417" s="40" t="s">
        <v>27</v>
      </c>
      <c r="E417" s="8">
        <v>0</v>
      </c>
      <c r="F417" s="9">
        <v>0</v>
      </c>
      <c r="G417" s="8">
        <v>0</v>
      </c>
      <c r="H417" s="10">
        <v>0</v>
      </c>
      <c r="I417" s="310">
        <v>0</v>
      </c>
      <c r="J417" s="405">
        <v>0</v>
      </c>
      <c r="K417" s="409">
        <v>0</v>
      </c>
      <c r="L417" s="431"/>
      <c r="O417"/>
      <c r="P417"/>
      <c r="Q417"/>
    </row>
    <row r="418" spans="1:17" s="1" customFormat="1" ht="18.25" customHeight="1" outlineLevel="2">
      <c r="A418" s="570"/>
      <c r="B418" s="5" t="s">
        <v>206</v>
      </c>
      <c r="C418" s="11" t="s">
        <v>234</v>
      </c>
      <c r="D418" s="19" t="s">
        <v>39</v>
      </c>
      <c r="E418" s="8">
        <v>0</v>
      </c>
      <c r="F418" s="9">
        <v>0</v>
      </c>
      <c r="G418" s="8">
        <v>0</v>
      </c>
      <c r="H418" s="10">
        <v>0</v>
      </c>
      <c r="I418" s="310">
        <v>0</v>
      </c>
      <c r="J418" s="405">
        <v>0</v>
      </c>
      <c r="K418" s="409">
        <v>0</v>
      </c>
      <c r="L418" s="426"/>
      <c r="O418"/>
      <c r="P418"/>
      <c r="Q418"/>
    </row>
    <row r="419" spans="1:17" s="1" customFormat="1" ht="18.25" customHeight="1" outlineLevel="1">
      <c r="A419" s="570"/>
      <c r="B419" s="12" t="s">
        <v>206</v>
      </c>
      <c r="C419" s="13" t="s">
        <v>102</v>
      </c>
      <c r="D419" s="14">
        <v>3</v>
      </c>
      <c r="E419" s="15">
        <v>0</v>
      </c>
      <c r="F419" s="15">
        <v>0</v>
      </c>
      <c r="G419" s="15">
        <v>0</v>
      </c>
      <c r="H419" s="21">
        <v>0</v>
      </c>
      <c r="I419" s="311">
        <v>0</v>
      </c>
      <c r="J419" s="312">
        <v>0</v>
      </c>
      <c r="K419" s="410">
        <v>0</v>
      </c>
      <c r="L419" s="427">
        <v>0</v>
      </c>
      <c r="M419" s="1" t="s">
        <v>51</v>
      </c>
      <c r="O419"/>
      <c r="P419"/>
      <c r="Q419"/>
    </row>
    <row r="420" spans="1:17" s="1" customFormat="1" ht="18.25" customHeight="1" outlineLevel="2">
      <c r="A420" s="570"/>
      <c r="B420" s="5" t="s">
        <v>206</v>
      </c>
      <c r="C420" s="11" t="s">
        <v>353</v>
      </c>
      <c r="D420" s="19" t="s">
        <v>25</v>
      </c>
      <c r="E420" s="8">
        <v>0</v>
      </c>
      <c r="F420" s="9">
        <v>0</v>
      </c>
      <c r="G420" s="8">
        <v>0.5</v>
      </c>
      <c r="H420" s="10">
        <v>16446</v>
      </c>
      <c r="I420" s="310">
        <v>1</v>
      </c>
      <c r="J420" s="405">
        <v>0</v>
      </c>
      <c r="K420" s="409">
        <v>0</v>
      </c>
      <c r="L420" s="426"/>
      <c r="O420"/>
      <c r="P420"/>
      <c r="Q420"/>
    </row>
    <row r="421" spans="1:17" s="1" customFormat="1" ht="18.25" customHeight="1" outlineLevel="2">
      <c r="A421" s="570"/>
      <c r="B421" s="5" t="s">
        <v>206</v>
      </c>
      <c r="C421" s="50" t="s">
        <v>262</v>
      </c>
      <c r="D421" s="19" t="s">
        <v>39</v>
      </c>
      <c r="E421" s="8">
        <v>0</v>
      </c>
      <c r="F421" s="9">
        <v>0</v>
      </c>
      <c r="G421" s="8">
        <v>0.5</v>
      </c>
      <c r="H421" s="10">
        <v>16446</v>
      </c>
      <c r="I421" s="310">
        <v>1</v>
      </c>
      <c r="J421" s="405">
        <v>1</v>
      </c>
      <c r="K421" s="409">
        <v>0</v>
      </c>
      <c r="L421" s="426"/>
      <c r="O421"/>
      <c r="P421"/>
      <c r="Q421"/>
    </row>
    <row r="422" spans="1:17" s="1" customFormat="1" ht="18.25" customHeight="1" outlineLevel="1">
      <c r="A422" s="570"/>
      <c r="B422" s="12" t="s">
        <v>206</v>
      </c>
      <c r="C422" s="13" t="s">
        <v>465</v>
      </c>
      <c r="D422" s="14">
        <v>2</v>
      </c>
      <c r="E422" s="15">
        <v>0</v>
      </c>
      <c r="F422" s="15">
        <v>0</v>
      </c>
      <c r="G422" s="15">
        <v>1</v>
      </c>
      <c r="H422" s="21">
        <v>32892</v>
      </c>
      <c r="I422" s="311">
        <v>2</v>
      </c>
      <c r="J422" s="312">
        <v>1</v>
      </c>
      <c r="K422" s="410">
        <v>0</v>
      </c>
      <c r="L422" s="427">
        <v>0</v>
      </c>
      <c r="M422" s="1" t="s">
        <v>169</v>
      </c>
      <c r="O422"/>
      <c r="P422"/>
      <c r="Q422"/>
    </row>
    <row r="423" spans="1:17" s="1" customFormat="1" ht="18.25" customHeight="1" outlineLevel="2">
      <c r="A423" s="570"/>
      <c r="B423" s="5" t="s">
        <v>206</v>
      </c>
      <c r="C423" s="18" t="s">
        <v>103</v>
      </c>
      <c r="D423" s="7" t="s">
        <v>40</v>
      </c>
      <c r="E423" s="8">
        <v>0</v>
      </c>
      <c r="F423" s="9">
        <v>0</v>
      </c>
      <c r="G423" s="8">
        <v>0</v>
      </c>
      <c r="H423" s="10">
        <v>0</v>
      </c>
      <c r="I423" s="310">
        <v>0</v>
      </c>
      <c r="J423" s="405">
        <v>0</v>
      </c>
      <c r="K423" s="409">
        <v>0</v>
      </c>
      <c r="L423" s="426"/>
      <c r="O423"/>
      <c r="P423"/>
      <c r="Q423"/>
    </row>
    <row r="424" spans="1:17" s="1" customFormat="1" ht="18.25" customHeight="1" outlineLevel="2">
      <c r="A424" s="570"/>
      <c r="B424" s="5" t="s">
        <v>206</v>
      </c>
      <c r="C424" s="18" t="s">
        <v>777</v>
      </c>
      <c r="D424" s="7" t="s">
        <v>188</v>
      </c>
      <c r="E424" s="8">
        <v>0</v>
      </c>
      <c r="F424" s="9">
        <v>0</v>
      </c>
      <c r="G424" s="8">
        <v>1</v>
      </c>
      <c r="H424" s="10">
        <v>4402</v>
      </c>
      <c r="I424" s="310">
        <v>1</v>
      </c>
      <c r="J424" s="405">
        <v>0</v>
      </c>
      <c r="K424" s="409">
        <v>0</v>
      </c>
      <c r="L424" s="426"/>
      <c r="O424"/>
      <c r="P424"/>
      <c r="Q424"/>
    </row>
    <row r="425" spans="1:17" s="1" customFormat="1" ht="18.25" customHeight="1" outlineLevel="1">
      <c r="A425" s="570"/>
      <c r="B425" s="12" t="s">
        <v>206</v>
      </c>
      <c r="C425" s="13" t="s">
        <v>104</v>
      </c>
      <c r="D425" s="14">
        <v>2</v>
      </c>
      <c r="E425" s="15">
        <v>0</v>
      </c>
      <c r="F425" s="16">
        <v>0</v>
      </c>
      <c r="G425" s="15">
        <v>1</v>
      </c>
      <c r="H425" s="17">
        <v>4402</v>
      </c>
      <c r="I425" s="311">
        <v>1</v>
      </c>
      <c r="J425" s="312">
        <v>0</v>
      </c>
      <c r="K425" s="410">
        <v>0</v>
      </c>
      <c r="L425" s="427">
        <v>0</v>
      </c>
      <c r="M425" s="1" t="s">
        <v>51</v>
      </c>
      <c r="O425"/>
      <c r="P425"/>
      <c r="Q425"/>
    </row>
    <row r="426" spans="1:17" s="1" customFormat="1" ht="18.25" customHeight="1" outlineLevel="2">
      <c r="A426" s="570"/>
      <c r="B426" s="5" t="s">
        <v>206</v>
      </c>
      <c r="C426" s="6" t="s">
        <v>105</v>
      </c>
      <c r="D426" s="7" t="s">
        <v>22</v>
      </c>
      <c r="E426" s="8">
        <v>0</v>
      </c>
      <c r="F426" s="9">
        <v>0</v>
      </c>
      <c r="G426" s="8">
        <v>0</v>
      </c>
      <c r="H426" s="10">
        <v>0</v>
      </c>
      <c r="I426" s="310">
        <v>0</v>
      </c>
      <c r="J426" s="405">
        <v>0</v>
      </c>
      <c r="K426" s="409">
        <v>0</v>
      </c>
      <c r="L426" s="426"/>
      <c r="O426"/>
      <c r="P426"/>
      <c r="Q426"/>
    </row>
    <row r="427" spans="1:17" s="1" customFormat="1" ht="18.25" customHeight="1" outlineLevel="2">
      <c r="A427" s="570"/>
      <c r="B427" s="5" t="s">
        <v>206</v>
      </c>
      <c r="C427" s="6" t="s">
        <v>471</v>
      </c>
      <c r="D427" s="7" t="s">
        <v>39</v>
      </c>
      <c r="E427" s="8">
        <v>0</v>
      </c>
      <c r="F427" s="9">
        <v>0</v>
      </c>
      <c r="G427" s="8">
        <v>0</v>
      </c>
      <c r="H427" s="10">
        <v>0</v>
      </c>
      <c r="I427" s="310">
        <v>0</v>
      </c>
      <c r="J427" s="405">
        <v>0</v>
      </c>
      <c r="K427" s="409">
        <v>0</v>
      </c>
      <c r="L427" s="426"/>
      <c r="O427"/>
      <c r="P427"/>
      <c r="Q427"/>
    </row>
    <row r="428" spans="1:17" s="1" customFormat="1" ht="18.25" customHeight="1" outlineLevel="2">
      <c r="A428" s="570"/>
      <c r="B428" s="5" t="s">
        <v>206</v>
      </c>
      <c r="C428" s="6" t="s">
        <v>348</v>
      </c>
      <c r="D428" s="7" t="s">
        <v>39</v>
      </c>
      <c r="E428" s="8">
        <v>0</v>
      </c>
      <c r="F428" s="9">
        <v>0</v>
      </c>
      <c r="G428" s="8">
        <v>0</v>
      </c>
      <c r="H428" s="10">
        <v>0</v>
      </c>
      <c r="I428" s="310">
        <v>0</v>
      </c>
      <c r="J428" s="405">
        <v>0</v>
      </c>
      <c r="K428" s="409">
        <v>0</v>
      </c>
      <c r="L428" s="426"/>
      <c r="O428"/>
      <c r="P428"/>
      <c r="Q428"/>
    </row>
    <row r="429" spans="1:17" s="1" customFormat="1" ht="18.25" customHeight="1" outlineLevel="1">
      <c r="A429" s="570"/>
      <c r="B429" s="12" t="s">
        <v>206</v>
      </c>
      <c r="C429" s="13" t="s">
        <v>107</v>
      </c>
      <c r="D429" s="14">
        <v>3</v>
      </c>
      <c r="E429" s="15">
        <v>0</v>
      </c>
      <c r="F429" s="16">
        <v>0</v>
      </c>
      <c r="G429" s="15">
        <v>0</v>
      </c>
      <c r="H429" s="17">
        <v>0</v>
      </c>
      <c r="I429" s="311">
        <v>0</v>
      </c>
      <c r="J429" s="312">
        <v>0</v>
      </c>
      <c r="K429" s="410">
        <v>0</v>
      </c>
      <c r="L429" s="427">
        <v>0</v>
      </c>
      <c r="M429" s="1" t="s">
        <v>171</v>
      </c>
      <c r="O429"/>
      <c r="P429"/>
      <c r="Q429"/>
    </row>
    <row r="430" spans="1:17" s="1" customFormat="1" ht="18.25" customHeight="1" outlineLevel="2">
      <c r="A430" s="570"/>
      <c r="B430" s="5" t="s">
        <v>206</v>
      </c>
      <c r="C430" s="6" t="s">
        <v>106</v>
      </c>
      <c r="D430" s="7" t="s">
        <v>20</v>
      </c>
      <c r="E430" s="8">
        <v>2</v>
      </c>
      <c r="F430" s="9">
        <v>23450</v>
      </c>
      <c r="G430" s="8">
        <v>2</v>
      </c>
      <c r="H430" s="10">
        <v>23450</v>
      </c>
      <c r="I430" s="310">
        <v>1</v>
      </c>
      <c r="J430" s="405">
        <v>1</v>
      </c>
      <c r="K430" s="409">
        <v>0</v>
      </c>
      <c r="L430" s="426"/>
      <c r="O430"/>
      <c r="P430"/>
      <c r="Q430"/>
    </row>
    <row r="431" spans="1:17" s="1" customFormat="1" ht="18.25" customHeight="1" outlineLevel="2">
      <c r="A431" s="570"/>
      <c r="B431" s="5" t="s">
        <v>206</v>
      </c>
      <c r="C431" s="6" t="s">
        <v>358</v>
      </c>
      <c r="D431" s="7" t="s">
        <v>39</v>
      </c>
      <c r="E431" s="8">
        <v>0</v>
      </c>
      <c r="F431" s="9">
        <v>0</v>
      </c>
      <c r="G431" s="8">
        <v>0</v>
      </c>
      <c r="H431" s="10">
        <v>0</v>
      </c>
      <c r="I431" s="310">
        <v>0</v>
      </c>
      <c r="J431" s="405">
        <v>0</v>
      </c>
      <c r="K431" s="409">
        <v>0</v>
      </c>
      <c r="L431" s="426"/>
      <c r="O431"/>
      <c r="P431"/>
      <c r="Q431"/>
    </row>
    <row r="432" spans="1:17" s="1" customFormat="1" ht="18.25" customHeight="1" outlineLevel="1">
      <c r="A432" s="570"/>
      <c r="B432" s="12" t="s">
        <v>206</v>
      </c>
      <c r="C432" s="13" t="s">
        <v>106</v>
      </c>
      <c r="D432" s="14">
        <v>2</v>
      </c>
      <c r="E432" s="15">
        <v>2</v>
      </c>
      <c r="F432" s="16">
        <v>23450</v>
      </c>
      <c r="G432" s="15">
        <v>2</v>
      </c>
      <c r="H432" s="17">
        <v>23450</v>
      </c>
      <c r="I432" s="311">
        <v>1</v>
      </c>
      <c r="J432" s="312">
        <v>1</v>
      </c>
      <c r="K432" s="410">
        <v>0</v>
      </c>
      <c r="L432" s="427">
        <v>0</v>
      </c>
      <c r="M432" s="1" t="s">
        <v>169</v>
      </c>
      <c r="O432"/>
      <c r="P432"/>
      <c r="Q432"/>
    </row>
    <row r="433" spans="1:17" s="1" customFormat="1" ht="18.25" customHeight="1" outlineLevel="2">
      <c r="A433" s="570"/>
      <c r="B433" s="5" t="s">
        <v>206</v>
      </c>
      <c r="C433" s="6" t="s">
        <v>510</v>
      </c>
      <c r="D433" s="7" t="s">
        <v>221</v>
      </c>
      <c r="E433" s="8">
        <v>0</v>
      </c>
      <c r="F433" s="9">
        <v>0</v>
      </c>
      <c r="G433" s="8">
        <v>3</v>
      </c>
      <c r="H433" s="10">
        <v>62640</v>
      </c>
      <c r="I433" s="310">
        <v>1</v>
      </c>
      <c r="J433" s="405">
        <v>1</v>
      </c>
      <c r="K433" s="409">
        <v>1</v>
      </c>
      <c r="L433" s="426"/>
      <c r="O433"/>
      <c r="P433"/>
      <c r="Q433"/>
    </row>
    <row r="434" spans="1:17" s="1" customFormat="1" ht="18.25" customHeight="1" outlineLevel="2">
      <c r="A434" s="570"/>
      <c r="B434" s="5" t="s">
        <v>206</v>
      </c>
      <c r="C434" s="6" t="s">
        <v>909</v>
      </c>
      <c r="D434" s="7" t="s">
        <v>39</v>
      </c>
      <c r="E434" s="8">
        <v>0</v>
      </c>
      <c r="F434" s="9">
        <v>0</v>
      </c>
      <c r="G434" s="8">
        <v>1</v>
      </c>
      <c r="H434" s="10">
        <v>7404</v>
      </c>
      <c r="I434" s="310">
        <v>1</v>
      </c>
      <c r="J434" s="405">
        <v>0</v>
      </c>
      <c r="K434" s="409">
        <v>0</v>
      </c>
      <c r="L434" s="426"/>
      <c r="O434"/>
      <c r="P434"/>
      <c r="Q434"/>
    </row>
    <row r="435" spans="1:17" s="1" customFormat="1" ht="18.25" customHeight="1" outlineLevel="1">
      <c r="A435" s="570"/>
      <c r="B435" s="12" t="s">
        <v>206</v>
      </c>
      <c r="C435" s="13" t="s">
        <v>90</v>
      </c>
      <c r="D435" s="14">
        <v>2</v>
      </c>
      <c r="E435" s="15">
        <v>0</v>
      </c>
      <c r="F435" s="16">
        <v>0</v>
      </c>
      <c r="G435" s="15">
        <v>4</v>
      </c>
      <c r="H435" s="17">
        <v>70044</v>
      </c>
      <c r="I435" s="311">
        <v>2</v>
      </c>
      <c r="J435" s="312">
        <v>1</v>
      </c>
      <c r="K435" s="410">
        <v>1</v>
      </c>
      <c r="L435" s="427">
        <v>0</v>
      </c>
      <c r="M435" s="1" t="s">
        <v>51</v>
      </c>
      <c r="O435"/>
      <c r="P435"/>
      <c r="Q435"/>
    </row>
    <row r="436" spans="1:17" s="1" customFormat="1" ht="18.25" customHeight="1" outlineLevel="2">
      <c r="A436" s="570"/>
      <c r="B436" s="5" t="s">
        <v>206</v>
      </c>
      <c r="C436" s="6" t="s">
        <v>493</v>
      </c>
      <c r="D436" s="7" t="s">
        <v>169</v>
      </c>
      <c r="E436" s="8">
        <v>0</v>
      </c>
      <c r="F436" s="9">
        <v>0</v>
      </c>
      <c r="G436" s="8">
        <v>5</v>
      </c>
      <c r="H436" s="10">
        <v>28133</v>
      </c>
      <c r="I436" s="310">
        <v>1</v>
      </c>
      <c r="J436" s="405">
        <v>1</v>
      </c>
      <c r="K436" s="409">
        <v>1</v>
      </c>
      <c r="L436" s="426"/>
      <c r="O436"/>
      <c r="P436"/>
      <c r="Q436"/>
    </row>
    <row r="437" spans="1:17" s="1" customFormat="1" ht="18.25" customHeight="1" outlineLevel="2">
      <c r="A437" s="570"/>
      <c r="B437" s="5" t="s">
        <v>206</v>
      </c>
      <c r="C437" s="6" t="s">
        <v>885</v>
      </c>
      <c r="D437" s="7" t="s">
        <v>39</v>
      </c>
      <c r="E437" s="8">
        <v>0</v>
      </c>
      <c r="F437" s="9">
        <v>0</v>
      </c>
      <c r="G437" s="8">
        <v>0</v>
      </c>
      <c r="H437" s="10">
        <v>0</v>
      </c>
      <c r="I437" s="310">
        <v>0</v>
      </c>
      <c r="J437" s="405">
        <v>0</v>
      </c>
      <c r="K437" s="409">
        <v>0</v>
      </c>
      <c r="L437" s="426"/>
      <c r="O437"/>
      <c r="P437"/>
      <c r="Q437"/>
    </row>
    <row r="438" spans="1:17" s="1" customFormat="1" ht="18.25" customHeight="1" outlineLevel="2">
      <c r="A438" s="570"/>
      <c r="B438" s="5" t="s">
        <v>206</v>
      </c>
      <c r="C438" s="6" t="s">
        <v>815</v>
      </c>
      <c r="D438" s="7" t="s">
        <v>39</v>
      </c>
      <c r="E438" s="8">
        <v>0</v>
      </c>
      <c r="F438" s="9">
        <v>0</v>
      </c>
      <c r="G438" s="8">
        <v>0</v>
      </c>
      <c r="H438" s="10">
        <v>0</v>
      </c>
      <c r="I438" s="310">
        <v>0</v>
      </c>
      <c r="J438" s="405">
        <v>0</v>
      </c>
      <c r="K438" s="409">
        <v>0</v>
      </c>
      <c r="L438" s="426"/>
      <c r="O438"/>
      <c r="P438"/>
      <c r="Q438"/>
    </row>
    <row r="439" spans="1:17" s="1" customFormat="1" ht="18.25" customHeight="1" outlineLevel="1">
      <c r="A439" s="570"/>
      <c r="B439" s="12" t="s">
        <v>206</v>
      </c>
      <c r="C439" s="13" t="s">
        <v>493</v>
      </c>
      <c r="D439" s="14">
        <v>3</v>
      </c>
      <c r="E439" s="15">
        <v>0</v>
      </c>
      <c r="F439" s="16">
        <v>0</v>
      </c>
      <c r="G439" s="15">
        <v>5</v>
      </c>
      <c r="H439" s="17">
        <v>28133</v>
      </c>
      <c r="I439" s="311">
        <v>1</v>
      </c>
      <c r="J439" s="312">
        <v>1</v>
      </c>
      <c r="K439" s="410">
        <v>1</v>
      </c>
      <c r="L439" s="427">
        <v>1</v>
      </c>
      <c r="M439" s="1" t="s">
        <v>169</v>
      </c>
      <c r="O439"/>
      <c r="P439"/>
      <c r="Q439"/>
    </row>
    <row r="440" spans="1:17" s="1" customFormat="1" ht="18.25" customHeight="1" outlineLevel="2">
      <c r="A440" s="570"/>
      <c r="B440" s="5" t="s">
        <v>206</v>
      </c>
      <c r="C440" s="6" t="s">
        <v>562</v>
      </c>
      <c r="D440" s="7" t="s">
        <v>169</v>
      </c>
      <c r="E440" s="8">
        <v>0</v>
      </c>
      <c r="F440" s="9">
        <v>0</v>
      </c>
      <c r="G440" s="8">
        <v>0</v>
      </c>
      <c r="H440" s="10">
        <v>0</v>
      </c>
      <c r="I440" s="310">
        <v>0</v>
      </c>
      <c r="J440" s="405">
        <v>0</v>
      </c>
      <c r="K440" s="409">
        <v>0</v>
      </c>
      <c r="L440" s="426"/>
      <c r="O440"/>
      <c r="P440"/>
      <c r="Q440"/>
    </row>
    <row r="441" spans="1:17" s="1" customFormat="1" ht="18.25" customHeight="1" outlineLevel="2">
      <c r="A441" s="570"/>
      <c r="B441" s="5" t="s">
        <v>206</v>
      </c>
      <c r="C441" s="6" t="s">
        <v>739</v>
      </c>
      <c r="D441" s="7" t="s">
        <v>39</v>
      </c>
      <c r="E441" s="8">
        <v>0</v>
      </c>
      <c r="F441" s="9">
        <v>0</v>
      </c>
      <c r="G441" s="8">
        <v>0</v>
      </c>
      <c r="H441" s="10">
        <v>0</v>
      </c>
      <c r="I441" s="310">
        <v>0</v>
      </c>
      <c r="J441" s="405">
        <v>0</v>
      </c>
      <c r="K441" s="409">
        <v>0</v>
      </c>
      <c r="L441" s="426"/>
      <c r="O441"/>
      <c r="P441"/>
      <c r="Q441"/>
    </row>
    <row r="442" spans="1:17" s="1" customFormat="1" ht="18.25" customHeight="1" outlineLevel="1">
      <c r="A442" s="570"/>
      <c r="B442" s="12" t="s">
        <v>206</v>
      </c>
      <c r="C442" s="13" t="s">
        <v>493</v>
      </c>
      <c r="D442" s="14">
        <v>2</v>
      </c>
      <c r="E442" s="15">
        <v>0</v>
      </c>
      <c r="F442" s="16">
        <v>0</v>
      </c>
      <c r="G442" s="15">
        <v>0</v>
      </c>
      <c r="H442" s="17">
        <v>0</v>
      </c>
      <c r="I442" s="311">
        <v>0</v>
      </c>
      <c r="J442" s="312">
        <v>0</v>
      </c>
      <c r="K442" s="410">
        <v>0</v>
      </c>
      <c r="L442" s="427">
        <v>0</v>
      </c>
      <c r="M442" s="1" t="s">
        <v>169</v>
      </c>
      <c r="O442"/>
      <c r="P442"/>
      <c r="Q442"/>
    </row>
    <row r="443" spans="1:17" s="1" customFormat="1" ht="18.25" customHeight="1" outlineLevel="2">
      <c r="A443" s="570"/>
      <c r="B443" s="5" t="s">
        <v>206</v>
      </c>
      <c r="C443" s="39" t="s">
        <v>722</v>
      </c>
      <c r="D443" s="23" t="s">
        <v>169</v>
      </c>
      <c r="E443" s="8">
        <v>1</v>
      </c>
      <c r="F443" s="9">
        <v>7425</v>
      </c>
      <c r="G443" s="8">
        <v>1</v>
      </c>
      <c r="H443" s="10">
        <v>7425</v>
      </c>
      <c r="I443" s="310">
        <v>1</v>
      </c>
      <c r="J443" s="405">
        <v>0</v>
      </c>
      <c r="K443" s="409">
        <v>0</v>
      </c>
      <c r="L443" s="426"/>
      <c r="O443"/>
      <c r="P443"/>
      <c r="Q443"/>
    </row>
    <row r="444" spans="1:17" s="1" customFormat="1" ht="18.25" customHeight="1" outlineLevel="2">
      <c r="A444" s="570"/>
      <c r="B444" s="5" t="s">
        <v>206</v>
      </c>
      <c r="C444" s="39" t="s">
        <v>384</v>
      </c>
      <c r="D444" s="23" t="s">
        <v>39</v>
      </c>
      <c r="E444" s="42">
        <v>0</v>
      </c>
      <c r="F444" s="43">
        <v>0</v>
      </c>
      <c r="G444" s="42">
        <v>0</v>
      </c>
      <c r="H444" s="44">
        <v>0</v>
      </c>
      <c r="I444" s="310">
        <v>0</v>
      </c>
      <c r="J444" s="405">
        <v>0</v>
      </c>
      <c r="K444" s="409">
        <v>0</v>
      </c>
      <c r="L444" s="426"/>
      <c r="O444"/>
      <c r="P444"/>
      <c r="Q444"/>
    </row>
    <row r="445" spans="1:17" ht="18.25" customHeight="1" outlineLevel="1">
      <c r="B445" s="12" t="s">
        <v>206</v>
      </c>
      <c r="C445" s="13" t="s">
        <v>281</v>
      </c>
      <c r="D445" s="14">
        <v>2</v>
      </c>
      <c r="E445" s="15">
        <v>1</v>
      </c>
      <c r="F445" s="16">
        <v>7425</v>
      </c>
      <c r="G445" s="15">
        <v>1</v>
      </c>
      <c r="H445" s="17">
        <v>7425</v>
      </c>
      <c r="I445" s="311">
        <v>1</v>
      </c>
      <c r="J445" s="312">
        <v>0</v>
      </c>
      <c r="K445" s="410">
        <v>0</v>
      </c>
      <c r="L445" s="427">
        <v>0</v>
      </c>
      <c r="M445" s="1" t="s">
        <v>169</v>
      </c>
    </row>
    <row r="446" spans="1:17" s="149" customFormat="1" ht="18.25" customHeight="1">
      <c r="A446" s="569" t="s">
        <v>207</v>
      </c>
      <c r="B446" s="945" t="s">
        <v>207</v>
      </c>
      <c r="C446" s="946"/>
      <c r="D446" s="145">
        <v>42</v>
      </c>
      <c r="E446" s="150">
        <v>6</v>
      </c>
      <c r="F446" s="151">
        <v>93101</v>
      </c>
      <c r="G446" s="146">
        <v>37</v>
      </c>
      <c r="H446" s="152">
        <v>470412</v>
      </c>
      <c r="I446" s="314">
        <v>15</v>
      </c>
      <c r="J446" s="315">
        <v>9</v>
      </c>
      <c r="K446" s="411">
        <v>5</v>
      </c>
      <c r="L446" s="428">
        <v>2</v>
      </c>
      <c r="M446" s="248"/>
      <c r="N446" s="248"/>
    </row>
    <row r="447" spans="1:17" ht="18.25" customHeight="1" outlineLevel="2">
      <c r="B447" s="5" t="s">
        <v>216</v>
      </c>
      <c r="C447" s="6" t="s">
        <v>69</v>
      </c>
      <c r="D447" s="7" t="s">
        <v>54</v>
      </c>
      <c r="E447" s="8">
        <v>0</v>
      </c>
      <c r="F447" s="9">
        <v>0</v>
      </c>
      <c r="G447" s="8">
        <v>1</v>
      </c>
      <c r="H447" s="10">
        <v>12407</v>
      </c>
      <c r="I447" s="310">
        <v>1</v>
      </c>
      <c r="J447" s="405">
        <v>0</v>
      </c>
      <c r="K447" s="409">
        <v>0</v>
      </c>
      <c r="L447" s="426"/>
    </row>
    <row r="448" spans="1:17" ht="18.25" customHeight="1" outlineLevel="1">
      <c r="B448" s="12" t="s">
        <v>218</v>
      </c>
      <c r="C448" s="13" t="s">
        <v>70</v>
      </c>
      <c r="D448" s="14">
        <v>1</v>
      </c>
      <c r="E448" s="15">
        <v>0</v>
      </c>
      <c r="F448" s="16">
        <v>0</v>
      </c>
      <c r="G448" s="15">
        <v>1</v>
      </c>
      <c r="H448" s="17">
        <v>12407</v>
      </c>
      <c r="I448" s="311">
        <v>1</v>
      </c>
      <c r="J448" s="312">
        <v>0</v>
      </c>
      <c r="K448" s="410">
        <v>0</v>
      </c>
      <c r="L448" s="427">
        <v>0</v>
      </c>
      <c r="M448" s="1" t="s">
        <v>167</v>
      </c>
    </row>
    <row r="449" spans="1:17" ht="18.25" customHeight="1" outlineLevel="2">
      <c r="B449" s="52" t="s">
        <v>218</v>
      </c>
      <c r="C449" s="54" t="s">
        <v>413</v>
      </c>
      <c r="D449" s="7" t="s">
        <v>51</v>
      </c>
      <c r="E449" s="58">
        <v>0</v>
      </c>
      <c r="F449" s="59">
        <v>0</v>
      </c>
      <c r="G449" s="58">
        <v>2</v>
      </c>
      <c r="H449" s="76">
        <v>15856</v>
      </c>
      <c r="I449" s="319">
        <v>1</v>
      </c>
      <c r="J449" s="405">
        <v>0</v>
      </c>
      <c r="K449" s="409">
        <v>0</v>
      </c>
      <c r="L449" s="426"/>
    </row>
    <row r="450" spans="1:17" ht="18.25" customHeight="1" outlineLevel="2">
      <c r="B450" s="52" t="s">
        <v>218</v>
      </c>
      <c r="C450" s="54" t="s">
        <v>415</v>
      </c>
      <c r="D450" s="7" t="s">
        <v>181</v>
      </c>
      <c r="E450" s="58">
        <v>0</v>
      </c>
      <c r="F450" s="59">
        <v>0</v>
      </c>
      <c r="G450" s="58">
        <v>1</v>
      </c>
      <c r="H450" s="76">
        <v>14873</v>
      </c>
      <c r="I450" s="319">
        <v>1</v>
      </c>
      <c r="J450" s="405">
        <v>1</v>
      </c>
      <c r="K450" s="409">
        <v>0</v>
      </c>
      <c r="L450" s="426"/>
    </row>
    <row r="451" spans="1:17" ht="18.25" customHeight="1" outlineLevel="2">
      <c r="B451" s="52" t="s">
        <v>218</v>
      </c>
      <c r="C451" s="54" t="s">
        <v>639</v>
      </c>
      <c r="D451" s="7" t="s">
        <v>181</v>
      </c>
      <c r="E451" s="58">
        <v>0</v>
      </c>
      <c r="F451" s="59">
        <v>0</v>
      </c>
      <c r="G451" s="58">
        <v>2</v>
      </c>
      <c r="H451" s="76">
        <v>35261</v>
      </c>
      <c r="I451" s="319">
        <v>1</v>
      </c>
      <c r="J451" s="405">
        <v>1</v>
      </c>
      <c r="K451" s="409">
        <v>1</v>
      </c>
      <c r="L451" s="426"/>
    </row>
    <row r="452" spans="1:17" ht="18.25" customHeight="1" outlineLevel="1">
      <c r="B452" s="67" t="s">
        <v>218</v>
      </c>
      <c r="C452" s="68" t="s">
        <v>413</v>
      </c>
      <c r="D452" s="26">
        <v>3</v>
      </c>
      <c r="E452" s="69">
        <v>0</v>
      </c>
      <c r="F452" s="70">
        <v>0</v>
      </c>
      <c r="G452" s="69">
        <v>5</v>
      </c>
      <c r="H452" s="77">
        <v>65990</v>
      </c>
      <c r="I452" s="320">
        <v>3</v>
      </c>
      <c r="J452" s="321">
        <v>2</v>
      </c>
      <c r="K452" s="322">
        <v>1</v>
      </c>
      <c r="L452" s="434">
        <v>0</v>
      </c>
      <c r="M452" s="1" t="s">
        <v>51</v>
      </c>
    </row>
    <row r="453" spans="1:17" ht="18.25" customHeight="1" outlineLevel="2">
      <c r="B453" s="52" t="s">
        <v>218</v>
      </c>
      <c r="C453" s="54" t="s">
        <v>414</v>
      </c>
      <c r="D453" s="527" t="s">
        <v>719</v>
      </c>
      <c r="E453" s="58">
        <v>0</v>
      </c>
      <c r="F453" s="59">
        <v>0</v>
      </c>
      <c r="G453" s="58">
        <v>0</v>
      </c>
      <c r="H453" s="76">
        <v>0</v>
      </c>
      <c r="I453" s="332"/>
      <c r="J453" s="407"/>
      <c r="K453" s="414"/>
      <c r="L453" s="435"/>
    </row>
    <row r="454" spans="1:17" ht="18.25" customHeight="1" outlineLevel="1">
      <c r="B454" s="67" t="s">
        <v>218</v>
      </c>
      <c r="C454" s="68" t="s">
        <v>414</v>
      </c>
      <c r="D454" s="526"/>
      <c r="E454" s="69">
        <v>0</v>
      </c>
      <c r="F454" s="70">
        <v>0</v>
      </c>
      <c r="G454" s="69">
        <v>0</v>
      </c>
      <c r="H454" s="77">
        <v>0</v>
      </c>
      <c r="I454" s="332"/>
      <c r="J454" s="503"/>
      <c r="K454" s="504"/>
      <c r="L454" s="505"/>
    </row>
    <row r="455" spans="1:17" ht="18.25" customHeight="1" outlineLevel="2">
      <c r="B455" s="53" t="s">
        <v>218</v>
      </c>
      <c r="C455" s="54" t="s">
        <v>416</v>
      </c>
      <c r="D455" s="7" t="s">
        <v>221</v>
      </c>
      <c r="E455" s="58">
        <v>0</v>
      </c>
      <c r="F455" s="59">
        <v>0</v>
      </c>
      <c r="G455" s="58">
        <v>1</v>
      </c>
      <c r="H455" s="76">
        <v>11470</v>
      </c>
      <c r="I455" s="319">
        <v>1</v>
      </c>
      <c r="J455" s="405">
        <v>0</v>
      </c>
      <c r="K455" s="409">
        <v>0</v>
      </c>
      <c r="L455" s="426"/>
    </row>
    <row r="456" spans="1:17" ht="18.25" customHeight="1" outlineLevel="2">
      <c r="B456" s="53" t="s">
        <v>218</v>
      </c>
      <c r="C456" s="54" t="s">
        <v>762</v>
      </c>
      <c r="D456" s="7" t="s">
        <v>181</v>
      </c>
      <c r="E456" s="58">
        <v>0</v>
      </c>
      <c r="F456" s="59">
        <v>0</v>
      </c>
      <c r="G456" s="58">
        <v>1</v>
      </c>
      <c r="H456" s="76">
        <v>11470</v>
      </c>
      <c r="I456" s="319">
        <v>1</v>
      </c>
      <c r="J456" s="405">
        <v>1</v>
      </c>
      <c r="K456" s="409">
        <v>0</v>
      </c>
      <c r="L456" s="426"/>
    </row>
    <row r="457" spans="1:17" ht="18.25" customHeight="1" outlineLevel="2">
      <c r="B457" s="53" t="s">
        <v>218</v>
      </c>
      <c r="C457" s="54" t="s">
        <v>794</v>
      </c>
      <c r="D457" s="7" t="s">
        <v>181</v>
      </c>
      <c r="E457" s="58">
        <v>0</v>
      </c>
      <c r="F457" s="59">
        <v>0</v>
      </c>
      <c r="G457" s="58">
        <v>0</v>
      </c>
      <c r="H457" s="76">
        <v>0</v>
      </c>
      <c r="I457" s="319">
        <v>0</v>
      </c>
      <c r="J457" s="405">
        <v>0</v>
      </c>
      <c r="K457" s="409">
        <v>0</v>
      </c>
      <c r="L457" s="426"/>
    </row>
    <row r="458" spans="1:17" ht="18.25" customHeight="1" outlineLevel="1">
      <c r="B458" s="67" t="s">
        <v>218</v>
      </c>
      <c r="C458" s="61" t="s">
        <v>416</v>
      </c>
      <c r="D458" s="26">
        <v>3</v>
      </c>
      <c r="E458" s="69">
        <v>0</v>
      </c>
      <c r="F458" s="70">
        <v>0</v>
      </c>
      <c r="G458" s="69">
        <v>2</v>
      </c>
      <c r="H458" s="77">
        <v>22940</v>
      </c>
      <c r="I458" s="320">
        <v>2</v>
      </c>
      <c r="J458" s="321">
        <v>1</v>
      </c>
      <c r="K458" s="322">
        <v>0</v>
      </c>
      <c r="L458" s="434">
        <v>0</v>
      </c>
      <c r="M458" s="1" t="s">
        <v>51</v>
      </c>
    </row>
    <row r="459" spans="1:17" ht="18.25" customHeight="1" outlineLevel="2">
      <c r="B459" s="53" t="s">
        <v>218</v>
      </c>
      <c r="C459" s="54" t="s">
        <v>417</v>
      </c>
      <c r="D459" s="7" t="s">
        <v>221</v>
      </c>
      <c r="E459" s="58">
        <v>0</v>
      </c>
      <c r="F459" s="59">
        <v>0</v>
      </c>
      <c r="G459" s="58">
        <v>0</v>
      </c>
      <c r="H459" s="76">
        <v>0</v>
      </c>
      <c r="I459" s="319">
        <v>0</v>
      </c>
      <c r="J459" s="405">
        <v>0</v>
      </c>
      <c r="K459" s="409">
        <v>0</v>
      </c>
      <c r="L459" s="426"/>
    </row>
    <row r="460" spans="1:17" ht="18.25" customHeight="1" outlineLevel="2">
      <c r="B460" s="53" t="s">
        <v>218</v>
      </c>
      <c r="C460" s="54" t="s">
        <v>795</v>
      </c>
      <c r="D460" s="7" t="s">
        <v>181</v>
      </c>
      <c r="E460" s="58">
        <v>0</v>
      </c>
      <c r="F460" s="59">
        <v>0</v>
      </c>
      <c r="G460" s="58">
        <v>0</v>
      </c>
      <c r="H460" s="76">
        <v>0</v>
      </c>
      <c r="I460" s="319">
        <v>0</v>
      </c>
      <c r="J460" s="405">
        <v>0</v>
      </c>
      <c r="K460" s="409">
        <v>0</v>
      </c>
      <c r="L460" s="426"/>
    </row>
    <row r="461" spans="1:17" s="1" customFormat="1" ht="18.25" customHeight="1" outlineLevel="1">
      <c r="A461" s="570"/>
      <c r="B461" s="67" t="s">
        <v>218</v>
      </c>
      <c r="C461" s="61" t="s">
        <v>417</v>
      </c>
      <c r="D461" s="26">
        <v>2</v>
      </c>
      <c r="E461" s="69">
        <v>0</v>
      </c>
      <c r="F461" s="70">
        <v>0</v>
      </c>
      <c r="G461" s="69">
        <v>0</v>
      </c>
      <c r="H461" s="77">
        <v>0</v>
      </c>
      <c r="I461" s="320">
        <v>0</v>
      </c>
      <c r="J461" s="321">
        <v>0</v>
      </c>
      <c r="K461" s="322">
        <v>0</v>
      </c>
      <c r="L461" s="434">
        <v>0</v>
      </c>
      <c r="M461" s="1" t="s">
        <v>51</v>
      </c>
      <c r="O461"/>
      <c r="P461"/>
      <c r="Q461"/>
    </row>
    <row r="462" spans="1:17" s="1" customFormat="1" ht="18.25" customHeight="1" outlineLevel="2">
      <c r="A462" s="570"/>
      <c r="B462" s="53" t="s">
        <v>218</v>
      </c>
      <c r="C462" s="54" t="s">
        <v>418</v>
      </c>
      <c r="D462" s="7" t="s">
        <v>171</v>
      </c>
      <c r="E462" s="58">
        <v>2</v>
      </c>
      <c r="F462" s="59">
        <v>24890</v>
      </c>
      <c r="G462" s="58">
        <v>5</v>
      </c>
      <c r="H462" s="76">
        <v>80108</v>
      </c>
      <c r="I462" s="319">
        <v>1</v>
      </c>
      <c r="J462" s="405">
        <v>1</v>
      </c>
      <c r="K462" s="409">
        <v>1</v>
      </c>
      <c r="L462" s="426"/>
      <c r="O462"/>
      <c r="P462"/>
      <c r="Q462"/>
    </row>
    <row r="463" spans="1:17" s="1" customFormat="1" ht="18.25" customHeight="1" outlineLevel="2">
      <c r="A463" s="570"/>
      <c r="B463" s="53" t="s">
        <v>218</v>
      </c>
      <c r="C463" s="54" t="s">
        <v>681</v>
      </c>
      <c r="D463" s="7" t="s">
        <v>181</v>
      </c>
      <c r="E463" s="58">
        <v>0</v>
      </c>
      <c r="F463" s="59">
        <v>0</v>
      </c>
      <c r="G463" s="58">
        <v>0</v>
      </c>
      <c r="H463" s="76">
        <v>0</v>
      </c>
      <c r="I463" s="319">
        <v>0</v>
      </c>
      <c r="J463" s="405">
        <v>0</v>
      </c>
      <c r="K463" s="409">
        <v>0</v>
      </c>
      <c r="L463" s="426"/>
      <c r="O463"/>
      <c r="P463"/>
      <c r="Q463"/>
    </row>
    <row r="464" spans="1:17" s="1" customFormat="1" ht="18.25" customHeight="1" outlineLevel="1">
      <c r="A464" s="570"/>
      <c r="B464" s="67" t="s">
        <v>218</v>
      </c>
      <c r="C464" s="61" t="s">
        <v>418</v>
      </c>
      <c r="D464" s="26">
        <v>2</v>
      </c>
      <c r="E464" s="69">
        <v>2</v>
      </c>
      <c r="F464" s="69">
        <v>24890</v>
      </c>
      <c r="G464" s="69">
        <v>5</v>
      </c>
      <c r="H464" s="79">
        <v>80108</v>
      </c>
      <c r="I464" s="320">
        <v>1</v>
      </c>
      <c r="J464" s="321">
        <v>1</v>
      </c>
      <c r="K464" s="322">
        <v>1</v>
      </c>
      <c r="L464" s="434">
        <v>0</v>
      </c>
      <c r="M464" s="1" t="s">
        <v>171</v>
      </c>
      <c r="O464"/>
      <c r="P464"/>
      <c r="Q464"/>
    </row>
    <row r="465" spans="1:17" s="1" customFormat="1" ht="18.25" customHeight="1" outlineLevel="2">
      <c r="A465" s="570"/>
      <c r="B465" s="53" t="s">
        <v>218</v>
      </c>
      <c r="C465" s="54" t="s">
        <v>419</v>
      </c>
      <c r="D465" s="7" t="s">
        <v>51</v>
      </c>
      <c r="E465" s="58">
        <v>0</v>
      </c>
      <c r="F465" s="59">
        <v>0</v>
      </c>
      <c r="G465" s="58">
        <v>0</v>
      </c>
      <c r="H465" s="76">
        <v>0</v>
      </c>
      <c r="I465" s="319">
        <v>0</v>
      </c>
      <c r="J465" s="405">
        <v>0</v>
      </c>
      <c r="K465" s="409">
        <v>0</v>
      </c>
      <c r="L465" s="426"/>
      <c r="O465"/>
      <c r="P465"/>
      <c r="Q465"/>
    </row>
    <row r="466" spans="1:17" s="1" customFormat="1" ht="18.25" customHeight="1" outlineLevel="2">
      <c r="A466" s="570"/>
      <c r="B466" s="53" t="s">
        <v>218</v>
      </c>
      <c r="C466" s="54" t="s">
        <v>421</v>
      </c>
      <c r="D466" s="7" t="s">
        <v>181</v>
      </c>
      <c r="E466" s="58">
        <v>0</v>
      </c>
      <c r="F466" s="59">
        <v>0</v>
      </c>
      <c r="G466" s="58">
        <v>0</v>
      </c>
      <c r="H466" s="76">
        <v>0</v>
      </c>
      <c r="I466" s="319">
        <v>0</v>
      </c>
      <c r="J466" s="405">
        <v>0</v>
      </c>
      <c r="K466" s="409">
        <v>0</v>
      </c>
      <c r="L466" s="426"/>
      <c r="O466"/>
      <c r="P466"/>
      <c r="Q466"/>
    </row>
    <row r="467" spans="1:17" s="1" customFormat="1" ht="18.25" customHeight="1" outlineLevel="2">
      <c r="A467" s="570"/>
      <c r="B467" s="53" t="s">
        <v>218</v>
      </c>
      <c r="C467" s="54" t="s">
        <v>818</v>
      </c>
      <c r="D467" s="7" t="s">
        <v>181</v>
      </c>
      <c r="E467" s="58">
        <v>0</v>
      </c>
      <c r="F467" s="59">
        <v>0</v>
      </c>
      <c r="G467" s="58">
        <v>0</v>
      </c>
      <c r="H467" s="76">
        <v>0</v>
      </c>
      <c r="I467" s="319">
        <v>0</v>
      </c>
      <c r="J467" s="405">
        <v>0</v>
      </c>
      <c r="K467" s="409">
        <v>0</v>
      </c>
      <c r="L467" s="426"/>
      <c r="O467"/>
      <c r="P467"/>
      <c r="Q467"/>
    </row>
    <row r="468" spans="1:17" s="1" customFormat="1" ht="18.25" customHeight="1" outlineLevel="2">
      <c r="A468" s="570"/>
      <c r="B468" s="53" t="s">
        <v>218</v>
      </c>
      <c r="C468" s="54" t="s">
        <v>653</v>
      </c>
      <c r="D468" s="7" t="s">
        <v>181</v>
      </c>
      <c r="E468" s="58">
        <v>0</v>
      </c>
      <c r="F468" s="59">
        <v>0</v>
      </c>
      <c r="G468" s="58">
        <v>0</v>
      </c>
      <c r="H468" s="76">
        <v>0</v>
      </c>
      <c r="I468" s="319">
        <v>0</v>
      </c>
      <c r="J468" s="405">
        <v>0</v>
      </c>
      <c r="K468" s="409">
        <v>0</v>
      </c>
      <c r="L468" s="426"/>
      <c r="O468"/>
      <c r="P468"/>
      <c r="Q468"/>
    </row>
    <row r="469" spans="1:17" s="1" customFormat="1" ht="18.25" customHeight="1" outlineLevel="2">
      <c r="A469" s="570"/>
      <c r="B469" s="53" t="s">
        <v>218</v>
      </c>
      <c r="C469" s="54" t="s">
        <v>420</v>
      </c>
      <c r="D469" s="7" t="s">
        <v>181</v>
      </c>
      <c r="E469" s="58">
        <v>0</v>
      </c>
      <c r="F469" s="59">
        <v>0</v>
      </c>
      <c r="G469" s="58">
        <v>0</v>
      </c>
      <c r="H469" s="76">
        <v>0</v>
      </c>
      <c r="I469" s="319">
        <v>0</v>
      </c>
      <c r="J469" s="405">
        <v>0</v>
      </c>
      <c r="K469" s="409">
        <v>0</v>
      </c>
      <c r="L469" s="426"/>
      <c r="O469"/>
      <c r="P469"/>
      <c r="Q469"/>
    </row>
    <row r="470" spans="1:17" s="1" customFormat="1" ht="18.25" customHeight="1" outlineLevel="1">
      <c r="A470" s="570"/>
      <c r="B470" s="67" t="s">
        <v>218</v>
      </c>
      <c r="C470" s="61" t="s">
        <v>419</v>
      </c>
      <c r="D470" s="26">
        <v>5</v>
      </c>
      <c r="E470" s="69">
        <v>0</v>
      </c>
      <c r="F470" s="70">
        <v>0</v>
      </c>
      <c r="G470" s="69">
        <v>0</v>
      </c>
      <c r="H470" s="77">
        <v>0</v>
      </c>
      <c r="I470" s="320">
        <v>0</v>
      </c>
      <c r="J470" s="321">
        <v>0</v>
      </c>
      <c r="K470" s="322">
        <v>0</v>
      </c>
      <c r="L470" s="434">
        <v>0</v>
      </c>
      <c r="M470" s="1" t="s">
        <v>51</v>
      </c>
      <c r="O470"/>
      <c r="P470"/>
      <c r="Q470"/>
    </row>
    <row r="471" spans="1:17" s="1" customFormat="1" ht="18.25" customHeight="1" outlineLevel="2">
      <c r="A471" s="570"/>
      <c r="B471" s="53" t="s">
        <v>218</v>
      </c>
      <c r="C471" s="54" t="s">
        <v>422</v>
      </c>
      <c r="D471" s="7" t="s">
        <v>369</v>
      </c>
      <c r="E471" s="58">
        <v>0</v>
      </c>
      <c r="F471" s="59">
        <v>0</v>
      </c>
      <c r="G471" s="58">
        <v>0</v>
      </c>
      <c r="H471" s="76">
        <v>0</v>
      </c>
      <c r="I471" s="319">
        <v>0</v>
      </c>
      <c r="J471" s="405">
        <v>0</v>
      </c>
      <c r="K471" s="409">
        <v>0</v>
      </c>
      <c r="L471" s="426"/>
      <c r="O471"/>
      <c r="P471"/>
      <c r="Q471"/>
    </row>
    <row r="472" spans="1:17" s="1" customFormat="1" ht="18.25" customHeight="1" outlineLevel="1">
      <c r="A472" s="570"/>
      <c r="B472" s="67" t="s">
        <v>218</v>
      </c>
      <c r="C472" s="61" t="s">
        <v>898</v>
      </c>
      <c r="D472" s="26">
        <v>1</v>
      </c>
      <c r="E472" s="69">
        <v>0</v>
      </c>
      <c r="F472" s="70">
        <v>0</v>
      </c>
      <c r="G472" s="69">
        <v>0</v>
      </c>
      <c r="H472" s="77">
        <v>0</v>
      </c>
      <c r="I472" s="320">
        <v>0</v>
      </c>
      <c r="J472" s="321">
        <v>0</v>
      </c>
      <c r="K472" s="322">
        <v>0</v>
      </c>
      <c r="L472" s="434">
        <v>0</v>
      </c>
      <c r="M472" s="1" t="s">
        <v>668</v>
      </c>
      <c r="O472"/>
      <c r="P472"/>
      <c r="Q472"/>
    </row>
    <row r="473" spans="1:17" s="1" customFormat="1" ht="18.25" customHeight="1" outlineLevel="2">
      <c r="A473" s="570"/>
      <c r="B473" s="53" t="s">
        <v>218</v>
      </c>
      <c r="C473" s="54" t="s">
        <v>423</v>
      </c>
      <c r="D473" s="7" t="s">
        <v>189</v>
      </c>
      <c r="E473" s="58">
        <v>0</v>
      </c>
      <c r="F473" s="59">
        <v>0</v>
      </c>
      <c r="G473" s="58">
        <v>2</v>
      </c>
      <c r="H473" s="76">
        <v>5350</v>
      </c>
      <c r="I473" s="319">
        <v>1</v>
      </c>
      <c r="J473" s="405">
        <v>0</v>
      </c>
      <c r="K473" s="409">
        <v>0</v>
      </c>
      <c r="L473" s="426"/>
      <c r="O473"/>
      <c r="P473"/>
      <c r="Q473"/>
    </row>
    <row r="474" spans="1:17" s="1" customFormat="1" ht="18.25" customHeight="1" outlineLevel="2">
      <c r="A474" s="570"/>
      <c r="B474" s="53" t="s">
        <v>218</v>
      </c>
      <c r="C474" s="54" t="s">
        <v>695</v>
      </c>
      <c r="D474" s="7" t="s">
        <v>181</v>
      </c>
      <c r="E474" s="58">
        <v>0</v>
      </c>
      <c r="F474" s="59">
        <v>0</v>
      </c>
      <c r="G474" s="58">
        <v>0</v>
      </c>
      <c r="H474" s="76">
        <v>0</v>
      </c>
      <c r="I474" s="319">
        <v>0</v>
      </c>
      <c r="J474" s="405">
        <v>0</v>
      </c>
      <c r="K474" s="409">
        <v>0</v>
      </c>
      <c r="L474" s="426"/>
      <c r="O474"/>
      <c r="P474"/>
      <c r="Q474"/>
    </row>
    <row r="475" spans="1:17" s="1" customFormat="1" ht="18.25" customHeight="1" outlineLevel="1">
      <c r="A475" s="570"/>
      <c r="B475" s="67" t="s">
        <v>218</v>
      </c>
      <c r="C475" s="61" t="s">
        <v>423</v>
      </c>
      <c r="D475" s="26">
        <v>2</v>
      </c>
      <c r="E475" s="69">
        <v>0</v>
      </c>
      <c r="F475" s="70">
        <v>0</v>
      </c>
      <c r="G475" s="69">
        <v>2</v>
      </c>
      <c r="H475" s="77">
        <v>5350</v>
      </c>
      <c r="I475" s="320">
        <v>1</v>
      </c>
      <c r="J475" s="321">
        <v>0</v>
      </c>
      <c r="K475" s="322">
        <v>0</v>
      </c>
      <c r="L475" s="434">
        <v>0</v>
      </c>
      <c r="M475" s="1" t="s">
        <v>169</v>
      </c>
      <c r="O475"/>
      <c r="P475"/>
      <c r="Q475"/>
    </row>
    <row r="476" spans="1:17" s="1" customFormat="1" ht="18.25" customHeight="1" outlineLevel="2">
      <c r="A476" s="570"/>
      <c r="B476" s="52" t="s">
        <v>218</v>
      </c>
      <c r="C476" s="54" t="s">
        <v>424</v>
      </c>
      <c r="D476" s="7" t="s">
        <v>221</v>
      </c>
      <c r="E476" s="58">
        <v>0</v>
      </c>
      <c r="F476" s="59">
        <v>0</v>
      </c>
      <c r="G476" s="58">
        <v>4</v>
      </c>
      <c r="H476" s="76">
        <v>72202</v>
      </c>
      <c r="I476" s="319">
        <v>1</v>
      </c>
      <c r="J476" s="405">
        <v>1</v>
      </c>
      <c r="K476" s="409">
        <v>1</v>
      </c>
      <c r="L476" s="426"/>
      <c r="O476"/>
      <c r="P476"/>
      <c r="Q476"/>
    </row>
    <row r="477" spans="1:17" s="1" customFormat="1" ht="18.25" customHeight="1" outlineLevel="2">
      <c r="A477" s="570"/>
      <c r="B477" s="53" t="s">
        <v>218</v>
      </c>
      <c r="C477" s="54" t="s">
        <v>690</v>
      </c>
      <c r="D477" s="7" t="s">
        <v>181</v>
      </c>
      <c r="E477" s="58">
        <v>0</v>
      </c>
      <c r="F477" s="59">
        <v>0</v>
      </c>
      <c r="G477" s="58">
        <v>1</v>
      </c>
      <c r="H477" s="76">
        <v>18000</v>
      </c>
      <c r="I477" s="319">
        <v>1</v>
      </c>
      <c r="J477" s="405">
        <v>1</v>
      </c>
      <c r="K477" s="409">
        <v>0</v>
      </c>
      <c r="L477" s="426"/>
      <c r="O477"/>
      <c r="P477"/>
      <c r="Q477"/>
    </row>
    <row r="478" spans="1:17" s="1" customFormat="1" ht="18.25" customHeight="1" outlineLevel="1">
      <c r="A478" s="570"/>
      <c r="B478" s="67" t="s">
        <v>218</v>
      </c>
      <c r="C478" s="61" t="s">
        <v>663</v>
      </c>
      <c r="D478" s="26">
        <v>2</v>
      </c>
      <c r="E478" s="69">
        <v>0</v>
      </c>
      <c r="F478" s="70">
        <v>0</v>
      </c>
      <c r="G478" s="69">
        <v>5</v>
      </c>
      <c r="H478" s="77">
        <v>90202</v>
      </c>
      <c r="I478" s="320">
        <v>2</v>
      </c>
      <c r="J478" s="321">
        <v>2</v>
      </c>
      <c r="K478" s="322">
        <v>1</v>
      </c>
      <c r="L478" s="434">
        <v>0</v>
      </c>
      <c r="M478" s="1" t="s">
        <v>51</v>
      </c>
      <c r="O478"/>
      <c r="P478"/>
      <c r="Q478"/>
    </row>
    <row r="479" spans="1:17" s="1" customFormat="1" ht="18.25" customHeight="1" outlineLevel="2">
      <c r="A479" s="570"/>
      <c r="B479" s="5" t="s">
        <v>218</v>
      </c>
      <c r="C479" s="6" t="s">
        <v>255</v>
      </c>
      <c r="D479" s="7" t="s">
        <v>25</v>
      </c>
      <c r="E479" s="8">
        <v>0</v>
      </c>
      <c r="F479" s="9">
        <v>0</v>
      </c>
      <c r="G479" s="8">
        <v>0</v>
      </c>
      <c r="H479" s="10">
        <v>0</v>
      </c>
      <c r="I479" s="310">
        <v>0</v>
      </c>
      <c r="J479" s="405">
        <v>0</v>
      </c>
      <c r="K479" s="409">
        <v>0</v>
      </c>
      <c r="L479" s="426"/>
      <c r="O479"/>
      <c r="P479"/>
      <c r="Q479"/>
    </row>
    <row r="480" spans="1:17" s="1" customFormat="1" ht="18.25" customHeight="1" outlineLevel="2">
      <c r="A480" s="570"/>
      <c r="B480" s="5" t="s">
        <v>218</v>
      </c>
      <c r="C480" s="6" t="s">
        <v>477</v>
      </c>
      <c r="D480" s="7" t="s">
        <v>17</v>
      </c>
      <c r="E480" s="8">
        <v>0</v>
      </c>
      <c r="F480" s="9">
        <v>0</v>
      </c>
      <c r="G480" s="8">
        <v>1</v>
      </c>
      <c r="H480" s="10">
        <v>12000</v>
      </c>
      <c r="I480" s="310">
        <v>1</v>
      </c>
      <c r="J480" s="405">
        <v>1</v>
      </c>
      <c r="K480" s="409">
        <v>0</v>
      </c>
      <c r="L480" s="426"/>
      <c r="O480"/>
      <c r="P480"/>
      <c r="Q480"/>
    </row>
    <row r="481" spans="1:17" s="1" customFormat="1" ht="18.25" customHeight="1" outlineLevel="1">
      <c r="A481" s="570"/>
      <c r="B481" s="12" t="s">
        <v>218</v>
      </c>
      <c r="C481" s="13" t="s">
        <v>255</v>
      </c>
      <c r="D481" s="14">
        <v>2</v>
      </c>
      <c r="E481" s="15">
        <v>0</v>
      </c>
      <c r="F481" s="16">
        <v>0</v>
      </c>
      <c r="G481" s="15">
        <v>1</v>
      </c>
      <c r="H481" s="17">
        <v>12000</v>
      </c>
      <c r="I481" s="311">
        <v>1</v>
      </c>
      <c r="J481" s="312">
        <v>1</v>
      </c>
      <c r="K481" s="410">
        <v>0</v>
      </c>
      <c r="L481" s="427">
        <v>0</v>
      </c>
      <c r="M481" s="1" t="s">
        <v>169</v>
      </c>
      <c r="O481"/>
      <c r="P481"/>
      <c r="Q481"/>
    </row>
    <row r="482" spans="1:17" s="1" customFormat="1" ht="18.25" customHeight="1" outlineLevel="2">
      <c r="A482" s="570"/>
      <c r="B482" s="5" t="s">
        <v>218</v>
      </c>
      <c r="C482" s="6" t="s">
        <v>318</v>
      </c>
      <c r="D482" s="7" t="s">
        <v>40</v>
      </c>
      <c r="E482" s="8">
        <v>0</v>
      </c>
      <c r="F482" s="9">
        <v>0</v>
      </c>
      <c r="G482" s="8">
        <v>1</v>
      </c>
      <c r="H482" s="10">
        <v>61291</v>
      </c>
      <c r="I482" s="310">
        <v>1</v>
      </c>
      <c r="J482" s="405">
        <v>1</v>
      </c>
      <c r="K482" s="409">
        <v>1</v>
      </c>
      <c r="L482" s="426"/>
      <c r="O482"/>
      <c r="P482"/>
      <c r="Q482"/>
    </row>
    <row r="483" spans="1:17" s="1" customFormat="1" ht="18.25" customHeight="1" outlineLevel="2">
      <c r="A483" s="570"/>
      <c r="B483" s="5" t="s">
        <v>218</v>
      </c>
      <c r="C483" s="6" t="s">
        <v>573</v>
      </c>
      <c r="D483" s="7" t="s">
        <v>17</v>
      </c>
      <c r="E483" s="8">
        <v>0</v>
      </c>
      <c r="F483" s="9">
        <v>0</v>
      </c>
      <c r="G483" s="8">
        <v>0</v>
      </c>
      <c r="H483" s="10">
        <v>0</v>
      </c>
      <c r="I483" s="310">
        <v>0</v>
      </c>
      <c r="J483" s="405">
        <v>0</v>
      </c>
      <c r="K483" s="409">
        <v>0</v>
      </c>
      <c r="L483" s="426"/>
      <c r="O483"/>
      <c r="P483"/>
      <c r="Q483"/>
    </row>
    <row r="484" spans="1:17" s="1" customFormat="1" ht="18.25" customHeight="1" outlineLevel="1">
      <c r="A484" s="570"/>
      <c r="B484" s="12" t="s">
        <v>218</v>
      </c>
      <c r="C484" s="13" t="s">
        <v>317</v>
      </c>
      <c r="D484" s="14">
        <v>2</v>
      </c>
      <c r="E484" s="15">
        <v>0</v>
      </c>
      <c r="F484" s="16">
        <v>0</v>
      </c>
      <c r="G484" s="15">
        <v>1</v>
      </c>
      <c r="H484" s="17">
        <v>61291</v>
      </c>
      <c r="I484" s="311">
        <v>1</v>
      </c>
      <c r="J484" s="312">
        <v>1</v>
      </c>
      <c r="K484" s="410">
        <v>1</v>
      </c>
      <c r="L484" s="427">
        <v>0</v>
      </c>
      <c r="M484" s="1" t="s">
        <v>51</v>
      </c>
      <c r="O484"/>
      <c r="P484"/>
      <c r="Q484"/>
    </row>
    <row r="485" spans="1:17" s="1" customFormat="1" ht="18.25" customHeight="1" outlineLevel="2">
      <c r="A485" s="570"/>
      <c r="B485" s="5" t="s">
        <v>218</v>
      </c>
      <c r="C485" s="39" t="s">
        <v>306</v>
      </c>
      <c r="D485" s="7" t="s">
        <v>25</v>
      </c>
      <c r="E485" s="8">
        <v>0</v>
      </c>
      <c r="F485" s="9">
        <v>0</v>
      </c>
      <c r="G485" s="8">
        <v>0</v>
      </c>
      <c r="H485" s="10">
        <v>0</v>
      </c>
      <c r="I485" s="310">
        <v>0</v>
      </c>
      <c r="J485" s="405">
        <v>0</v>
      </c>
      <c r="K485" s="409">
        <v>0</v>
      </c>
      <c r="L485" s="426"/>
      <c r="O485"/>
      <c r="P485"/>
      <c r="Q485"/>
    </row>
    <row r="486" spans="1:17" s="1" customFormat="1" ht="18.25" customHeight="1" outlineLevel="2">
      <c r="A486" s="570"/>
      <c r="B486" s="5" t="s">
        <v>218</v>
      </c>
      <c r="C486" s="6" t="s">
        <v>385</v>
      </c>
      <c r="D486" s="7" t="s">
        <v>17</v>
      </c>
      <c r="E486" s="8">
        <v>0</v>
      </c>
      <c r="F486" s="9">
        <v>0</v>
      </c>
      <c r="G486" s="8">
        <v>0</v>
      </c>
      <c r="H486" s="10">
        <v>0</v>
      </c>
      <c r="I486" s="310">
        <v>0</v>
      </c>
      <c r="J486" s="405">
        <v>0</v>
      </c>
      <c r="K486" s="409">
        <v>0</v>
      </c>
      <c r="L486" s="426"/>
      <c r="O486"/>
      <c r="P486"/>
      <c r="Q486"/>
    </row>
    <row r="487" spans="1:17" s="1" customFormat="1" ht="18.25" customHeight="1" outlineLevel="1">
      <c r="A487" s="570"/>
      <c r="B487" s="12" t="s">
        <v>218</v>
      </c>
      <c r="C487" s="13" t="s">
        <v>306</v>
      </c>
      <c r="D487" s="14">
        <v>2</v>
      </c>
      <c r="E487" s="15">
        <v>0</v>
      </c>
      <c r="F487" s="16">
        <v>0</v>
      </c>
      <c r="G487" s="15">
        <v>0</v>
      </c>
      <c r="H487" s="17">
        <v>0</v>
      </c>
      <c r="I487" s="311">
        <v>0</v>
      </c>
      <c r="J487" s="312">
        <v>0</v>
      </c>
      <c r="K487" s="410">
        <v>0</v>
      </c>
      <c r="L487" s="427">
        <v>0</v>
      </c>
      <c r="M487" s="1" t="s">
        <v>169</v>
      </c>
      <c r="O487"/>
      <c r="P487"/>
      <c r="Q487"/>
    </row>
    <row r="488" spans="1:17" s="1" customFormat="1" ht="18.25" customHeight="1" outlineLevel="2">
      <c r="A488" s="570"/>
      <c r="B488" s="5" t="s">
        <v>218</v>
      </c>
      <c r="C488" s="6" t="s">
        <v>271</v>
      </c>
      <c r="D488" s="7" t="s">
        <v>22</v>
      </c>
      <c r="E488" s="8">
        <v>0</v>
      </c>
      <c r="F488" s="9">
        <v>0</v>
      </c>
      <c r="G488" s="8">
        <v>0</v>
      </c>
      <c r="H488" s="10">
        <v>0</v>
      </c>
      <c r="I488" s="310">
        <v>0</v>
      </c>
      <c r="J488" s="405">
        <v>0</v>
      </c>
      <c r="K488" s="409">
        <v>0</v>
      </c>
      <c r="L488" s="426"/>
      <c r="O488"/>
      <c r="P488"/>
      <c r="Q488"/>
    </row>
    <row r="489" spans="1:17" s="1" customFormat="1" ht="18.25" customHeight="1" outlineLevel="2">
      <c r="A489" s="570"/>
      <c r="B489" s="5" t="s">
        <v>218</v>
      </c>
      <c r="C489" s="18" t="s">
        <v>813</v>
      </c>
      <c r="D489" s="7" t="s">
        <v>17</v>
      </c>
      <c r="E489" s="8">
        <v>0</v>
      </c>
      <c r="F489" s="9">
        <v>0</v>
      </c>
      <c r="G489" s="8">
        <v>0</v>
      </c>
      <c r="H489" s="10">
        <v>0</v>
      </c>
      <c r="I489" s="310">
        <v>0</v>
      </c>
      <c r="J489" s="405">
        <v>0</v>
      </c>
      <c r="K489" s="409">
        <v>0</v>
      </c>
      <c r="L489" s="426"/>
      <c r="O489"/>
      <c r="P489"/>
      <c r="Q489"/>
    </row>
    <row r="490" spans="1:17" s="1" customFormat="1" ht="18.25" customHeight="1" outlineLevel="2">
      <c r="A490" s="570"/>
      <c r="B490" s="5" t="s">
        <v>218</v>
      </c>
      <c r="C490" s="18" t="s">
        <v>685</v>
      </c>
      <c r="D490" s="7" t="s">
        <v>17</v>
      </c>
      <c r="E490" s="8">
        <v>0</v>
      </c>
      <c r="F490" s="9">
        <v>0</v>
      </c>
      <c r="G490" s="8">
        <v>0</v>
      </c>
      <c r="H490" s="10">
        <v>0</v>
      </c>
      <c r="I490" s="310">
        <v>0</v>
      </c>
      <c r="J490" s="405">
        <v>0</v>
      </c>
      <c r="K490" s="409">
        <v>0</v>
      </c>
      <c r="L490" s="426"/>
      <c r="O490"/>
      <c r="P490"/>
      <c r="Q490"/>
    </row>
    <row r="491" spans="1:17" s="1" customFormat="1" ht="18.25" customHeight="1" outlineLevel="1">
      <c r="A491" s="570"/>
      <c r="B491" s="12" t="s">
        <v>218</v>
      </c>
      <c r="C491" s="13" t="s">
        <v>73</v>
      </c>
      <c r="D491" s="14">
        <v>3</v>
      </c>
      <c r="E491" s="15">
        <v>0</v>
      </c>
      <c r="F491" s="16">
        <v>0</v>
      </c>
      <c r="G491" s="15">
        <v>0</v>
      </c>
      <c r="H491" s="17">
        <v>0</v>
      </c>
      <c r="I491" s="311">
        <v>0</v>
      </c>
      <c r="J491" s="312">
        <v>0</v>
      </c>
      <c r="K491" s="410">
        <v>0</v>
      </c>
      <c r="L491" s="427">
        <v>0</v>
      </c>
      <c r="M491" s="1" t="s">
        <v>171</v>
      </c>
      <c r="O491"/>
      <c r="P491"/>
      <c r="Q491"/>
    </row>
    <row r="492" spans="1:17" s="1" customFormat="1" ht="18.25" customHeight="1" outlineLevel="2">
      <c r="A492" s="570"/>
      <c r="B492" s="41" t="s">
        <v>218</v>
      </c>
      <c r="C492" s="39" t="s">
        <v>512</v>
      </c>
      <c r="D492" s="23" t="s">
        <v>221</v>
      </c>
      <c r="E492" s="8">
        <v>0</v>
      </c>
      <c r="F492" s="9">
        <v>0</v>
      </c>
      <c r="G492" s="8">
        <v>2.5</v>
      </c>
      <c r="H492" s="10">
        <v>6918</v>
      </c>
      <c r="I492" s="313">
        <v>1</v>
      </c>
      <c r="J492" s="405">
        <v>0</v>
      </c>
      <c r="K492" s="409">
        <v>0</v>
      </c>
      <c r="L492" s="426"/>
      <c r="O492"/>
      <c r="P492"/>
      <c r="Q492"/>
    </row>
    <row r="493" spans="1:17" ht="18.25" customHeight="1" outlineLevel="2">
      <c r="B493" s="5" t="s">
        <v>218</v>
      </c>
      <c r="C493" s="18" t="s">
        <v>737</v>
      </c>
      <c r="D493" s="7" t="s">
        <v>17</v>
      </c>
      <c r="E493" s="8">
        <v>0</v>
      </c>
      <c r="F493" s="9">
        <v>0</v>
      </c>
      <c r="G493" s="8">
        <v>0</v>
      </c>
      <c r="H493" s="10">
        <v>0</v>
      </c>
      <c r="I493" s="310">
        <v>0</v>
      </c>
      <c r="J493" s="405">
        <v>0</v>
      </c>
      <c r="K493" s="409">
        <v>0</v>
      </c>
      <c r="L493" s="426"/>
    </row>
    <row r="494" spans="1:17" ht="18.25" customHeight="1" outlineLevel="1">
      <c r="B494" s="12" t="s">
        <v>218</v>
      </c>
      <c r="C494" s="13" t="s">
        <v>71</v>
      </c>
      <c r="D494" s="14">
        <v>2</v>
      </c>
      <c r="E494" s="15">
        <v>0</v>
      </c>
      <c r="F494" s="16">
        <v>0</v>
      </c>
      <c r="G494" s="15">
        <v>2.5</v>
      </c>
      <c r="H494" s="17">
        <v>6918</v>
      </c>
      <c r="I494" s="311">
        <v>1</v>
      </c>
      <c r="J494" s="312">
        <v>0</v>
      </c>
      <c r="K494" s="410">
        <v>0</v>
      </c>
      <c r="L494" s="427">
        <v>0</v>
      </c>
      <c r="M494" s="1" t="s">
        <v>51</v>
      </c>
    </row>
    <row r="495" spans="1:17" ht="18.25" customHeight="1" outlineLevel="2">
      <c r="B495" s="41" t="s">
        <v>218</v>
      </c>
      <c r="C495" s="39" t="s">
        <v>541</v>
      </c>
      <c r="D495" s="23" t="s">
        <v>189</v>
      </c>
      <c r="E495" s="8">
        <v>0</v>
      </c>
      <c r="F495" s="9">
        <v>0</v>
      </c>
      <c r="G495" s="8">
        <v>0</v>
      </c>
      <c r="H495" s="10">
        <v>0</v>
      </c>
      <c r="I495" s="313">
        <v>0</v>
      </c>
      <c r="J495" s="405">
        <v>0</v>
      </c>
      <c r="K495" s="409">
        <v>0</v>
      </c>
      <c r="L495" s="426"/>
    </row>
    <row r="496" spans="1:17" ht="18.25" customHeight="1" outlineLevel="2">
      <c r="B496" s="5" t="s">
        <v>218</v>
      </c>
      <c r="C496" s="18" t="s">
        <v>738</v>
      </c>
      <c r="D496" s="7" t="s">
        <v>17</v>
      </c>
      <c r="E496" s="8">
        <v>0</v>
      </c>
      <c r="F496" s="9">
        <v>0</v>
      </c>
      <c r="G496" s="8">
        <v>0</v>
      </c>
      <c r="H496" s="10">
        <v>0</v>
      </c>
      <c r="I496" s="310">
        <v>0</v>
      </c>
      <c r="J496" s="405">
        <v>0</v>
      </c>
      <c r="K496" s="409">
        <v>0</v>
      </c>
      <c r="L496" s="426"/>
    </row>
    <row r="497" spans="1:14" ht="18.25" customHeight="1" outlineLevel="1">
      <c r="B497" s="12" t="s">
        <v>218</v>
      </c>
      <c r="C497" s="13" t="s">
        <v>541</v>
      </c>
      <c r="D497" s="14">
        <v>2</v>
      </c>
      <c r="E497" s="15">
        <v>0</v>
      </c>
      <c r="F497" s="16">
        <v>0</v>
      </c>
      <c r="G497" s="15">
        <v>0</v>
      </c>
      <c r="H497" s="17">
        <v>0</v>
      </c>
      <c r="I497" s="311">
        <v>0</v>
      </c>
      <c r="J497" s="312">
        <v>0</v>
      </c>
      <c r="K497" s="410">
        <v>0</v>
      </c>
      <c r="L497" s="427">
        <v>0</v>
      </c>
      <c r="M497" s="1" t="s">
        <v>169</v>
      </c>
    </row>
    <row r="498" spans="1:14" ht="18.25" customHeight="1" outlineLevel="2">
      <c r="B498" s="5" t="s">
        <v>218</v>
      </c>
      <c r="C498" s="18" t="s">
        <v>273</v>
      </c>
      <c r="D498" s="7" t="s">
        <v>22</v>
      </c>
      <c r="E498" s="8">
        <v>0</v>
      </c>
      <c r="F498" s="9">
        <v>0</v>
      </c>
      <c r="G498" s="8">
        <v>7.5</v>
      </c>
      <c r="H498" s="10">
        <v>127746</v>
      </c>
      <c r="I498" s="310">
        <v>1</v>
      </c>
      <c r="J498" s="405">
        <v>1</v>
      </c>
      <c r="K498" s="409">
        <v>1</v>
      </c>
      <c r="L498" s="426"/>
    </row>
    <row r="499" spans="1:14" ht="18.25" customHeight="1" outlineLevel="2">
      <c r="B499" s="5" t="s">
        <v>218</v>
      </c>
      <c r="C499" s="6" t="s">
        <v>782</v>
      </c>
      <c r="D499" s="7" t="s">
        <v>17</v>
      </c>
      <c r="E499" s="8">
        <v>0</v>
      </c>
      <c r="F499" s="9">
        <v>0</v>
      </c>
      <c r="G499" s="8">
        <v>0</v>
      </c>
      <c r="H499" s="10">
        <v>0</v>
      </c>
      <c r="I499" s="310">
        <v>0</v>
      </c>
      <c r="J499" s="405">
        <v>0</v>
      </c>
      <c r="K499" s="409">
        <v>0</v>
      </c>
      <c r="L499" s="426"/>
    </row>
    <row r="500" spans="1:14" ht="18.25" customHeight="1" outlineLevel="1">
      <c r="B500" s="12" t="s">
        <v>218</v>
      </c>
      <c r="C500" s="13" t="s">
        <v>273</v>
      </c>
      <c r="D500" s="14">
        <v>2</v>
      </c>
      <c r="E500" s="15">
        <v>0</v>
      </c>
      <c r="F500" s="16">
        <v>0</v>
      </c>
      <c r="G500" s="15">
        <v>7.5</v>
      </c>
      <c r="H500" s="17">
        <v>127746</v>
      </c>
      <c r="I500" s="311">
        <v>1</v>
      </c>
      <c r="J500" s="312">
        <v>1</v>
      </c>
      <c r="K500" s="410">
        <v>1</v>
      </c>
      <c r="L500" s="427">
        <v>0</v>
      </c>
      <c r="M500" s="1" t="s">
        <v>171</v>
      </c>
    </row>
    <row r="501" spans="1:14" ht="18.25" customHeight="1" outlineLevel="2">
      <c r="B501" s="5" t="s">
        <v>218</v>
      </c>
      <c r="C501" s="6" t="s">
        <v>72</v>
      </c>
      <c r="D501" s="7" t="s">
        <v>40</v>
      </c>
      <c r="E501" s="8">
        <v>0</v>
      </c>
      <c r="F501" s="9">
        <v>0</v>
      </c>
      <c r="G501" s="8">
        <v>0</v>
      </c>
      <c r="H501" s="10">
        <v>0</v>
      </c>
      <c r="I501" s="310">
        <v>0</v>
      </c>
      <c r="J501" s="405">
        <v>0</v>
      </c>
      <c r="K501" s="409">
        <v>0</v>
      </c>
      <c r="L501" s="426"/>
    </row>
    <row r="502" spans="1:14" ht="18.25" customHeight="1" outlineLevel="2">
      <c r="B502" s="5" t="s">
        <v>218</v>
      </c>
      <c r="C502" s="39" t="s">
        <v>747</v>
      </c>
      <c r="D502" s="23" t="s">
        <v>27</v>
      </c>
      <c r="E502" s="8">
        <v>0</v>
      </c>
      <c r="F502" s="9">
        <v>0</v>
      </c>
      <c r="G502" s="8">
        <v>0</v>
      </c>
      <c r="H502" s="10">
        <v>0</v>
      </c>
      <c r="I502" s="310">
        <v>0</v>
      </c>
      <c r="J502" s="405">
        <v>0</v>
      </c>
      <c r="K502" s="409">
        <v>0</v>
      </c>
      <c r="L502" s="426"/>
    </row>
    <row r="503" spans="1:14" ht="18.25" customHeight="1" outlineLevel="2">
      <c r="B503" s="5" t="s">
        <v>218</v>
      </c>
      <c r="C503" s="6" t="s">
        <v>257</v>
      </c>
      <c r="D503" s="7" t="s">
        <v>17</v>
      </c>
      <c r="E503" s="8">
        <v>1</v>
      </c>
      <c r="F503" s="9">
        <v>14213</v>
      </c>
      <c r="G503" s="8">
        <v>2</v>
      </c>
      <c r="H503" s="10">
        <v>15104</v>
      </c>
      <c r="I503" s="310">
        <v>1</v>
      </c>
      <c r="J503" s="405">
        <v>1</v>
      </c>
      <c r="K503" s="409">
        <v>0</v>
      </c>
      <c r="L503" s="426"/>
    </row>
    <row r="504" spans="1:14" ht="18.25" customHeight="1" outlineLevel="1">
      <c r="B504" s="12" t="s">
        <v>218</v>
      </c>
      <c r="C504" s="13" t="s">
        <v>72</v>
      </c>
      <c r="D504" s="14">
        <v>3</v>
      </c>
      <c r="E504" s="15">
        <v>1</v>
      </c>
      <c r="F504" s="16">
        <v>14213</v>
      </c>
      <c r="G504" s="15">
        <v>2</v>
      </c>
      <c r="H504" s="17">
        <v>15104</v>
      </c>
      <c r="I504" s="311">
        <v>1</v>
      </c>
      <c r="J504" s="312">
        <v>1</v>
      </c>
      <c r="K504" s="410">
        <v>0</v>
      </c>
      <c r="L504" s="427">
        <v>0</v>
      </c>
      <c r="M504" s="1" t="s">
        <v>51</v>
      </c>
    </row>
    <row r="505" spans="1:14" ht="18.25" customHeight="1" outlineLevel="2">
      <c r="B505" s="5" t="s">
        <v>218</v>
      </c>
      <c r="C505" s="6" t="s">
        <v>490</v>
      </c>
      <c r="D505" s="7" t="s">
        <v>307</v>
      </c>
      <c r="E505" s="8">
        <v>0</v>
      </c>
      <c r="F505" s="9">
        <v>0</v>
      </c>
      <c r="G505" s="8">
        <v>3</v>
      </c>
      <c r="H505" s="10">
        <v>23705</v>
      </c>
      <c r="I505" s="310">
        <v>1</v>
      </c>
      <c r="J505" s="405">
        <v>1</v>
      </c>
      <c r="K505" s="409">
        <v>0</v>
      </c>
      <c r="L505" s="426"/>
    </row>
    <row r="506" spans="1:14" ht="18.25" customHeight="1" outlineLevel="1">
      <c r="B506" s="12" t="s">
        <v>218</v>
      </c>
      <c r="C506" s="13" t="s">
        <v>490</v>
      </c>
      <c r="D506" s="14">
        <v>1</v>
      </c>
      <c r="E506" s="15">
        <v>0</v>
      </c>
      <c r="F506" s="16">
        <v>0</v>
      </c>
      <c r="G506" s="15">
        <v>3</v>
      </c>
      <c r="H506" s="17">
        <v>23705</v>
      </c>
      <c r="I506" s="311">
        <v>1</v>
      </c>
      <c r="J506" s="312">
        <v>1</v>
      </c>
      <c r="K506" s="410">
        <v>0</v>
      </c>
      <c r="L506" s="427">
        <v>0</v>
      </c>
      <c r="M506" s="1" t="s">
        <v>668</v>
      </c>
    </row>
    <row r="507" spans="1:14" s="149" customFormat="1" ht="18.25" customHeight="1">
      <c r="A507" s="569" t="s">
        <v>838</v>
      </c>
      <c r="B507" s="945" t="s">
        <v>217</v>
      </c>
      <c r="C507" s="946"/>
      <c r="D507" s="145">
        <v>40</v>
      </c>
      <c r="E507" s="146">
        <v>3</v>
      </c>
      <c r="F507" s="147">
        <v>39103</v>
      </c>
      <c r="G507" s="146">
        <v>37</v>
      </c>
      <c r="H507" s="148">
        <v>523761</v>
      </c>
      <c r="I507" s="314">
        <v>16</v>
      </c>
      <c r="J507" s="315">
        <v>11</v>
      </c>
      <c r="K507" s="411">
        <v>5</v>
      </c>
      <c r="L507" s="428">
        <v>0</v>
      </c>
      <c r="M507" s="248"/>
      <c r="N507" s="248"/>
    </row>
    <row r="508" spans="1:14" ht="18.25" customHeight="1" outlineLevel="2">
      <c r="B508" s="5" t="s">
        <v>11</v>
      </c>
      <c r="C508" s="6" t="s">
        <v>149</v>
      </c>
      <c r="D508" s="7" t="s">
        <v>54</v>
      </c>
      <c r="E508" s="8">
        <v>0</v>
      </c>
      <c r="F508" s="9">
        <v>0</v>
      </c>
      <c r="G508" s="8">
        <v>0</v>
      </c>
      <c r="H508" s="10">
        <v>0</v>
      </c>
      <c r="I508" s="310">
        <v>0</v>
      </c>
      <c r="J508" s="405">
        <v>0</v>
      </c>
      <c r="K508" s="409">
        <v>0</v>
      </c>
      <c r="L508" s="426"/>
    </row>
    <row r="509" spans="1:14" ht="18.25" customHeight="1" outlineLevel="2">
      <c r="B509" s="41" t="s">
        <v>11</v>
      </c>
      <c r="C509" s="39" t="s">
        <v>756</v>
      </c>
      <c r="D509" s="23" t="s">
        <v>17</v>
      </c>
      <c r="E509" s="8">
        <v>0</v>
      </c>
      <c r="F509" s="9">
        <v>0</v>
      </c>
      <c r="G509" s="8">
        <v>2</v>
      </c>
      <c r="H509" s="10">
        <v>55647</v>
      </c>
      <c r="I509" s="310">
        <v>1</v>
      </c>
      <c r="J509" s="405">
        <v>1</v>
      </c>
      <c r="K509" s="409">
        <v>1</v>
      </c>
      <c r="L509" s="426"/>
    </row>
    <row r="510" spans="1:14" ht="18.25" customHeight="1" outlineLevel="2">
      <c r="B510" s="41" t="s">
        <v>11</v>
      </c>
      <c r="C510" s="39" t="s">
        <v>749</v>
      </c>
      <c r="D510" s="23" t="s">
        <v>17</v>
      </c>
      <c r="E510" s="8">
        <v>0</v>
      </c>
      <c r="F510" s="9">
        <v>0</v>
      </c>
      <c r="G510" s="8">
        <v>0</v>
      </c>
      <c r="H510" s="10">
        <v>0</v>
      </c>
      <c r="I510" s="310">
        <v>0</v>
      </c>
      <c r="J510" s="405">
        <v>0</v>
      </c>
      <c r="K510" s="409">
        <v>0</v>
      </c>
      <c r="L510" s="426"/>
    </row>
    <row r="511" spans="1:14" s="48" customFormat="1" ht="18.25" customHeight="1" outlineLevel="2">
      <c r="A511" s="572"/>
      <c r="B511" s="41" t="s">
        <v>489</v>
      </c>
      <c r="C511" s="39" t="s">
        <v>712</v>
      </c>
      <c r="D511" s="23" t="s">
        <v>27</v>
      </c>
      <c r="E511" s="42">
        <v>0</v>
      </c>
      <c r="F511" s="43">
        <v>0</v>
      </c>
      <c r="G511" s="42">
        <v>0</v>
      </c>
      <c r="H511" s="44">
        <v>0</v>
      </c>
      <c r="I511" s="313">
        <v>0</v>
      </c>
      <c r="J511" s="408">
        <v>0</v>
      </c>
      <c r="K511" s="409">
        <v>0</v>
      </c>
      <c r="L511" s="432"/>
      <c r="M511" s="250"/>
      <c r="N511" s="250"/>
    </row>
    <row r="512" spans="1:14" s="48" customFormat="1" ht="18.25" customHeight="1" outlineLevel="2">
      <c r="A512" s="572"/>
      <c r="B512" s="41" t="s">
        <v>489</v>
      </c>
      <c r="C512" s="39" t="s">
        <v>158</v>
      </c>
      <c r="D512" s="23" t="s">
        <v>27</v>
      </c>
      <c r="E512" s="42">
        <v>0</v>
      </c>
      <c r="F512" s="43">
        <v>0</v>
      </c>
      <c r="G512" s="42">
        <v>0</v>
      </c>
      <c r="H512" s="44">
        <v>0</v>
      </c>
      <c r="I512" s="313">
        <v>0</v>
      </c>
      <c r="J512" s="408">
        <v>0</v>
      </c>
      <c r="K512" s="409">
        <v>0</v>
      </c>
      <c r="L512" s="432"/>
      <c r="M512" s="250"/>
      <c r="N512" s="250"/>
    </row>
    <row r="513" spans="1:17" s="48" customFormat="1" ht="18.25" customHeight="1" outlineLevel="2">
      <c r="A513" s="572"/>
      <c r="B513" s="41" t="s">
        <v>489</v>
      </c>
      <c r="C513" s="39" t="s">
        <v>61</v>
      </c>
      <c r="D513" s="23" t="s">
        <v>27</v>
      </c>
      <c r="E513" s="42">
        <v>0</v>
      </c>
      <c r="F513" s="43">
        <v>0</v>
      </c>
      <c r="G513" s="42">
        <v>0</v>
      </c>
      <c r="H513" s="44">
        <v>0</v>
      </c>
      <c r="I513" s="313">
        <v>0</v>
      </c>
      <c r="J513" s="408">
        <v>0</v>
      </c>
      <c r="K513" s="409">
        <v>0</v>
      </c>
      <c r="L513" s="432"/>
      <c r="M513" s="250"/>
      <c r="N513" s="250"/>
    </row>
    <row r="514" spans="1:17" s="48" customFormat="1" ht="18.25" customHeight="1" outlineLevel="2">
      <c r="A514" s="572"/>
      <c r="B514" s="41" t="s">
        <v>489</v>
      </c>
      <c r="C514" s="39" t="s">
        <v>351</v>
      </c>
      <c r="D514" s="23" t="s">
        <v>27</v>
      </c>
      <c r="E514" s="42">
        <v>1</v>
      </c>
      <c r="F514" s="43">
        <v>0</v>
      </c>
      <c r="G514" s="42">
        <v>3</v>
      </c>
      <c r="H514" s="44">
        <v>28832</v>
      </c>
      <c r="I514" s="313">
        <v>1</v>
      </c>
      <c r="J514" s="408">
        <v>1</v>
      </c>
      <c r="K514" s="409">
        <v>1</v>
      </c>
      <c r="L514" s="432"/>
      <c r="M514" s="250"/>
      <c r="N514" s="250"/>
    </row>
    <row r="515" spans="1:17" ht="18.25" customHeight="1" outlineLevel="2">
      <c r="B515" s="5" t="s">
        <v>11</v>
      </c>
      <c r="C515" s="39" t="s">
        <v>507</v>
      </c>
      <c r="D515" s="7" t="s">
        <v>17</v>
      </c>
      <c r="E515" s="8">
        <v>0</v>
      </c>
      <c r="F515" s="9">
        <v>0</v>
      </c>
      <c r="G515" s="8">
        <v>0</v>
      </c>
      <c r="H515" s="10">
        <v>0</v>
      </c>
      <c r="I515" s="310">
        <v>0</v>
      </c>
      <c r="J515" s="405">
        <v>0</v>
      </c>
      <c r="K515" s="409">
        <v>0</v>
      </c>
      <c r="L515" s="426"/>
    </row>
    <row r="516" spans="1:17" ht="18.25" customHeight="1" outlineLevel="2">
      <c r="B516" s="5" t="s">
        <v>11</v>
      </c>
      <c r="C516" s="6" t="s">
        <v>297</v>
      </c>
      <c r="D516" s="7" t="s">
        <v>188</v>
      </c>
      <c r="E516" s="8">
        <v>0</v>
      </c>
      <c r="F516" s="9">
        <v>0</v>
      </c>
      <c r="G516" s="8">
        <v>0</v>
      </c>
      <c r="H516" s="10">
        <v>0</v>
      </c>
      <c r="I516" s="310">
        <v>0</v>
      </c>
      <c r="J516" s="405">
        <v>0</v>
      </c>
      <c r="K516" s="409">
        <v>0</v>
      </c>
      <c r="L516" s="426"/>
    </row>
    <row r="517" spans="1:17" ht="18.25" customHeight="1" outlineLevel="2">
      <c r="B517" s="5" t="s">
        <v>11</v>
      </c>
      <c r="C517" s="6" t="s">
        <v>327</v>
      </c>
      <c r="D517" s="7" t="s">
        <v>17</v>
      </c>
      <c r="E517" s="8">
        <v>0</v>
      </c>
      <c r="F517" s="9">
        <v>0</v>
      </c>
      <c r="G517" s="8">
        <v>3</v>
      </c>
      <c r="H517" s="10">
        <v>61117</v>
      </c>
      <c r="I517" s="310">
        <v>1</v>
      </c>
      <c r="J517" s="405">
        <v>1</v>
      </c>
      <c r="K517" s="409">
        <v>1</v>
      </c>
      <c r="L517" s="426"/>
    </row>
    <row r="518" spans="1:17" ht="18.25" customHeight="1" outlineLevel="2">
      <c r="B518" s="5" t="s">
        <v>11</v>
      </c>
      <c r="C518" s="6" t="s">
        <v>151</v>
      </c>
      <c r="D518" s="7" t="s">
        <v>17</v>
      </c>
      <c r="E518" s="8">
        <v>0</v>
      </c>
      <c r="F518" s="9">
        <v>0</v>
      </c>
      <c r="G518" s="8">
        <v>0</v>
      </c>
      <c r="H518" s="10">
        <v>0</v>
      </c>
      <c r="I518" s="310">
        <v>0</v>
      </c>
      <c r="J518" s="405">
        <v>0</v>
      </c>
      <c r="K518" s="409">
        <v>0</v>
      </c>
      <c r="L518" s="426"/>
    </row>
    <row r="519" spans="1:17" ht="18.25" customHeight="1" outlineLevel="2">
      <c r="B519" s="5" t="s">
        <v>11</v>
      </c>
      <c r="C519" s="6" t="s">
        <v>152</v>
      </c>
      <c r="D519" s="7" t="s">
        <v>17</v>
      </c>
      <c r="E519" s="8">
        <v>0</v>
      </c>
      <c r="F519" s="9">
        <v>0</v>
      </c>
      <c r="G519" s="8">
        <v>0</v>
      </c>
      <c r="H519" s="10">
        <v>0</v>
      </c>
      <c r="I519" s="310">
        <v>0</v>
      </c>
      <c r="J519" s="405">
        <v>0</v>
      </c>
      <c r="K519" s="409">
        <v>0</v>
      </c>
      <c r="L519" s="426"/>
    </row>
    <row r="520" spans="1:17" ht="18.25" customHeight="1" outlineLevel="2">
      <c r="B520" s="5" t="s">
        <v>11</v>
      </c>
      <c r="C520" s="18" t="s">
        <v>150</v>
      </c>
      <c r="D520" s="7" t="s">
        <v>17</v>
      </c>
      <c r="E520" s="8">
        <v>0</v>
      </c>
      <c r="F520" s="9">
        <v>0</v>
      </c>
      <c r="G520" s="8">
        <v>0</v>
      </c>
      <c r="H520" s="10">
        <v>0</v>
      </c>
      <c r="I520" s="310">
        <v>0</v>
      </c>
      <c r="J520" s="405">
        <v>0</v>
      </c>
      <c r="K520" s="409">
        <v>0</v>
      </c>
      <c r="L520" s="426"/>
    </row>
    <row r="521" spans="1:17" ht="18.25" customHeight="1" outlineLevel="2">
      <c r="B521" s="5" t="s">
        <v>11</v>
      </c>
      <c r="C521" s="22" t="s">
        <v>201</v>
      </c>
      <c r="D521" s="7" t="s">
        <v>39</v>
      </c>
      <c r="E521" s="8">
        <v>0</v>
      </c>
      <c r="F521" s="9">
        <v>0</v>
      </c>
      <c r="G521" s="8">
        <v>0</v>
      </c>
      <c r="H521" s="10">
        <v>0</v>
      </c>
      <c r="I521" s="310">
        <v>0</v>
      </c>
      <c r="J521" s="405">
        <v>0</v>
      </c>
      <c r="K521" s="409">
        <v>0</v>
      </c>
      <c r="L521" s="426"/>
    </row>
    <row r="522" spans="1:17" s="1" customFormat="1" ht="18.25" customHeight="1" outlineLevel="2">
      <c r="A522" s="570"/>
      <c r="B522" s="5" t="s">
        <v>489</v>
      </c>
      <c r="C522" s="22" t="s">
        <v>349</v>
      </c>
      <c r="D522" s="7" t="s">
        <v>27</v>
      </c>
      <c r="E522" s="8">
        <v>0</v>
      </c>
      <c r="F522" s="9">
        <v>0</v>
      </c>
      <c r="G522" s="8">
        <v>0</v>
      </c>
      <c r="H522" s="10">
        <v>0</v>
      </c>
      <c r="I522" s="310">
        <v>0</v>
      </c>
      <c r="J522" s="405">
        <v>0</v>
      </c>
      <c r="K522" s="409">
        <v>0</v>
      </c>
      <c r="L522" s="426"/>
      <c r="O522"/>
      <c r="P522"/>
      <c r="Q522"/>
    </row>
    <row r="523" spans="1:17" s="1" customFormat="1" ht="18.25" customHeight="1" outlineLevel="2">
      <c r="A523" s="570"/>
      <c r="B523" s="5" t="s">
        <v>11</v>
      </c>
      <c r="C523" s="18" t="s">
        <v>60</v>
      </c>
      <c r="D523" s="7" t="s">
        <v>27</v>
      </c>
      <c r="E523" s="8">
        <v>0</v>
      </c>
      <c r="F523" s="9">
        <v>0</v>
      </c>
      <c r="G523" s="8">
        <v>0</v>
      </c>
      <c r="H523" s="10">
        <v>0</v>
      </c>
      <c r="I523" s="310">
        <v>0</v>
      </c>
      <c r="J523" s="405">
        <v>0</v>
      </c>
      <c r="K523" s="409">
        <v>0</v>
      </c>
      <c r="L523" s="426"/>
      <c r="O523"/>
      <c r="P523"/>
      <c r="Q523"/>
    </row>
    <row r="524" spans="1:17" s="1" customFormat="1" ht="18.25" customHeight="1" outlineLevel="2">
      <c r="A524" s="570"/>
      <c r="B524" s="5" t="s">
        <v>6</v>
      </c>
      <c r="C524" s="18" t="s">
        <v>765</v>
      </c>
      <c r="D524" s="7" t="s">
        <v>17</v>
      </c>
      <c r="E524" s="8">
        <v>0</v>
      </c>
      <c r="F524" s="9">
        <v>0</v>
      </c>
      <c r="G524" s="8">
        <v>0</v>
      </c>
      <c r="H524" s="10">
        <v>0</v>
      </c>
      <c r="I524" s="310">
        <v>0</v>
      </c>
      <c r="J524" s="405">
        <v>0</v>
      </c>
      <c r="K524" s="409">
        <v>0</v>
      </c>
      <c r="L524" s="426"/>
      <c r="O524"/>
      <c r="P524"/>
      <c r="Q524"/>
    </row>
    <row r="525" spans="1:17" s="1" customFormat="1" ht="18.25" customHeight="1" outlineLevel="2">
      <c r="A525" s="570"/>
      <c r="B525" s="5" t="s">
        <v>6</v>
      </c>
      <c r="C525" s="6" t="s">
        <v>52</v>
      </c>
      <c r="D525" s="7" t="s">
        <v>17</v>
      </c>
      <c r="E525" s="8">
        <v>0</v>
      </c>
      <c r="F525" s="9">
        <v>0</v>
      </c>
      <c r="G525" s="8">
        <v>2</v>
      </c>
      <c r="H525" s="10">
        <v>42052</v>
      </c>
      <c r="I525" s="310">
        <v>1</v>
      </c>
      <c r="J525" s="405">
        <v>1</v>
      </c>
      <c r="K525" s="409">
        <v>1</v>
      </c>
      <c r="L525" s="426"/>
      <c r="O525"/>
      <c r="P525"/>
      <c r="Q525"/>
    </row>
    <row r="526" spans="1:17" s="1" customFormat="1" ht="18.25" customHeight="1" outlineLevel="2">
      <c r="A526" s="570"/>
      <c r="B526" s="5" t="s">
        <v>6</v>
      </c>
      <c r="C526" s="6" t="s">
        <v>232</v>
      </c>
      <c r="D526" s="7" t="s">
        <v>17</v>
      </c>
      <c r="E526" s="8">
        <v>0</v>
      </c>
      <c r="F526" s="9">
        <v>0</v>
      </c>
      <c r="G526" s="8">
        <v>0</v>
      </c>
      <c r="H526" s="10">
        <v>0</v>
      </c>
      <c r="I526" s="310">
        <v>0</v>
      </c>
      <c r="J526" s="405">
        <v>0</v>
      </c>
      <c r="K526" s="409">
        <v>0</v>
      </c>
      <c r="L526" s="426"/>
      <c r="O526"/>
      <c r="P526"/>
      <c r="Q526"/>
    </row>
    <row r="527" spans="1:17" s="1" customFormat="1" ht="18.25" customHeight="1" outlineLevel="2">
      <c r="A527" s="570"/>
      <c r="B527" s="5" t="s">
        <v>6</v>
      </c>
      <c r="C527" s="6" t="s">
        <v>41</v>
      </c>
      <c r="D527" s="7" t="s">
        <v>17</v>
      </c>
      <c r="E527" s="8">
        <v>0</v>
      </c>
      <c r="F527" s="9">
        <v>0</v>
      </c>
      <c r="G527" s="8">
        <v>0</v>
      </c>
      <c r="H527" s="10">
        <v>0</v>
      </c>
      <c r="I527" s="310">
        <v>0</v>
      </c>
      <c r="J527" s="405">
        <v>0</v>
      </c>
      <c r="K527" s="409">
        <v>0</v>
      </c>
      <c r="L527" s="426"/>
      <c r="O527"/>
      <c r="P527"/>
      <c r="Q527"/>
    </row>
    <row r="528" spans="1:17" s="1" customFormat="1" ht="18.25" customHeight="1" outlineLevel="2">
      <c r="A528" s="570"/>
      <c r="B528" s="5" t="s">
        <v>6</v>
      </c>
      <c r="C528" s="18" t="s">
        <v>42</v>
      </c>
      <c r="D528" s="7" t="s">
        <v>17</v>
      </c>
      <c r="E528" s="8">
        <v>0</v>
      </c>
      <c r="F528" s="9">
        <v>0</v>
      </c>
      <c r="G528" s="8">
        <v>0</v>
      </c>
      <c r="H528" s="10">
        <v>0</v>
      </c>
      <c r="I528" s="310">
        <v>0</v>
      </c>
      <c r="J528" s="405">
        <v>0</v>
      </c>
      <c r="K528" s="409">
        <v>0</v>
      </c>
      <c r="L528" s="426"/>
      <c r="O528"/>
      <c r="P528"/>
      <c r="Q528"/>
    </row>
    <row r="529" spans="1:17" s="1" customFormat="1" ht="18.25" customHeight="1" outlineLevel="2">
      <c r="A529" s="570"/>
      <c r="B529" s="5" t="s">
        <v>6</v>
      </c>
      <c r="C529" s="18" t="s">
        <v>43</v>
      </c>
      <c r="D529" s="7" t="s">
        <v>17</v>
      </c>
      <c r="E529" s="8">
        <v>0</v>
      </c>
      <c r="F529" s="9">
        <v>0</v>
      </c>
      <c r="G529" s="8">
        <v>1</v>
      </c>
      <c r="H529" s="10">
        <v>16759</v>
      </c>
      <c r="I529" s="310">
        <v>1</v>
      </c>
      <c r="J529" s="405">
        <v>1</v>
      </c>
      <c r="K529" s="409">
        <v>0</v>
      </c>
      <c r="L529" s="426"/>
      <c r="O529"/>
      <c r="P529"/>
      <c r="Q529"/>
    </row>
    <row r="530" spans="1:17" s="1" customFormat="1" ht="18.25" customHeight="1" outlineLevel="2">
      <c r="A530" s="570"/>
      <c r="B530" s="5" t="s">
        <v>6</v>
      </c>
      <c r="C530" s="6" t="s">
        <v>38</v>
      </c>
      <c r="D530" s="7" t="s">
        <v>17</v>
      </c>
      <c r="E530" s="8">
        <v>1</v>
      </c>
      <c r="F530" s="9">
        <v>16403</v>
      </c>
      <c r="G530" s="8">
        <v>3</v>
      </c>
      <c r="H530" s="10">
        <v>50125</v>
      </c>
      <c r="I530" s="310">
        <v>1</v>
      </c>
      <c r="J530" s="405">
        <v>1</v>
      </c>
      <c r="K530" s="409">
        <v>1</v>
      </c>
      <c r="L530" s="426"/>
      <c r="O530"/>
      <c r="P530"/>
      <c r="Q530"/>
    </row>
    <row r="531" spans="1:17" s="1" customFormat="1" ht="18.25" customHeight="1" outlineLevel="1">
      <c r="A531" s="570"/>
      <c r="B531" s="12" t="s">
        <v>11</v>
      </c>
      <c r="C531" s="13" t="s">
        <v>153</v>
      </c>
      <c r="D531" s="14">
        <v>23</v>
      </c>
      <c r="E531" s="15">
        <v>2</v>
      </c>
      <c r="F531" s="16">
        <v>16403</v>
      </c>
      <c r="G531" s="15">
        <v>14</v>
      </c>
      <c r="H531" s="17">
        <v>254532</v>
      </c>
      <c r="I531" s="311">
        <v>6</v>
      </c>
      <c r="J531" s="312">
        <v>6</v>
      </c>
      <c r="K531" s="410">
        <v>5</v>
      </c>
      <c r="L531" s="427">
        <v>1</v>
      </c>
      <c r="M531" s="1" t="s">
        <v>167</v>
      </c>
      <c r="O531"/>
      <c r="P531"/>
      <c r="Q531"/>
    </row>
    <row r="532" spans="1:17" s="1" customFormat="1" ht="18.25" customHeight="1" outlineLevel="2">
      <c r="A532" s="570"/>
      <c r="B532" s="5" t="s">
        <v>4</v>
      </c>
      <c r="C532" s="6" t="s">
        <v>899</v>
      </c>
      <c r="D532" s="7" t="s">
        <v>189</v>
      </c>
      <c r="E532" s="8">
        <v>0</v>
      </c>
      <c r="F532" s="9">
        <v>0</v>
      </c>
      <c r="G532" s="8">
        <v>0</v>
      </c>
      <c r="H532" s="10">
        <v>0</v>
      </c>
      <c r="I532" s="310">
        <v>0</v>
      </c>
      <c r="J532" s="405">
        <v>0</v>
      </c>
      <c r="K532" s="409">
        <v>0</v>
      </c>
      <c r="L532" s="426"/>
      <c r="O532"/>
      <c r="P532"/>
      <c r="Q532"/>
    </row>
    <row r="533" spans="1:17" s="1" customFormat="1" ht="18.25" customHeight="1" outlineLevel="2">
      <c r="A533" s="570"/>
      <c r="B533" s="5" t="s">
        <v>4</v>
      </c>
      <c r="C533" s="6" t="s">
        <v>928</v>
      </c>
      <c r="D533" s="7" t="s">
        <v>27</v>
      </c>
      <c r="E533" s="8">
        <v>0</v>
      </c>
      <c r="F533" s="9">
        <v>0</v>
      </c>
      <c r="G533" s="8">
        <v>0</v>
      </c>
      <c r="H533" s="10">
        <v>0</v>
      </c>
      <c r="I533" s="310">
        <v>0</v>
      </c>
      <c r="J533" s="405">
        <v>0</v>
      </c>
      <c r="K533" s="409">
        <v>0</v>
      </c>
      <c r="L533" s="426"/>
      <c r="O533"/>
      <c r="P533"/>
      <c r="Q533"/>
    </row>
    <row r="534" spans="1:17" s="1" customFormat="1" ht="18.25" customHeight="1" outlineLevel="1">
      <c r="A534" s="570"/>
      <c r="B534" s="12" t="s">
        <v>4</v>
      </c>
      <c r="C534" s="13" t="s">
        <v>899</v>
      </c>
      <c r="D534" s="14">
        <v>2</v>
      </c>
      <c r="E534" s="15">
        <v>0</v>
      </c>
      <c r="F534" s="16">
        <v>0</v>
      </c>
      <c r="G534" s="15">
        <v>0</v>
      </c>
      <c r="H534" s="17">
        <v>0</v>
      </c>
      <c r="I534" s="311">
        <v>0</v>
      </c>
      <c r="J534" s="312">
        <v>0</v>
      </c>
      <c r="K534" s="410">
        <v>0</v>
      </c>
      <c r="L534" s="427">
        <v>0</v>
      </c>
      <c r="M534" s="1" t="s">
        <v>169</v>
      </c>
      <c r="O534"/>
      <c r="P534"/>
      <c r="Q534"/>
    </row>
    <row r="535" spans="1:17" s="1" customFormat="1" ht="18.25" customHeight="1" outlineLevel="2">
      <c r="A535" s="570"/>
      <c r="B535" s="5" t="s">
        <v>4</v>
      </c>
      <c r="C535" s="6" t="s">
        <v>300</v>
      </c>
      <c r="D535" s="7" t="s">
        <v>189</v>
      </c>
      <c r="E535" s="8">
        <v>0</v>
      </c>
      <c r="F535" s="9">
        <v>0</v>
      </c>
      <c r="G535" s="8">
        <v>0</v>
      </c>
      <c r="H535" s="10">
        <v>0</v>
      </c>
      <c r="I535" s="310">
        <v>0</v>
      </c>
      <c r="J535" s="405">
        <v>0</v>
      </c>
      <c r="K535" s="409">
        <v>0</v>
      </c>
      <c r="L535" s="426"/>
      <c r="O535"/>
      <c r="P535"/>
      <c r="Q535"/>
    </row>
    <row r="536" spans="1:17" s="1" customFormat="1" ht="18.25" customHeight="1" outlineLevel="2">
      <c r="A536" s="570"/>
      <c r="B536" s="5" t="s">
        <v>4</v>
      </c>
      <c r="C536" s="6" t="s">
        <v>706</v>
      </c>
      <c r="D536" s="7" t="s">
        <v>27</v>
      </c>
      <c r="E536" s="8">
        <v>0</v>
      </c>
      <c r="F536" s="9">
        <v>0</v>
      </c>
      <c r="G536" s="8">
        <v>0</v>
      </c>
      <c r="H536" s="10">
        <v>0</v>
      </c>
      <c r="I536" s="310">
        <v>0</v>
      </c>
      <c r="J536" s="405">
        <v>0</v>
      </c>
      <c r="K536" s="409">
        <v>0</v>
      </c>
      <c r="L536" s="426"/>
      <c r="O536"/>
      <c r="P536"/>
      <c r="Q536"/>
    </row>
    <row r="537" spans="1:17" s="1" customFormat="1" ht="18.25" customHeight="1" outlineLevel="2">
      <c r="A537" s="570"/>
      <c r="B537" s="5" t="s">
        <v>4</v>
      </c>
      <c r="C537" s="74" t="s">
        <v>852</v>
      </c>
      <c r="D537" s="45"/>
      <c r="E537" s="8">
        <v>0</v>
      </c>
      <c r="F537" s="9">
        <v>0</v>
      </c>
      <c r="G537" s="8">
        <v>0</v>
      </c>
      <c r="H537" s="10">
        <v>0</v>
      </c>
      <c r="I537" s="318"/>
      <c r="J537" s="407"/>
      <c r="K537" s="414"/>
      <c r="L537" s="435"/>
      <c r="O537"/>
      <c r="P537"/>
      <c r="Q537"/>
    </row>
    <row r="538" spans="1:17" s="1" customFormat="1" ht="18.25" customHeight="1" outlineLevel="2">
      <c r="A538" s="570"/>
      <c r="B538" s="5" t="s">
        <v>4</v>
      </c>
      <c r="C538" s="6" t="s">
        <v>884</v>
      </c>
      <c r="D538" s="7" t="s">
        <v>27</v>
      </c>
      <c r="E538" s="8">
        <v>0</v>
      </c>
      <c r="F538" s="9">
        <v>0</v>
      </c>
      <c r="G538" s="8">
        <v>0</v>
      </c>
      <c r="H538" s="10">
        <v>0</v>
      </c>
      <c r="I538" s="310">
        <v>0</v>
      </c>
      <c r="J538" s="405">
        <v>0</v>
      </c>
      <c r="K538" s="409">
        <v>0</v>
      </c>
      <c r="L538" s="426"/>
      <c r="O538"/>
      <c r="P538"/>
      <c r="Q538"/>
    </row>
    <row r="539" spans="1:17" s="1" customFormat="1" ht="18.25" customHeight="1" outlineLevel="1">
      <c r="A539" s="570"/>
      <c r="B539" s="12" t="s">
        <v>4</v>
      </c>
      <c r="C539" s="13" t="s">
        <v>300</v>
      </c>
      <c r="D539" s="14">
        <v>3</v>
      </c>
      <c r="E539" s="15">
        <v>0</v>
      </c>
      <c r="F539" s="16">
        <v>0</v>
      </c>
      <c r="G539" s="15">
        <v>0</v>
      </c>
      <c r="H539" s="17">
        <v>0</v>
      </c>
      <c r="I539" s="311">
        <v>0</v>
      </c>
      <c r="J539" s="312">
        <v>0</v>
      </c>
      <c r="K539" s="410">
        <v>0</v>
      </c>
      <c r="L539" s="427">
        <v>0</v>
      </c>
      <c r="M539" s="1" t="s">
        <v>169</v>
      </c>
      <c r="O539"/>
      <c r="P539"/>
      <c r="Q539"/>
    </row>
    <row r="540" spans="1:17" s="1" customFormat="1" ht="18.25" customHeight="1" outlineLevel="2">
      <c r="A540" s="570"/>
      <c r="B540" s="5" t="s">
        <v>4</v>
      </c>
      <c r="C540" s="6" t="s">
        <v>509</v>
      </c>
      <c r="D540" s="7" t="s">
        <v>20</v>
      </c>
      <c r="E540" s="8">
        <v>0</v>
      </c>
      <c r="F540" s="9">
        <v>0</v>
      </c>
      <c r="G540" s="8">
        <v>0</v>
      </c>
      <c r="H540" s="10">
        <v>0</v>
      </c>
      <c r="I540" s="310">
        <v>0</v>
      </c>
      <c r="J540" s="405">
        <v>0</v>
      </c>
      <c r="K540" s="409">
        <v>0</v>
      </c>
      <c r="L540" s="426"/>
      <c r="O540"/>
      <c r="P540"/>
      <c r="Q540"/>
    </row>
    <row r="541" spans="1:17" s="1" customFormat="1" ht="18.25" customHeight="1" outlineLevel="2">
      <c r="A541" s="570"/>
      <c r="B541" s="5" t="s">
        <v>4</v>
      </c>
      <c r="C541" s="6" t="s">
        <v>700</v>
      </c>
      <c r="D541" s="7" t="s">
        <v>17</v>
      </c>
      <c r="E541" s="8">
        <v>0</v>
      </c>
      <c r="F541" s="9">
        <v>0</v>
      </c>
      <c r="G541" s="8">
        <v>0</v>
      </c>
      <c r="H541" s="10">
        <v>0</v>
      </c>
      <c r="I541" s="310">
        <v>0</v>
      </c>
      <c r="J541" s="405">
        <v>0</v>
      </c>
      <c r="K541" s="409">
        <v>0</v>
      </c>
      <c r="L541" s="426"/>
      <c r="O541"/>
      <c r="P541"/>
      <c r="Q541"/>
    </row>
    <row r="542" spans="1:17" s="1" customFormat="1" ht="18.25" customHeight="1" outlineLevel="2">
      <c r="A542" s="570"/>
      <c r="B542" s="5" t="s">
        <v>4</v>
      </c>
      <c r="C542" s="6" t="s">
        <v>731</v>
      </c>
      <c r="D542" s="7" t="s">
        <v>17</v>
      </c>
      <c r="E542" s="8">
        <v>0</v>
      </c>
      <c r="F542" s="9">
        <v>0</v>
      </c>
      <c r="G542" s="8">
        <v>0</v>
      </c>
      <c r="H542" s="10">
        <v>0</v>
      </c>
      <c r="I542" s="310">
        <v>0</v>
      </c>
      <c r="J542" s="405">
        <v>0</v>
      </c>
      <c r="K542" s="409">
        <v>0</v>
      </c>
      <c r="L542" s="426"/>
      <c r="O542"/>
      <c r="P542"/>
      <c r="Q542"/>
    </row>
    <row r="543" spans="1:17" s="1" customFormat="1" ht="18.25" customHeight="1" outlineLevel="1">
      <c r="A543" s="570"/>
      <c r="B543" s="12" t="s">
        <v>4</v>
      </c>
      <c r="C543" s="13" t="s">
        <v>509</v>
      </c>
      <c r="D543" s="14">
        <v>3</v>
      </c>
      <c r="E543" s="15">
        <v>0</v>
      </c>
      <c r="F543" s="16">
        <v>0</v>
      </c>
      <c r="G543" s="15">
        <v>0</v>
      </c>
      <c r="H543" s="17">
        <v>0</v>
      </c>
      <c r="I543" s="311">
        <v>0</v>
      </c>
      <c r="J543" s="312">
        <v>0</v>
      </c>
      <c r="K543" s="410">
        <v>0</v>
      </c>
      <c r="L543" s="427">
        <v>0</v>
      </c>
      <c r="M543" s="1" t="s">
        <v>169</v>
      </c>
      <c r="O543"/>
      <c r="P543"/>
      <c r="Q543"/>
    </row>
    <row r="544" spans="1:17" s="1" customFormat="1" ht="18.25" customHeight="1" outlineLevel="2">
      <c r="A544" s="570"/>
      <c r="B544" s="5" t="s">
        <v>4</v>
      </c>
      <c r="C544" s="6" t="s">
        <v>28</v>
      </c>
      <c r="D544" s="7" t="s">
        <v>20</v>
      </c>
      <c r="E544" s="8">
        <v>0</v>
      </c>
      <c r="F544" s="9">
        <v>0</v>
      </c>
      <c r="G544" s="8">
        <v>1</v>
      </c>
      <c r="H544" s="10">
        <v>15939</v>
      </c>
      <c r="I544" s="310">
        <v>1</v>
      </c>
      <c r="J544" s="405">
        <v>0</v>
      </c>
      <c r="K544" s="409">
        <v>0</v>
      </c>
      <c r="L544" s="426"/>
      <c r="O544"/>
      <c r="P544"/>
      <c r="Q544"/>
    </row>
    <row r="545" spans="1:17" s="1" customFormat="1" ht="18.25" customHeight="1" outlineLevel="2">
      <c r="A545" s="570"/>
      <c r="B545" s="5" t="s">
        <v>4</v>
      </c>
      <c r="C545" s="6" t="s">
        <v>624</v>
      </c>
      <c r="D545" s="7" t="s">
        <v>17</v>
      </c>
      <c r="E545" s="8">
        <v>0</v>
      </c>
      <c r="F545" s="9">
        <v>0</v>
      </c>
      <c r="G545" s="8">
        <v>0</v>
      </c>
      <c r="H545" s="10">
        <v>0</v>
      </c>
      <c r="I545" s="310">
        <v>0</v>
      </c>
      <c r="J545" s="405">
        <v>0</v>
      </c>
      <c r="K545" s="409">
        <v>0</v>
      </c>
      <c r="L545" s="426"/>
      <c r="O545"/>
      <c r="P545"/>
      <c r="Q545"/>
    </row>
    <row r="546" spans="1:17" s="1" customFormat="1" ht="18.25" customHeight="1" outlineLevel="1">
      <c r="A546" s="570"/>
      <c r="B546" s="12" t="s">
        <v>4</v>
      </c>
      <c r="C546" s="13" t="s">
        <v>28</v>
      </c>
      <c r="D546" s="14">
        <v>2</v>
      </c>
      <c r="E546" s="15">
        <v>0</v>
      </c>
      <c r="F546" s="16">
        <v>0</v>
      </c>
      <c r="G546" s="15">
        <v>1</v>
      </c>
      <c r="H546" s="17">
        <v>15939</v>
      </c>
      <c r="I546" s="311">
        <v>1</v>
      </c>
      <c r="J546" s="312">
        <v>0</v>
      </c>
      <c r="K546" s="410">
        <v>0</v>
      </c>
      <c r="L546" s="427">
        <v>0</v>
      </c>
      <c r="M546" s="1" t="s">
        <v>169</v>
      </c>
      <c r="O546"/>
      <c r="P546"/>
      <c r="Q546"/>
    </row>
    <row r="547" spans="1:17" s="1" customFormat="1" ht="18.25" customHeight="1" outlineLevel="2">
      <c r="A547" s="570"/>
      <c r="B547" s="5" t="s">
        <v>4</v>
      </c>
      <c r="C547" s="6" t="s">
        <v>33</v>
      </c>
      <c r="D547" s="7" t="s">
        <v>40</v>
      </c>
      <c r="E547" s="8">
        <v>0</v>
      </c>
      <c r="F547" s="9">
        <v>0</v>
      </c>
      <c r="G547" s="8">
        <v>0</v>
      </c>
      <c r="H547" s="10">
        <v>0</v>
      </c>
      <c r="I547" s="310">
        <v>0</v>
      </c>
      <c r="J547" s="405">
        <v>0</v>
      </c>
      <c r="K547" s="409">
        <v>0</v>
      </c>
      <c r="L547" s="426"/>
      <c r="O547"/>
      <c r="P547"/>
      <c r="Q547"/>
    </row>
    <row r="548" spans="1:17" s="1" customFormat="1" ht="18.25" customHeight="1" outlineLevel="2">
      <c r="A548" s="570"/>
      <c r="B548" s="5" t="s">
        <v>4</v>
      </c>
      <c r="C548" s="6" t="s">
        <v>18</v>
      </c>
      <c r="D548" s="7" t="s">
        <v>17</v>
      </c>
      <c r="E548" s="8">
        <v>0</v>
      </c>
      <c r="F548" s="9">
        <v>0</v>
      </c>
      <c r="G548" s="8">
        <v>3.5</v>
      </c>
      <c r="H548" s="10">
        <v>72786</v>
      </c>
      <c r="I548" s="310">
        <v>1</v>
      </c>
      <c r="J548" s="405">
        <v>1</v>
      </c>
      <c r="K548" s="409">
        <v>1</v>
      </c>
      <c r="L548" s="426"/>
      <c r="O548"/>
      <c r="P548"/>
      <c r="Q548"/>
    </row>
    <row r="549" spans="1:17" s="1" customFormat="1" ht="18.25" customHeight="1" outlineLevel="1">
      <c r="A549" s="570"/>
      <c r="B549" s="12" t="s">
        <v>4</v>
      </c>
      <c r="C549" s="13" t="s">
        <v>33</v>
      </c>
      <c r="D549" s="14">
        <v>2</v>
      </c>
      <c r="E549" s="15">
        <v>0</v>
      </c>
      <c r="F549" s="16">
        <v>0</v>
      </c>
      <c r="G549" s="15">
        <v>3.5</v>
      </c>
      <c r="H549" s="17">
        <v>72786</v>
      </c>
      <c r="I549" s="311">
        <v>1</v>
      </c>
      <c r="J549" s="312">
        <v>1</v>
      </c>
      <c r="K549" s="410">
        <v>1</v>
      </c>
      <c r="L549" s="427">
        <v>0</v>
      </c>
      <c r="M549" s="1" t="s">
        <v>51</v>
      </c>
      <c r="O549"/>
      <c r="P549"/>
      <c r="Q549"/>
    </row>
    <row r="550" spans="1:17" s="1" customFormat="1" ht="18.25" customHeight="1" outlineLevel="2">
      <c r="A550" s="570"/>
      <c r="B550" s="5" t="s">
        <v>4</v>
      </c>
      <c r="C550" s="6" t="s">
        <v>637</v>
      </c>
      <c r="D550" s="7" t="s">
        <v>25</v>
      </c>
      <c r="E550" s="8">
        <v>0</v>
      </c>
      <c r="F550" s="9">
        <v>0</v>
      </c>
      <c r="G550" s="8">
        <v>0</v>
      </c>
      <c r="H550" s="10">
        <v>0</v>
      </c>
      <c r="I550" s="310">
        <v>0</v>
      </c>
      <c r="J550" s="405">
        <v>0</v>
      </c>
      <c r="K550" s="409">
        <v>0</v>
      </c>
      <c r="L550" s="426"/>
      <c r="O550"/>
      <c r="P550"/>
      <c r="Q550"/>
    </row>
    <row r="551" spans="1:17" s="1" customFormat="1" ht="18.25" customHeight="1" outlineLevel="2">
      <c r="A551" s="570"/>
      <c r="B551" s="5" t="s">
        <v>4</v>
      </c>
      <c r="C551" s="6" t="s">
        <v>802</v>
      </c>
      <c r="D551" s="7" t="s">
        <v>27</v>
      </c>
      <c r="E551" s="8">
        <v>0</v>
      </c>
      <c r="F551" s="9">
        <v>0</v>
      </c>
      <c r="G551" s="8">
        <v>0</v>
      </c>
      <c r="H551" s="10">
        <v>0</v>
      </c>
      <c r="I551" s="310">
        <v>0</v>
      </c>
      <c r="J551" s="405">
        <v>0</v>
      </c>
      <c r="K551" s="409">
        <v>0</v>
      </c>
      <c r="L551" s="426"/>
      <c r="O551"/>
      <c r="P551"/>
      <c r="Q551"/>
    </row>
    <row r="552" spans="1:17" s="1" customFormat="1" ht="18.25" customHeight="1" outlineLevel="2">
      <c r="A552" s="570"/>
      <c r="B552" s="5" t="s">
        <v>4</v>
      </c>
      <c r="C552" s="6" t="s">
        <v>778</v>
      </c>
      <c r="D552" s="7" t="s">
        <v>27</v>
      </c>
      <c r="E552" s="8">
        <v>0</v>
      </c>
      <c r="F552" s="9">
        <v>0</v>
      </c>
      <c r="G552" s="8">
        <v>0</v>
      </c>
      <c r="H552" s="10">
        <v>0</v>
      </c>
      <c r="I552" s="310">
        <v>0</v>
      </c>
      <c r="J552" s="405">
        <v>0</v>
      </c>
      <c r="K552" s="409">
        <v>0</v>
      </c>
      <c r="L552" s="426"/>
      <c r="O552"/>
      <c r="P552"/>
      <c r="Q552"/>
    </row>
    <row r="553" spans="1:17" s="1" customFormat="1" ht="18.25" customHeight="1" outlineLevel="1">
      <c r="A553" s="570"/>
      <c r="B553" s="12" t="s">
        <v>4</v>
      </c>
      <c r="C553" s="13" t="s">
        <v>637</v>
      </c>
      <c r="D553" s="14">
        <v>3</v>
      </c>
      <c r="E553" s="15">
        <v>0</v>
      </c>
      <c r="F553" s="16">
        <v>0</v>
      </c>
      <c r="G553" s="15">
        <v>0</v>
      </c>
      <c r="H553" s="17">
        <v>0</v>
      </c>
      <c r="I553" s="311">
        <v>0</v>
      </c>
      <c r="J553" s="312">
        <v>0</v>
      </c>
      <c r="K553" s="410">
        <v>0</v>
      </c>
      <c r="L553" s="427">
        <v>0</v>
      </c>
      <c r="M553" s="1" t="s">
        <v>169</v>
      </c>
      <c r="O553"/>
      <c r="P553"/>
      <c r="Q553"/>
    </row>
    <row r="554" spans="1:17" s="1" customFormat="1" ht="18.25" customHeight="1" outlineLevel="2">
      <c r="A554" s="570"/>
      <c r="B554" s="5" t="s">
        <v>4</v>
      </c>
      <c r="C554" s="39" t="s">
        <v>32</v>
      </c>
      <c r="D554" s="23" t="s">
        <v>22</v>
      </c>
      <c r="E554" s="8">
        <v>0</v>
      </c>
      <c r="F554" s="9">
        <v>0</v>
      </c>
      <c r="G554" s="8">
        <v>0.5</v>
      </c>
      <c r="H554" s="10">
        <v>2611</v>
      </c>
      <c r="I554" s="310">
        <v>1</v>
      </c>
      <c r="J554" s="405">
        <v>0</v>
      </c>
      <c r="K554" s="409">
        <v>0</v>
      </c>
      <c r="L554" s="426"/>
      <c r="O554"/>
      <c r="P554"/>
      <c r="Q554"/>
    </row>
    <row r="555" spans="1:17" s="1" customFormat="1" ht="18.25" customHeight="1" outlineLevel="2">
      <c r="A555" s="570"/>
      <c r="B555" s="5" t="s">
        <v>4</v>
      </c>
      <c r="C555" s="6" t="s">
        <v>34</v>
      </c>
      <c r="D555" s="7" t="s">
        <v>17</v>
      </c>
      <c r="E555" s="8">
        <v>0</v>
      </c>
      <c r="F555" s="9">
        <v>0</v>
      </c>
      <c r="G555" s="8">
        <v>0</v>
      </c>
      <c r="H555" s="10">
        <v>0</v>
      </c>
      <c r="I555" s="310">
        <v>0</v>
      </c>
      <c r="J555" s="405">
        <v>0</v>
      </c>
      <c r="K555" s="409">
        <v>0</v>
      </c>
      <c r="L555" s="426"/>
      <c r="O555"/>
      <c r="P555"/>
      <c r="Q555"/>
    </row>
    <row r="556" spans="1:17" s="1" customFormat="1" ht="18.25" customHeight="1" outlineLevel="2">
      <c r="A556" s="570"/>
      <c r="B556" s="5" t="s">
        <v>4</v>
      </c>
      <c r="C556" s="6" t="s">
        <v>290</v>
      </c>
      <c r="D556" s="7" t="s">
        <v>27</v>
      </c>
      <c r="E556" s="8">
        <v>0</v>
      </c>
      <c r="F556" s="9">
        <v>0</v>
      </c>
      <c r="G556" s="8">
        <v>0.5</v>
      </c>
      <c r="H556" s="10">
        <v>2611</v>
      </c>
      <c r="I556" s="310">
        <v>1</v>
      </c>
      <c r="J556" s="405">
        <v>0</v>
      </c>
      <c r="K556" s="409">
        <v>0</v>
      </c>
      <c r="L556" s="426"/>
      <c r="O556"/>
      <c r="P556"/>
      <c r="Q556"/>
    </row>
    <row r="557" spans="1:17" s="1" customFormat="1" ht="18.25" customHeight="1" outlineLevel="1">
      <c r="A557" s="570"/>
      <c r="B557" s="12" t="s">
        <v>4</v>
      </c>
      <c r="C557" s="13" t="s">
        <v>32</v>
      </c>
      <c r="D557" s="14">
        <v>3</v>
      </c>
      <c r="E557" s="15">
        <v>0</v>
      </c>
      <c r="F557" s="16">
        <v>0</v>
      </c>
      <c r="G557" s="15">
        <v>1</v>
      </c>
      <c r="H557" s="17">
        <v>5222</v>
      </c>
      <c r="I557" s="311">
        <v>2</v>
      </c>
      <c r="J557" s="312">
        <v>0</v>
      </c>
      <c r="K557" s="410">
        <v>0</v>
      </c>
      <c r="L557" s="427">
        <v>0</v>
      </c>
      <c r="M557" s="1" t="s">
        <v>171</v>
      </c>
      <c r="O557"/>
      <c r="P557"/>
      <c r="Q557"/>
    </row>
    <row r="558" spans="1:17" s="1" customFormat="1" ht="18.25" customHeight="1" outlineLevel="2">
      <c r="A558" s="570"/>
      <c r="B558" s="5" t="s">
        <v>4</v>
      </c>
      <c r="C558" s="39" t="s">
        <v>791</v>
      </c>
      <c r="D558" s="40" t="s">
        <v>240</v>
      </c>
      <c r="E558" s="8">
        <v>0</v>
      </c>
      <c r="F558" s="9">
        <v>0</v>
      </c>
      <c r="G558" s="8">
        <v>3</v>
      </c>
      <c r="H558" s="10">
        <v>25126</v>
      </c>
      <c r="I558" s="310">
        <v>1</v>
      </c>
      <c r="J558" s="405">
        <v>1</v>
      </c>
      <c r="K558" s="409">
        <v>1</v>
      </c>
      <c r="L558" s="426"/>
      <c r="O558"/>
      <c r="P558"/>
      <c r="Q558"/>
    </row>
    <row r="559" spans="1:17" s="1" customFormat="1" ht="18.25" customHeight="1" outlineLevel="2">
      <c r="A559" s="570"/>
      <c r="B559" s="5"/>
      <c r="C559" s="39" t="s">
        <v>542</v>
      </c>
      <c r="D559" s="23" t="s">
        <v>17</v>
      </c>
      <c r="E559" s="8">
        <v>0</v>
      </c>
      <c r="F559" s="9">
        <v>0</v>
      </c>
      <c r="G559" s="8">
        <v>0</v>
      </c>
      <c r="H559" s="10">
        <v>0</v>
      </c>
      <c r="I559" s="310">
        <v>0</v>
      </c>
      <c r="J559" s="405">
        <v>0</v>
      </c>
      <c r="K559" s="409">
        <v>0</v>
      </c>
      <c r="L559" s="426"/>
      <c r="O559"/>
      <c r="P559"/>
      <c r="Q559"/>
    </row>
    <row r="560" spans="1:17" s="1" customFormat="1" ht="18.25" customHeight="1" outlineLevel="1">
      <c r="A560" s="570"/>
      <c r="B560" s="12" t="s">
        <v>11</v>
      </c>
      <c r="C560" s="13" t="s">
        <v>531</v>
      </c>
      <c r="D560" s="14">
        <v>2</v>
      </c>
      <c r="E560" s="15">
        <v>0</v>
      </c>
      <c r="F560" s="16">
        <v>0</v>
      </c>
      <c r="G560" s="15">
        <v>3</v>
      </c>
      <c r="H560" s="17">
        <v>25126</v>
      </c>
      <c r="I560" s="311">
        <v>1</v>
      </c>
      <c r="J560" s="312">
        <v>1</v>
      </c>
      <c r="K560" s="410">
        <v>1</v>
      </c>
      <c r="L560" s="427">
        <v>0</v>
      </c>
      <c r="M560" s="1" t="s">
        <v>171</v>
      </c>
      <c r="O560"/>
      <c r="P560"/>
      <c r="Q560"/>
    </row>
    <row r="561" spans="1:17" s="1" customFormat="1" ht="18.25" customHeight="1" outlineLevel="2">
      <c r="A561" s="570"/>
      <c r="B561" s="5" t="s">
        <v>11</v>
      </c>
      <c r="C561" s="6" t="s">
        <v>282</v>
      </c>
      <c r="D561" s="7" t="s">
        <v>22</v>
      </c>
      <c r="E561" s="8">
        <v>0</v>
      </c>
      <c r="F561" s="9">
        <v>0</v>
      </c>
      <c r="G561" s="8">
        <v>1</v>
      </c>
      <c r="H561" s="10">
        <v>16380</v>
      </c>
      <c r="I561" s="310">
        <v>1</v>
      </c>
      <c r="J561" s="405">
        <v>0</v>
      </c>
      <c r="K561" s="409">
        <v>0</v>
      </c>
      <c r="L561" s="426"/>
      <c r="O561"/>
      <c r="P561"/>
      <c r="Q561"/>
    </row>
    <row r="562" spans="1:17" s="1" customFormat="1" ht="18.25" customHeight="1" outlineLevel="2">
      <c r="A562" s="570"/>
      <c r="B562" s="5" t="s">
        <v>11</v>
      </c>
      <c r="C562" s="22" t="s">
        <v>705</v>
      </c>
      <c r="D562" s="7" t="s">
        <v>17</v>
      </c>
      <c r="E562" s="8">
        <v>0</v>
      </c>
      <c r="F562" s="9">
        <v>0</v>
      </c>
      <c r="G562" s="8">
        <v>0</v>
      </c>
      <c r="H562" s="10">
        <v>0</v>
      </c>
      <c r="I562" s="310">
        <v>0</v>
      </c>
      <c r="J562" s="405">
        <v>0</v>
      </c>
      <c r="K562" s="409">
        <v>0</v>
      </c>
      <c r="L562" s="426"/>
      <c r="O562"/>
      <c r="P562"/>
      <c r="Q562"/>
    </row>
    <row r="563" spans="1:17" s="1" customFormat="1" ht="18.25" customHeight="1" outlineLevel="1">
      <c r="A563" s="570"/>
      <c r="B563" s="12" t="s">
        <v>11</v>
      </c>
      <c r="C563" s="13" t="s">
        <v>282</v>
      </c>
      <c r="D563" s="14">
        <v>2</v>
      </c>
      <c r="E563" s="15">
        <v>0</v>
      </c>
      <c r="F563" s="16">
        <v>0</v>
      </c>
      <c r="G563" s="15">
        <v>1</v>
      </c>
      <c r="H563" s="17">
        <v>16380</v>
      </c>
      <c r="I563" s="311">
        <v>1</v>
      </c>
      <c r="J563" s="312">
        <v>0</v>
      </c>
      <c r="K563" s="410">
        <v>0</v>
      </c>
      <c r="L563" s="427">
        <v>0</v>
      </c>
      <c r="M563" s="1" t="s">
        <v>171</v>
      </c>
      <c r="O563"/>
      <c r="P563"/>
      <c r="Q563"/>
    </row>
    <row r="564" spans="1:17" s="1" customFormat="1" ht="18.25" customHeight="1" outlineLevel="2">
      <c r="A564" s="570"/>
      <c r="B564" s="5" t="s">
        <v>11</v>
      </c>
      <c r="C564" s="6" t="s">
        <v>154</v>
      </c>
      <c r="D564" s="19" t="s">
        <v>40</v>
      </c>
      <c r="E564" s="8">
        <v>0</v>
      </c>
      <c r="F564" s="9">
        <v>0</v>
      </c>
      <c r="G564" s="8">
        <v>2</v>
      </c>
      <c r="H564" s="10">
        <v>51354</v>
      </c>
      <c r="I564" s="310">
        <v>1</v>
      </c>
      <c r="J564" s="405">
        <v>1</v>
      </c>
      <c r="K564" s="409">
        <v>1</v>
      </c>
      <c r="L564" s="426"/>
      <c r="O564"/>
      <c r="P564"/>
      <c r="Q564"/>
    </row>
    <row r="565" spans="1:17" s="1" customFormat="1" ht="18.25" customHeight="1" outlineLevel="2">
      <c r="A565" s="570"/>
      <c r="B565" s="5" t="s">
        <v>11</v>
      </c>
      <c r="C565" s="22" t="s">
        <v>698</v>
      </c>
      <c r="D565" s="7" t="s">
        <v>17</v>
      </c>
      <c r="E565" s="8">
        <v>0</v>
      </c>
      <c r="F565" s="9">
        <v>0</v>
      </c>
      <c r="G565" s="8">
        <v>0.5</v>
      </c>
      <c r="H565" s="10">
        <v>1016</v>
      </c>
      <c r="I565" s="310">
        <v>1</v>
      </c>
      <c r="J565" s="405">
        <v>0</v>
      </c>
      <c r="K565" s="409">
        <v>0</v>
      </c>
      <c r="L565" s="426"/>
      <c r="O565"/>
      <c r="P565"/>
      <c r="Q565"/>
    </row>
    <row r="566" spans="1:17" s="1" customFormat="1" ht="18.25" customHeight="1" outlineLevel="2">
      <c r="A566" s="570"/>
      <c r="B566" s="5" t="s">
        <v>11</v>
      </c>
      <c r="C566" s="22" t="s">
        <v>570</v>
      </c>
      <c r="D566" s="7" t="s">
        <v>17</v>
      </c>
      <c r="E566" s="8">
        <v>0</v>
      </c>
      <c r="F566" s="9">
        <v>0</v>
      </c>
      <c r="G566" s="8">
        <v>0</v>
      </c>
      <c r="H566" s="10">
        <v>0</v>
      </c>
      <c r="I566" s="310">
        <v>0</v>
      </c>
      <c r="J566" s="405">
        <v>0</v>
      </c>
      <c r="K566" s="409">
        <v>0</v>
      </c>
      <c r="L566" s="426"/>
      <c r="O566"/>
      <c r="P566"/>
      <c r="Q566"/>
    </row>
    <row r="567" spans="1:17" s="1" customFormat="1" ht="18.25" customHeight="1" outlineLevel="1">
      <c r="A567" s="570"/>
      <c r="B567" s="12" t="s">
        <v>11</v>
      </c>
      <c r="C567" s="13" t="s">
        <v>154</v>
      </c>
      <c r="D567" s="14">
        <v>3</v>
      </c>
      <c r="E567" s="15">
        <v>0</v>
      </c>
      <c r="F567" s="16">
        <v>0</v>
      </c>
      <c r="G567" s="15">
        <v>2.5</v>
      </c>
      <c r="H567" s="17">
        <v>52370</v>
      </c>
      <c r="I567" s="311">
        <v>2</v>
      </c>
      <c r="J567" s="312">
        <v>1</v>
      </c>
      <c r="K567" s="410">
        <v>1</v>
      </c>
      <c r="L567" s="427">
        <v>0</v>
      </c>
      <c r="M567" s="1" t="s">
        <v>51</v>
      </c>
      <c r="O567"/>
      <c r="P567"/>
      <c r="Q567"/>
    </row>
    <row r="568" spans="1:17" s="1" customFormat="1" ht="18.25" customHeight="1" outlineLevel="2">
      <c r="A568" s="570"/>
      <c r="B568" s="5" t="s">
        <v>11</v>
      </c>
      <c r="C568" s="6" t="s">
        <v>155</v>
      </c>
      <c r="D568" s="7" t="s">
        <v>40</v>
      </c>
      <c r="E568" s="8">
        <v>0</v>
      </c>
      <c r="F568" s="9">
        <v>0</v>
      </c>
      <c r="G568" s="8">
        <v>1</v>
      </c>
      <c r="H568" s="10">
        <v>22628</v>
      </c>
      <c r="I568" s="310">
        <v>1</v>
      </c>
      <c r="J568" s="405">
        <v>1</v>
      </c>
      <c r="K568" s="409">
        <v>0</v>
      </c>
      <c r="L568" s="426"/>
      <c r="O568"/>
      <c r="P568"/>
      <c r="Q568"/>
    </row>
    <row r="569" spans="1:17" s="1" customFormat="1" ht="18.25" customHeight="1" outlineLevel="2">
      <c r="A569" s="570"/>
      <c r="B569" s="5" t="s">
        <v>11</v>
      </c>
      <c r="C569" s="6" t="s">
        <v>156</v>
      </c>
      <c r="D569" s="7" t="s">
        <v>17</v>
      </c>
      <c r="E569" s="8">
        <v>0</v>
      </c>
      <c r="F569" s="9">
        <v>0</v>
      </c>
      <c r="G569" s="8">
        <v>0</v>
      </c>
      <c r="H569" s="10">
        <v>0</v>
      </c>
      <c r="I569" s="310">
        <v>0</v>
      </c>
      <c r="J569" s="405">
        <v>0</v>
      </c>
      <c r="K569" s="409">
        <v>0</v>
      </c>
      <c r="L569" s="426"/>
      <c r="O569"/>
      <c r="P569"/>
      <c r="Q569"/>
    </row>
    <row r="570" spans="1:17" s="1" customFormat="1" ht="18.25" customHeight="1" outlineLevel="2">
      <c r="A570" s="570"/>
      <c r="B570" s="5" t="s">
        <v>11</v>
      </c>
      <c r="C570" s="6" t="s">
        <v>229</v>
      </c>
      <c r="D570" s="7" t="s">
        <v>17</v>
      </c>
      <c r="E570" s="8">
        <v>0</v>
      </c>
      <c r="F570" s="9">
        <v>0</v>
      </c>
      <c r="G570" s="8">
        <v>0</v>
      </c>
      <c r="H570" s="10">
        <v>0</v>
      </c>
      <c r="I570" s="310">
        <v>0</v>
      </c>
      <c r="J570" s="405">
        <v>0</v>
      </c>
      <c r="K570" s="409">
        <v>0</v>
      </c>
      <c r="L570" s="426"/>
      <c r="O570"/>
      <c r="P570"/>
      <c r="Q570"/>
    </row>
    <row r="571" spans="1:17" s="1" customFormat="1" ht="18.25" customHeight="1" outlineLevel="1">
      <c r="A571" s="570"/>
      <c r="B571" s="12" t="s">
        <v>11</v>
      </c>
      <c r="C571" s="13" t="s">
        <v>155</v>
      </c>
      <c r="D571" s="14">
        <v>3</v>
      </c>
      <c r="E571" s="15">
        <v>0</v>
      </c>
      <c r="F571" s="16">
        <v>0</v>
      </c>
      <c r="G571" s="15">
        <v>1</v>
      </c>
      <c r="H571" s="17">
        <v>22628</v>
      </c>
      <c r="I571" s="311">
        <v>1</v>
      </c>
      <c r="J571" s="312">
        <v>1</v>
      </c>
      <c r="K571" s="410">
        <v>0</v>
      </c>
      <c r="L571" s="427">
        <v>0</v>
      </c>
      <c r="M571" s="1" t="s">
        <v>51</v>
      </c>
      <c r="O571"/>
      <c r="P571"/>
      <c r="Q571"/>
    </row>
    <row r="572" spans="1:17" s="1" customFormat="1" ht="18.25" customHeight="1" outlineLevel="2">
      <c r="A572" s="570"/>
      <c r="B572" s="5" t="s">
        <v>11</v>
      </c>
      <c r="C572" s="18" t="s">
        <v>157</v>
      </c>
      <c r="D572" s="7" t="s">
        <v>237</v>
      </c>
      <c r="E572" s="8">
        <v>0</v>
      </c>
      <c r="F572" s="9">
        <v>0</v>
      </c>
      <c r="G572" s="8">
        <v>0</v>
      </c>
      <c r="H572" s="10">
        <v>0</v>
      </c>
      <c r="I572" s="310">
        <v>0</v>
      </c>
      <c r="J572" s="405">
        <v>0</v>
      </c>
      <c r="K572" s="409">
        <v>0</v>
      </c>
      <c r="L572" s="426"/>
      <c r="O572"/>
      <c r="P572"/>
      <c r="Q572"/>
    </row>
    <row r="573" spans="1:17" s="1" customFormat="1" ht="18.25" customHeight="1" outlineLevel="1">
      <c r="A573" s="570"/>
      <c r="B573" s="12" t="s">
        <v>11</v>
      </c>
      <c r="C573" s="13" t="s">
        <v>157</v>
      </c>
      <c r="D573" s="14">
        <v>1</v>
      </c>
      <c r="E573" s="15">
        <v>0</v>
      </c>
      <c r="F573" s="16">
        <v>0</v>
      </c>
      <c r="G573" s="15">
        <v>0</v>
      </c>
      <c r="H573" s="17">
        <v>0</v>
      </c>
      <c r="I573" s="311">
        <v>0</v>
      </c>
      <c r="J573" s="312">
        <v>0</v>
      </c>
      <c r="K573" s="410">
        <v>0</v>
      </c>
      <c r="L573" s="427">
        <v>0</v>
      </c>
      <c r="M573" s="1" t="s">
        <v>667</v>
      </c>
      <c r="O573"/>
      <c r="P573"/>
      <c r="Q573"/>
    </row>
    <row r="574" spans="1:17" s="1" customFormat="1" ht="18.25" customHeight="1" outlineLevel="2">
      <c r="A574" s="570"/>
      <c r="B574" s="5" t="s">
        <v>11</v>
      </c>
      <c r="C574" s="6" t="s">
        <v>161</v>
      </c>
      <c r="D574" s="7" t="s">
        <v>40</v>
      </c>
      <c r="E574" s="8">
        <v>0</v>
      </c>
      <c r="F574" s="9">
        <v>0</v>
      </c>
      <c r="G574" s="8">
        <v>0</v>
      </c>
      <c r="H574" s="10">
        <v>0</v>
      </c>
      <c r="I574" s="310">
        <v>0</v>
      </c>
      <c r="J574" s="405">
        <v>0</v>
      </c>
      <c r="K574" s="409">
        <v>0</v>
      </c>
      <c r="L574" s="426"/>
      <c r="O574"/>
      <c r="P574"/>
      <c r="Q574"/>
    </row>
    <row r="575" spans="1:17" s="1" customFormat="1" ht="18.25" customHeight="1" outlineLevel="2">
      <c r="A575" s="570"/>
      <c r="B575" s="41" t="s">
        <v>11</v>
      </c>
      <c r="C575" s="39" t="s">
        <v>659</v>
      </c>
      <c r="D575" s="23" t="s">
        <v>27</v>
      </c>
      <c r="E575" s="8">
        <v>0</v>
      </c>
      <c r="F575" s="9">
        <v>0</v>
      </c>
      <c r="G575" s="8">
        <v>0</v>
      </c>
      <c r="H575" s="10">
        <v>0</v>
      </c>
      <c r="I575" s="310">
        <v>0</v>
      </c>
      <c r="J575" s="405">
        <v>0</v>
      </c>
      <c r="K575" s="409">
        <v>0</v>
      </c>
      <c r="L575" s="426"/>
      <c r="O575"/>
      <c r="P575"/>
      <c r="Q575"/>
    </row>
    <row r="576" spans="1:17" s="1" customFormat="1" ht="18.25" customHeight="1" outlineLevel="2">
      <c r="A576" s="570"/>
      <c r="B576" s="5" t="s">
        <v>11</v>
      </c>
      <c r="C576" s="6" t="s">
        <v>340</v>
      </c>
      <c r="D576" s="7" t="s">
        <v>17</v>
      </c>
      <c r="E576" s="8">
        <v>0</v>
      </c>
      <c r="F576" s="9">
        <v>0</v>
      </c>
      <c r="G576" s="8">
        <v>0</v>
      </c>
      <c r="H576" s="10">
        <v>0</v>
      </c>
      <c r="I576" s="310">
        <v>0</v>
      </c>
      <c r="J576" s="405">
        <v>0</v>
      </c>
      <c r="K576" s="409">
        <v>0</v>
      </c>
      <c r="L576" s="426"/>
      <c r="O576"/>
      <c r="P576"/>
      <c r="Q576"/>
    </row>
    <row r="577" spans="1:17" s="1" customFormat="1" ht="18.25" customHeight="1" outlineLevel="2">
      <c r="A577" s="570"/>
      <c r="B577" s="5" t="s">
        <v>11</v>
      </c>
      <c r="C577" s="6" t="s">
        <v>310</v>
      </c>
      <c r="D577" s="7" t="s">
        <v>17</v>
      </c>
      <c r="E577" s="8">
        <v>0</v>
      </c>
      <c r="F577" s="9">
        <v>0</v>
      </c>
      <c r="G577" s="8">
        <v>0</v>
      </c>
      <c r="H577" s="10">
        <v>0</v>
      </c>
      <c r="I577" s="310">
        <v>0</v>
      </c>
      <c r="J577" s="405">
        <v>0</v>
      </c>
      <c r="K577" s="409">
        <v>0</v>
      </c>
      <c r="L577" s="426"/>
      <c r="O577"/>
      <c r="P577"/>
      <c r="Q577"/>
    </row>
    <row r="578" spans="1:17" s="1" customFormat="1" ht="18.25" customHeight="1" outlineLevel="1">
      <c r="A578" s="570"/>
      <c r="B578" s="12" t="s">
        <v>11</v>
      </c>
      <c r="C578" s="13" t="s">
        <v>161</v>
      </c>
      <c r="D578" s="14">
        <v>4</v>
      </c>
      <c r="E578" s="15">
        <v>0</v>
      </c>
      <c r="F578" s="16">
        <v>0</v>
      </c>
      <c r="G578" s="15">
        <v>0</v>
      </c>
      <c r="H578" s="17">
        <v>0</v>
      </c>
      <c r="I578" s="311">
        <v>0</v>
      </c>
      <c r="J578" s="312">
        <v>0</v>
      </c>
      <c r="K578" s="410">
        <v>0</v>
      </c>
      <c r="L578" s="427">
        <v>0</v>
      </c>
      <c r="M578" s="1" t="s">
        <v>51</v>
      </c>
      <c r="O578"/>
      <c r="P578"/>
      <c r="Q578"/>
    </row>
    <row r="579" spans="1:17" s="1" customFormat="1" ht="18.25" customHeight="1" outlineLevel="2">
      <c r="A579" s="570"/>
      <c r="B579" s="5" t="s">
        <v>11</v>
      </c>
      <c r="C579" s="18" t="s">
        <v>675</v>
      </c>
      <c r="D579" s="7" t="s">
        <v>22</v>
      </c>
      <c r="E579" s="8">
        <v>0</v>
      </c>
      <c r="F579" s="9">
        <v>0</v>
      </c>
      <c r="G579" s="8">
        <v>0</v>
      </c>
      <c r="H579" s="10">
        <v>0</v>
      </c>
      <c r="I579" s="310">
        <v>0</v>
      </c>
      <c r="J579" s="405">
        <v>0</v>
      </c>
      <c r="K579" s="409">
        <v>0</v>
      </c>
      <c r="L579" s="426"/>
      <c r="O579"/>
      <c r="P579"/>
      <c r="Q579"/>
    </row>
    <row r="580" spans="1:17" s="1" customFormat="1" ht="18.25" customHeight="1" outlineLevel="2">
      <c r="A580" s="570"/>
      <c r="B580" s="5" t="s">
        <v>11</v>
      </c>
      <c r="C580" s="39" t="s">
        <v>763</v>
      </c>
      <c r="D580" s="7" t="s">
        <v>17</v>
      </c>
      <c r="E580" s="8">
        <v>0</v>
      </c>
      <c r="F580" s="9">
        <v>0</v>
      </c>
      <c r="G580" s="8">
        <v>0</v>
      </c>
      <c r="H580" s="10">
        <v>0</v>
      </c>
      <c r="I580" s="310">
        <v>0</v>
      </c>
      <c r="J580" s="405">
        <v>0</v>
      </c>
      <c r="K580" s="409">
        <v>0</v>
      </c>
      <c r="L580" s="426"/>
      <c r="O580"/>
      <c r="P580"/>
      <c r="Q580"/>
    </row>
    <row r="581" spans="1:17" s="1" customFormat="1" ht="18.25" customHeight="1" outlineLevel="1">
      <c r="A581" s="570"/>
      <c r="B581" s="12" t="s">
        <v>11</v>
      </c>
      <c r="C581" s="13" t="s">
        <v>676</v>
      </c>
      <c r="D581" s="14">
        <v>2</v>
      </c>
      <c r="E581" s="15">
        <v>0</v>
      </c>
      <c r="F581" s="16">
        <v>0</v>
      </c>
      <c r="G581" s="15">
        <v>0</v>
      </c>
      <c r="H581" s="17">
        <v>0</v>
      </c>
      <c r="I581" s="311">
        <v>0</v>
      </c>
      <c r="J581" s="312">
        <v>0</v>
      </c>
      <c r="K581" s="410">
        <v>0</v>
      </c>
      <c r="L581" s="427">
        <v>0</v>
      </c>
      <c r="M581" s="1" t="s">
        <v>171</v>
      </c>
      <c r="O581"/>
      <c r="P581"/>
      <c r="Q581"/>
    </row>
    <row r="582" spans="1:17" s="1" customFormat="1" ht="18.25" customHeight="1" outlineLevel="2">
      <c r="A582" s="570"/>
      <c r="B582" s="5" t="s">
        <v>11</v>
      </c>
      <c r="C582" s="6" t="s">
        <v>322</v>
      </c>
      <c r="D582" s="7" t="s">
        <v>40</v>
      </c>
      <c r="E582" s="8">
        <v>0</v>
      </c>
      <c r="F582" s="9">
        <v>0</v>
      </c>
      <c r="G582" s="8">
        <v>0</v>
      </c>
      <c r="H582" s="10">
        <v>0</v>
      </c>
      <c r="I582" s="310">
        <v>0</v>
      </c>
      <c r="J582" s="405">
        <v>0</v>
      </c>
      <c r="K582" s="409">
        <v>0</v>
      </c>
      <c r="L582" s="426"/>
      <c r="O582"/>
      <c r="P582"/>
      <c r="Q582"/>
    </row>
    <row r="583" spans="1:17" s="1" customFormat="1" ht="18.25" customHeight="1" outlineLevel="2">
      <c r="A583" s="570"/>
      <c r="B583" s="5" t="s">
        <v>11</v>
      </c>
      <c r="C583" s="39" t="s">
        <v>622</v>
      </c>
      <c r="D583" s="7" t="s">
        <v>17</v>
      </c>
      <c r="E583" s="8">
        <v>0</v>
      </c>
      <c r="F583" s="9">
        <v>0</v>
      </c>
      <c r="G583" s="8">
        <v>0</v>
      </c>
      <c r="H583" s="10">
        <v>0</v>
      </c>
      <c r="I583" s="310">
        <v>0</v>
      </c>
      <c r="J583" s="405">
        <v>0</v>
      </c>
      <c r="K583" s="409">
        <v>0</v>
      </c>
      <c r="L583" s="426"/>
      <c r="O583"/>
      <c r="P583"/>
      <c r="Q583"/>
    </row>
    <row r="584" spans="1:17" s="1" customFormat="1" ht="18.25" customHeight="1" outlineLevel="2">
      <c r="A584" s="570"/>
      <c r="B584" s="5" t="s">
        <v>11</v>
      </c>
      <c r="C584" s="74" t="s">
        <v>783</v>
      </c>
      <c r="D584" s="45"/>
      <c r="E584" s="8">
        <v>0</v>
      </c>
      <c r="F584" s="9">
        <v>0</v>
      </c>
      <c r="G584" s="8">
        <v>0</v>
      </c>
      <c r="H584" s="10">
        <v>0</v>
      </c>
      <c r="I584" s="318">
        <v>0</v>
      </c>
      <c r="J584" s="407">
        <v>0</v>
      </c>
      <c r="K584" s="414">
        <v>0</v>
      </c>
      <c r="L584" s="435"/>
      <c r="O584"/>
      <c r="P584"/>
      <c r="Q584"/>
    </row>
    <row r="585" spans="1:17" s="1" customFormat="1" ht="18.25" customHeight="1" outlineLevel="1">
      <c r="A585" s="570"/>
      <c r="B585" s="12" t="s">
        <v>11</v>
      </c>
      <c r="C585" s="13" t="s">
        <v>322</v>
      </c>
      <c r="D585" s="14">
        <v>2</v>
      </c>
      <c r="E585" s="15">
        <v>0</v>
      </c>
      <c r="F585" s="16">
        <v>0</v>
      </c>
      <c r="G585" s="15">
        <v>0</v>
      </c>
      <c r="H585" s="17">
        <v>0</v>
      </c>
      <c r="I585" s="311">
        <v>0</v>
      </c>
      <c r="J585" s="312">
        <v>0</v>
      </c>
      <c r="K585" s="410">
        <v>0</v>
      </c>
      <c r="L585" s="427">
        <v>0</v>
      </c>
      <c r="M585" s="1" t="s">
        <v>51</v>
      </c>
      <c r="O585"/>
      <c r="P585"/>
      <c r="Q585"/>
    </row>
    <row r="586" spans="1:17" s="1" customFormat="1" ht="18.25" customHeight="1" outlineLevel="2">
      <c r="A586" s="570"/>
      <c r="B586" s="5" t="s">
        <v>11</v>
      </c>
      <c r="C586" s="39" t="s">
        <v>366</v>
      </c>
      <c r="D586" s="7" t="s">
        <v>40</v>
      </c>
      <c r="E586" s="8">
        <v>0</v>
      </c>
      <c r="F586" s="9">
        <v>0</v>
      </c>
      <c r="G586" s="8">
        <v>0</v>
      </c>
      <c r="H586" s="10">
        <v>0</v>
      </c>
      <c r="I586" s="310">
        <v>0</v>
      </c>
      <c r="J586" s="405">
        <v>0</v>
      </c>
      <c r="K586" s="409">
        <v>0</v>
      </c>
      <c r="L586" s="426"/>
      <c r="O586"/>
      <c r="P586"/>
      <c r="Q586"/>
    </row>
    <row r="587" spans="1:17" s="1" customFormat="1" ht="18.25" customHeight="1" outlineLevel="2">
      <c r="A587" s="570"/>
      <c r="B587" s="5" t="s">
        <v>11</v>
      </c>
      <c r="C587" s="39" t="s">
        <v>897</v>
      </c>
      <c r="D587" s="7" t="s">
        <v>17</v>
      </c>
      <c r="E587" s="8">
        <v>0</v>
      </c>
      <c r="F587" s="9">
        <v>0</v>
      </c>
      <c r="G587" s="8">
        <v>0</v>
      </c>
      <c r="H587" s="10">
        <v>0</v>
      </c>
      <c r="I587" s="310">
        <v>0</v>
      </c>
      <c r="J587" s="405">
        <v>0</v>
      </c>
      <c r="K587" s="409">
        <v>0</v>
      </c>
      <c r="L587" s="426"/>
      <c r="O587"/>
      <c r="P587"/>
      <c r="Q587"/>
    </row>
    <row r="588" spans="1:17" s="1" customFormat="1" ht="18.25" customHeight="1" outlineLevel="2">
      <c r="A588" s="570"/>
      <c r="B588" s="5" t="s">
        <v>11</v>
      </c>
      <c r="C588" s="39" t="s">
        <v>629</v>
      </c>
      <c r="D588" s="7" t="s">
        <v>17</v>
      </c>
      <c r="E588" s="8">
        <v>0</v>
      </c>
      <c r="F588" s="9">
        <v>0</v>
      </c>
      <c r="G588" s="8">
        <v>0</v>
      </c>
      <c r="H588" s="10">
        <v>0</v>
      </c>
      <c r="I588" s="310">
        <v>0</v>
      </c>
      <c r="J588" s="405">
        <v>0</v>
      </c>
      <c r="K588" s="409">
        <v>0</v>
      </c>
      <c r="L588" s="426"/>
      <c r="O588"/>
      <c r="P588"/>
      <c r="Q588"/>
    </row>
    <row r="589" spans="1:17" s="1" customFormat="1" ht="18.25" customHeight="1" outlineLevel="1">
      <c r="A589" s="570"/>
      <c r="B589" s="12" t="s">
        <v>11</v>
      </c>
      <c r="C589" s="13" t="s">
        <v>366</v>
      </c>
      <c r="D589" s="14">
        <v>3</v>
      </c>
      <c r="E589" s="15">
        <v>0</v>
      </c>
      <c r="F589" s="16">
        <v>0</v>
      </c>
      <c r="G589" s="15">
        <v>0</v>
      </c>
      <c r="H589" s="17">
        <v>0</v>
      </c>
      <c r="I589" s="311">
        <v>0</v>
      </c>
      <c r="J589" s="312">
        <v>0</v>
      </c>
      <c r="K589" s="410">
        <v>0</v>
      </c>
      <c r="L589" s="427">
        <v>0</v>
      </c>
      <c r="M589" s="1" t="s">
        <v>51</v>
      </c>
      <c r="O589"/>
      <c r="P589"/>
      <c r="Q589"/>
    </row>
    <row r="590" spans="1:17" s="1" customFormat="1" ht="18.25" customHeight="1" outlineLevel="2">
      <c r="A590" s="570"/>
      <c r="B590" s="5" t="s">
        <v>11</v>
      </c>
      <c r="C590" s="39" t="s">
        <v>334</v>
      </c>
      <c r="D590" s="7" t="s">
        <v>40</v>
      </c>
      <c r="E590" s="8">
        <v>0</v>
      </c>
      <c r="F590" s="9">
        <v>0</v>
      </c>
      <c r="G590" s="8">
        <v>0</v>
      </c>
      <c r="H590" s="10">
        <v>0</v>
      </c>
      <c r="I590" s="310">
        <v>0</v>
      </c>
      <c r="J590" s="405">
        <v>0</v>
      </c>
      <c r="K590" s="409">
        <v>0</v>
      </c>
      <c r="L590" s="426"/>
      <c r="O590"/>
      <c r="P590"/>
      <c r="Q590"/>
    </row>
    <row r="591" spans="1:17" s="1" customFormat="1" ht="18.25" customHeight="1" outlineLevel="2">
      <c r="A591" s="570"/>
      <c r="B591" s="5" t="s">
        <v>11</v>
      </c>
      <c r="C591" s="39" t="s">
        <v>379</v>
      </c>
      <c r="D591" s="7" t="s">
        <v>17</v>
      </c>
      <c r="E591" s="8">
        <v>0</v>
      </c>
      <c r="F591" s="9">
        <v>0</v>
      </c>
      <c r="G591" s="8">
        <v>0</v>
      </c>
      <c r="H591" s="10">
        <v>0</v>
      </c>
      <c r="I591" s="310">
        <v>0</v>
      </c>
      <c r="J591" s="405">
        <v>0</v>
      </c>
      <c r="K591" s="409">
        <v>0</v>
      </c>
      <c r="L591" s="426"/>
      <c r="O591"/>
      <c r="P591"/>
      <c r="Q591"/>
    </row>
    <row r="592" spans="1:17" s="1" customFormat="1" ht="18.25" customHeight="1" outlineLevel="1">
      <c r="A592" s="570"/>
      <c r="B592" s="12" t="s">
        <v>11</v>
      </c>
      <c r="C592" s="13" t="s">
        <v>334</v>
      </c>
      <c r="D592" s="14">
        <v>2</v>
      </c>
      <c r="E592" s="15">
        <v>0</v>
      </c>
      <c r="F592" s="16">
        <v>0</v>
      </c>
      <c r="G592" s="15">
        <v>0</v>
      </c>
      <c r="H592" s="17">
        <v>0</v>
      </c>
      <c r="I592" s="311">
        <v>0</v>
      </c>
      <c r="J592" s="312">
        <v>0</v>
      </c>
      <c r="K592" s="410">
        <v>0</v>
      </c>
      <c r="L592" s="427">
        <v>0</v>
      </c>
      <c r="M592" s="1" t="s">
        <v>51</v>
      </c>
      <c r="O592"/>
      <c r="P592"/>
      <c r="Q592"/>
    </row>
    <row r="593" spans="1:17" s="1" customFormat="1" ht="18.25" customHeight="1" outlineLevel="2">
      <c r="A593" s="570"/>
      <c r="B593" s="5" t="s">
        <v>11</v>
      </c>
      <c r="C593" s="39" t="s">
        <v>367</v>
      </c>
      <c r="D593" s="7" t="s">
        <v>25</v>
      </c>
      <c r="E593" s="8">
        <v>0</v>
      </c>
      <c r="F593" s="9">
        <v>0</v>
      </c>
      <c r="G593" s="8">
        <v>0</v>
      </c>
      <c r="H593" s="10">
        <v>0</v>
      </c>
      <c r="I593" s="310">
        <v>0</v>
      </c>
      <c r="J593" s="405">
        <v>0</v>
      </c>
      <c r="K593" s="409">
        <v>0</v>
      </c>
      <c r="L593" s="426"/>
      <c r="O593"/>
      <c r="P593"/>
      <c r="Q593"/>
    </row>
    <row r="594" spans="1:17" s="1" customFormat="1" ht="18.25" customHeight="1" outlineLevel="2">
      <c r="A594" s="570"/>
      <c r="B594" s="5" t="s">
        <v>11</v>
      </c>
      <c r="C594" s="39" t="s">
        <v>758</v>
      </c>
      <c r="D594" s="7" t="s">
        <v>17</v>
      </c>
      <c r="E594" s="8">
        <v>0</v>
      </c>
      <c r="F594" s="9">
        <v>0</v>
      </c>
      <c r="G594" s="8">
        <v>0</v>
      </c>
      <c r="H594" s="10">
        <v>0</v>
      </c>
      <c r="I594" s="310">
        <v>0</v>
      </c>
      <c r="J594" s="405">
        <v>0</v>
      </c>
      <c r="K594" s="409">
        <v>0</v>
      </c>
      <c r="L594" s="426"/>
      <c r="O594"/>
      <c r="P594"/>
      <c r="Q594"/>
    </row>
    <row r="595" spans="1:17" s="1" customFormat="1" ht="18.25" customHeight="1" outlineLevel="1">
      <c r="A595" s="570"/>
      <c r="B595" s="12" t="s">
        <v>11</v>
      </c>
      <c r="C595" s="13" t="s">
        <v>367</v>
      </c>
      <c r="D595" s="14">
        <v>2</v>
      </c>
      <c r="E595" s="15">
        <v>0</v>
      </c>
      <c r="F595" s="16">
        <v>0</v>
      </c>
      <c r="G595" s="15">
        <v>0</v>
      </c>
      <c r="H595" s="17">
        <v>0</v>
      </c>
      <c r="I595" s="311">
        <v>0</v>
      </c>
      <c r="J595" s="312">
        <v>0</v>
      </c>
      <c r="K595" s="410">
        <v>0</v>
      </c>
      <c r="L595" s="427">
        <v>0</v>
      </c>
      <c r="M595" s="1" t="s">
        <v>169</v>
      </c>
      <c r="O595"/>
      <c r="P595"/>
      <c r="Q595"/>
    </row>
    <row r="596" spans="1:17" s="1" customFormat="1" ht="18.25" customHeight="1" outlineLevel="2">
      <c r="A596" s="570"/>
      <c r="B596" s="5" t="s">
        <v>11</v>
      </c>
      <c r="C596" s="39" t="s">
        <v>483</v>
      </c>
      <c r="D596" s="7" t="s">
        <v>25</v>
      </c>
      <c r="E596" s="8">
        <v>0</v>
      </c>
      <c r="F596" s="9">
        <v>0</v>
      </c>
      <c r="G596" s="8">
        <v>0</v>
      </c>
      <c r="H596" s="10">
        <v>0</v>
      </c>
      <c r="I596" s="310">
        <v>0</v>
      </c>
      <c r="J596" s="405">
        <v>0</v>
      </c>
      <c r="K596" s="409">
        <v>0</v>
      </c>
      <c r="L596" s="426"/>
      <c r="O596"/>
      <c r="P596"/>
      <c r="Q596"/>
    </row>
    <row r="597" spans="1:17" s="1" customFormat="1" ht="18.25" customHeight="1" outlineLevel="2">
      <c r="A597" s="570"/>
      <c r="B597" s="5" t="s">
        <v>11</v>
      </c>
      <c r="C597" s="39" t="s">
        <v>524</v>
      </c>
      <c r="D597" s="7" t="s">
        <v>17</v>
      </c>
      <c r="E597" s="8">
        <v>0</v>
      </c>
      <c r="F597" s="9">
        <v>0</v>
      </c>
      <c r="G597" s="8">
        <v>0</v>
      </c>
      <c r="H597" s="10">
        <v>0</v>
      </c>
      <c r="I597" s="310">
        <v>0</v>
      </c>
      <c r="J597" s="405">
        <v>0</v>
      </c>
      <c r="K597" s="409">
        <v>0</v>
      </c>
      <c r="L597" s="426"/>
      <c r="O597"/>
      <c r="P597"/>
      <c r="Q597"/>
    </row>
    <row r="598" spans="1:17" s="1" customFormat="1" ht="18.25" customHeight="1" outlineLevel="1">
      <c r="A598" s="570"/>
      <c r="B598" s="12" t="s">
        <v>11</v>
      </c>
      <c r="C598" s="13" t="s">
        <v>483</v>
      </c>
      <c r="D598" s="14">
        <v>2</v>
      </c>
      <c r="E598" s="15">
        <v>0</v>
      </c>
      <c r="F598" s="16">
        <v>0</v>
      </c>
      <c r="G598" s="15">
        <v>0</v>
      </c>
      <c r="H598" s="17">
        <v>0</v>
      </c>
      <c r="I598" s="311">
        <v>0</v>
      </c>
      <c r="J598" s="312">
        <v>0</v>
      </c>
      <c r="K598" s="410">
        <v>0</v>
      </c>
      <c r="L598" s="427">
        <v>0</v>
      </c>
      <c r="M598" s="1" t="s">
        <v>169</v>
      </c>
      <c r="O598"/>
      <c r="P598"/>
      <c r="Q598"/>
    </row>
    <row r="599" spans="1:17" s="1" customFormat="1" ht="18.25" customHeight="1" outlineLevel="2">
      <c r="A599" s="570"/>
      <c r="B599" s="5" t="s">
        <v>11</v>
      </c>
      <c r="C599" s="6" t="s">
        <v>162</v>
      </c>
      <c r="D599" s="7" t="s">
        <v>22</v>
      </c>
      <c r="E599" s="8">
        <v>0</v>
      </c>
      <c r="F599" s="9">
        <v>0</v>
      </c>
      <c r="G599" s="8">
        <v>0</v>
      </c>
      <c r="H599" s="10">
        <v>0</v>
      </c>
      <c r="I599" s="310">
        <v>0</v>
      </c>
      <c r="J599" s="405">
        <v>0</v>
      </c>
      <c r="K599" s="409">
        <v>0</v>
      </c>
      <c r="L599" s="426"/>
      <c r="O599"/>
      <c r="P599"/>
      <c r="Q599"/>
    </row>
    <row r="600" spans="1:17" s="1" customFormat="1" ht="18.25" customHeight="1" outlineLevel="2">
      <c r="A600" s="570"/>
      <c r="B600" s="5" t="s">
        <v>11</v>
      </c>
      <c r="C600" s="18" t="s">
        <v>225</v>
      </c>
      <c r="D600" s="7" t="s">
        <v>17</v>
      </c>
      <c r="E600" s="8">
        <v>0</v>
      </c>
      <c r="F600" s="9">
        <v>0</v>
      </c>
      <c r="G600" s="8">
        <v>0</v>
      </c>
      <c r="H600" s="10">
        <v>0</v>
      </c>
      <c r="I600" s="310">
        <v>0</v>
      </c>
      <c r="J600" s="405">
        <v>0</v>
      </c>
      <c r="K600" s="409">
        <v>0</v>
      </c>
      <c r="L600" s="426"/>
      <c r="O600"/>
      <c r="P600"/>
      <c r="Q600"/>
    </row>
    <row r="601" spans="1:17" s="1" customFormat="1" ht="18.25" customHeight="1" outlineLevel="2">
      <c r="A601" s="570"/>
      <c r="B601" s="5" t="s">
        <v>11</v>
      </c>
      <c r="C601" s="18" t="s">
        <v>163</v>
      </c>
      <c r="D601" s="7" t="s">
        <v>17</v>
      </c>
      <c r="E601" s="8">
        <v>0</v>
      </c>
      <c r="F601" s="9">
        <v>0</v>
      </c>
      <c r="G601" s="8">
        <v>0</v>
      </c>
      <c r="H601" s="10">
        <v>0</v>
      </c>
      <c r="I601" s="310">
        <v>0</v>
      </c>
      <c r="J601" s="405">
        <v>0</v>
      </c>
      <c r="K601" s="409">
        <v>0</v>
      </c>
      <c r="L601" s="426"/>
      <c r="O601"/>
      <c r="P601"/>
      <c r="Q601"/>
    </row>
    <row r="602" spans="1:17" s="1" customFormat="1" ht="18.25" customHeight="1" outlineLevel="1">
      <c r="A602" s="570"/>
      <c r="B602" s="12" t="s">
        <v>11</v>
      </c>
      <c r="C602" s="13" t="s">
        <v>162</v>
      </c>
      <c r="D602" s="14">
        <v>3</v>
      </c>
      <c r="E602" s="27">
        <v>0</v>
      </c>
      <c r="F602" s="28">
        <v>0</v>
      </c>
      <c r="G602" s="27">
        <v>0</v>
      </c>
      <c r="H602" s="29">
        <v>0</v>
      </c>
      <c r="I602" s="323">
        <v>0</v>
      </c>
      <c r="J602" s="324">
        <v>0</v>
      </c>
      <c r="K602" s="416">
        <v>0</v>
      </c>
      <c r="L602" s="436">
        <v>0</v>
      </c>
      <c r="M602" s="1" t="s">
        <v>171</v>
      </c>
      <c r="O602"/>
      <c r="P602"/>
      <c r="Q602"/>
    </row>
    <row r="603" spans="1:17" s="1" customFormat="1" ht="18.25" customHeight="1" outlineLevel="2">
      <c r="A603" s="570"/>
      <c r="B603" s="5" t="s">
        <v>11</v>
      </c>
      <c r="C603" s="6" t="s">
        <v>164</v>
      </c>
      <c r="D603" s="30" t="s">
        <v>40</v>
      </c>
      <c r="E603" s="8">
        <v>0</v>
      </c>
      <c r="F603" s="9">
        <v>0</v>
      </c>
      <c r="G603" s="8">
        <v>0</v>
      </c>
      <c r="H603" s="10">
        <v>0</v>
      </c>
      <c r="I603" s="310">
        <v>0</v>
      </c>
      <c r="J603" s="405">
        <v>0</v>
      </c>
      <c r="K603" s="409">
        <v>0</v>
      </c>
      <c r="L603" s="426"/>
      <c r="O603"/>
      <c r="P603"/>
      <c r="Q603"/>
    </row>
    <row r="604" spans="1:17" s="1" customFormat="1" ht="18.25" customHeight="1" outlineLevel="2">
      <c r="A604" s="570"/>
      <c r="B604" s="5" t="s">
        <v>11</v>
      </c>
      <c r="C604" s="39" t="s">
        <v>751</v>
      </c>
      <c r="D604" s="46" t="s">
        <v>17</v>
      </c>
      <c r="E604" s="8">
        <v>0</v>
      </c>
      <c r="F604" s="9">
        <v>0</v>
      </c>
      <c r="G604" s="8">
        <v>0</v>
      </c>
      <c r="H604" s="10">
        <v>0</v>
      </c>
      <c r="I604" s="310">
        <v>0</v>
      </c>
      <c r="J604" s="405">
        <v>0</v>
      </c>
      <c r="K604" s="409">
        <v>0</v>
      </c>
      <c r="L604" s="426"/>
      <c r="O604"/>
      <c r="P604"/>
      <c r="Q604"/>
    </row>
    <row r="605" spans="1:17" s="1" customFormat="1" ht="18.25" customHeight="1" outlineLevel="2">
      <c r="A605" s="570"/>
      <c r="B605" s="5" t="s">
        <v>11</v>
      </c>
      <c r="C605" s="39" t="s">
        <v>655</v>
      </c>
      <c r="D605" s="46" t="s">
        <v>17</v>
      </c>
      <c r="E605" s="8">
        <v>0</v>
      </c>
      <c r="F605" s="9">
        <v>0</v>
      </c>
      <c r="G605" s="8">
        <v>0</v>
      </c>
      <c r="H605" s="10">
        <v>0</v>
      </c>
      <c r="I605" s="310">
        <v>0</v>
      </c>
      <c r="J605" s="405">
        <v>0</v>
      </c>
      <c r="K605" s="409">
        <v>0</v>
      </c>
      <c r="L605" s="426"/>
      <c r="O605"/>
      <c r="P605"/>
      <c r="Q605"/>
    </row>
    <row r="606" spans="1:17" s="1" customFormat="1" ht="18.25" customHeight="1" outlineLevel="2">
      <c r="A606" s="570"/>
      <c r="B606" s="5" t="s">
        <v>11</v>
      </c>
      <c r="C606" s="39" t="s">
        <v>809</v>
      </c>
      <c r="D606" s="46" t="s">
        <v>17</v>
      </c>
      <c r="E606" s="8">
        <v>0</v>
      </c>
      <c r="F606" s="9">
        <v>0</v>
      </c>
      <c r="G606" s="8">
        <v>0</v>
      </c>
      <c r="H606" s="10">
        <v>0</v>
      </c>
      <c r="I606" s="310">
        <v>0</v>
      </c>
      <c r="J606" s="405">
        <v>0</v>
      </c>
      <c r="K606" s="409">
        <v>0</v>
      </c>
      <c r="L606" s="426"/>
      <c r="O606"/>
      <c r="P606"/>
      <c r="Q606"/>
    </row>
    <row r="607" spans="1:17" s="1" customFormat="1" ht="18.25" customHeight="1" outlineLevel="2">
      <c r="A607" s="570"/>
      <c r="B607" s="5" t="s">
        <v>11</v>
      </c>
      <c r="C607" s="6" t="s">
        <v>165</v>
      </c>
      <c r="D607" s="30" t="s">
        <v>17</v>
      </c>
      <c r="E607" s="8">
        <v>0</v>
      </c>
      <c r="F607" s="9">
        <v>0</v>
      </c>
      <c r="G607" s="8">
        <v>2</v>
      </c>
      <c r="H607" s="10">
        <v>50626</v>
      </c>
      <c r="I607" s="310">
        <v>1</v>
      </c>
      <c r="J607" s="405">
        <v>1</v>
      </c>
      <c r="K607" s="409">
        <v>1</v>
      </c>
      <c r="L607" s="426"/>
      <c r="O607"/>
      <c r="P607"/>
      <c r="Q607"/>
    </row>
    <row r="608" spans="1:17" s="1" customFormat="1" ht="18.25" customHeight="1" outlineLevel="1">
      <c r="A608" s="570"/>
      <c r="B608" s="12" t="s">
        <v>11</v>
      </c>
      <c r="C608" s="13" t="s">
        <v>164</v>
      </c>
      <c r="D608" s="14">
        <v>5</v>
      </c>
      <c r="E608" s="15">
        <v>0</v>
      </c>
      <c r="F608" s="16">
        <v>0</v>
      </c>
      <c r="G608" s="15">
        <v>2</v>
      </c>
      <c r="H608" s="17">
        <v>50626</v>
      </c>
      <c r="I608" s="311">
        <v>1</v>
      </c>
      <c r="J608" s="312">
        <v>1</v>
      </c>
      <c r="K608" s="410">
        <v>1</v>
      </c>
      <c r="L608" s="427">
        <v>0</v>
      </c>
      <c r="M608" s="1" t="s">
        <v>51</v>
      </c>
      <c r="O608"/>
      <c r="P608"/>
      <c r="Q608"/>
    </row>
    <row r="609" spans="1:17" s="1" customFormat="1" ht="18.25" customHeight="1" outlineLevel="2">
      <c r="A609" s="570"/>
      <c r="B609" s="5" t="s">
        <v>11</v>
      </c>
      <c r="C609" s="6" t="s">
        <v>166</v>
      </c>
      <c r="D609" s="30" t="s">
        <v>22</v>
      </c>
      <c r="E609" s="8">
        <v>0</v>
      </c>
      <c r="F609" s="9">
        <v>0</v>
      </c>
      <c r="G609" s="8">
        <v>0</v>
      </c>
      <c r="H609" s="10">
        <v>0</v>
      </c>
      <c r="I609" s="310">
        <v>0</v>
      </c>
      <c r="J609" s="405">
        <v>0</v>
      </c>
      <c r="K609" s="409">
        <v>0</v>
      </c>
      <c r="L609" s="426"/>
      <c r="O609"/>
      <c r="P609"/>
      <c r="Q609"/>
    </row>
    <row r="610" spans="1:17" s="1" customFormat="1" ht="18.25" customHeight="1" outlineLevel="2">
      <c r="A610" s="570"/>
      <c r="B610" s="5" t="s">
        <v>11</v>
      </c>
      <c r="C610" s="6" t="s">
        <v>313</v>
      </c>
      <c r="D610" s="30" t="s">
        <v>17</v>
      </c>
      <c r="E610" s="8">
        <v>0</v>
      </c>
      <c r="F610" s="9">
        <v>0</v>
      </c>
      <c r="G610" s="8">
        <v>0</v>
      </c>
      <c r="H610" s="10">
        <v>0</v>
      </c>
      <c r="I610" s="310">
        <v>0</v>
      </c>
      <c r="J610" s="405">
        <v>0</v>
      </c>
      <c r="K610" s="409">
        <v>0</v>
      </c>
      <c r="L610" s="426"/>
      <c r="O610"/>
      <c r="P610"/>
      <c r="Q610"/>
    </row>
    <row r="611" spans="1:17" s="1" customFormat="1" ht="18.25" customHeight="1" outlineLevel="2">
      <c r="A611" s="570"/>
      <c r="B611" s="5" t="s">
        <v>11</v>
      </c>
      <c r="C611" s="6" t="s">
        <v>321</v>
      </c>
      <c r="D611" s="30" t="s">
        <v>17</v>
      </c>
      <c r="E611" s="8">
        <v>0</v>
      </c>
      <c r="F611" s="9">
        <v>0</v>
      </c>
      <c r="G611" s="8">
        <v>0</v>
      </c>
      <c r="H611" s="10">
        <v>0</v>
      </c>
      <c r="I611" s="310">
        <v>0</v>
      </c>
      <c r="J611" s="405">
        <v>0</v>
      </c>
      <c r="K611" s="409">
        <v>0</v>
      </c>
      <c r="L611" s="426"/>
      <c r="O611"/>
      <c r="P611"/>
      <c r="Q611"/>
    </row>
    <row r="612" spans="1:17" s="1" customFormat="1" ht="18.25" customHeight="1" outlineLevel="1">
      <c r="A612" s="570"/>
      <c r="B612" s="12" t="s">
        <v>11</v>
      </c>
      <c r="C612" s="13" t="s">
        <v>213</v>
      </c>
      <c r="D612" s="14">
        <v>3</v>
      </c>
      <c r="E612" s="15">
        <v>0</v>
      </c>
      <c r="F612" s="16">
        <v>0</v>
      </c>
      <c r="G612" s="15">
        <v>0</v>
      </c>
      <c r="H612" s="17">
        <v>0</v>
      </c>
      <c r="I612" s="311">
        <v>0</v>
      </c>
      <c r="J612" s="312">
        <v>0</v>
      </c>
      <c r="K612" s="410">
        <v>0</v>
      </c>
      <c r="L612" s="427">
        <v>0</v>
      </c>
      <c r="M612" s="1" t="s">
        <v>171</v>
      </c>
      <c r="O612"/>
      <c r="P612"/>
      <c r="Q612"/>
    </row>
    <row r="613" spans="1:17" s="1" customFormat="1" ht="18.25" customHeight="1" outlineLevel="2">
      <c r="A613" s="570"/>
      <c r="B613" s="5" t="s">
        <v>186</v>
      </c>
      <c r="C613" s="18" t="s">
        <v>806</v>
      </c>
      <c r="D613" s="527" t="s">
        <v>576</v>
      </c>
      <c r="E613" s="8">
        <v>0</v>
      </c>
      <c r="F613" s="9">
        <v>0</v>
      </c>
      <c r="G613" s="8">
        <v>0</v>
      </c>
      <c r="H613" s="10">
        <v>0</v>
      </c>
      <c r="I613" s="318"/>
      <c r="J613" s="407"/>
      <c r="K613" s="414"/>
      <c r="L613" s="435"/>
      <c r="O613"/>
      <c r="P613"/>
      <c r="Q613"/>
    </row>
    <row r="614" spans="1:17" s="1" customFormat="1" ht="18.25" customHeight="1" outlineLevel="1">
      <c r="A614" s="570"/>
      <c r="B614" s="12" t="s">
        <v>186</v>
      </c>
      <c r="C614" s="13" t="s">
        <v>806</v>
      </c>
      <c r="D614" s="526"/>
      <c r="E614" s="31">
        <v>0</v>
      </c>
      <c r="F614" s="32">
        <v>0</v>
      </c>
      <c r="G614" s="31">
        <v>0</v>
      </c>
      <c r="H614" s="33">
        <v>0</v>
      </c>
      <c r="I614" s="327"/>
      <c r="J614" s="328"/>
      <c r="K614" s="414"/>
      <c r="L614" s="438"/>
      <c r="M614" s="251"/>
      <c r="O614"/>
      <c r="P614"/>
      <c r="Q614"/>
    </row>
    <row r="615" spans="1:17" s="1" customFormat="1" ht="18.25" customHeight="1" outlineLevel="2">
      <c r="A615" s="570"/>
      <c r="B615" s="5" t="s">
        <v>4</v>
      </c>
      <c r="C615" s="6" t="s">
        <v>159</v>
      </c>
      <c r="D615" s="19" t="s">
        <v>40</v>
      </c>
      <c r="E615" s="8">
        <v>0</v>
      </c>
      <c r="F615" s="9">
        <v>0</v>
      </c>
      <c r="G615" s="8">
        <v>0</v>
      </c>
      <c r="H615" s="10">
        <v>0</v>
      </c>
      <c r="I615" s="310">
        <v>0</v>
      </c>
      <c r="J615" s="405">
        <v>0</v>
      </c>
      <c r="K615" s="409">
        <v>0</v>
      </c>
      <c r="L615" s="426"/>
      <c r="O615"/>
      <c r="P615"/>
      <c r="Q615"/>
    </row>
    <row r="616" spans="1:17" s="1" customFormat="1" ht="18.25" customHeight="1" outlineLevel="2">
      <c r="A616" s="570"/>
      <c r="B616" s="5" t="s">
        <v>4</v>
      </c>
      <c r="C616" s="6" t="s">
        <v>910</v>
      </c>
      <c r="D616" s="19" t="s">
        <v>27</v>
      </c>
      <c r="E616" s="8">
        <v>0</v>
      </c>
      <c r="F616" s="9">
        <v>0</v>
      </c>
      <c r="G616" s="8">
        <v>0</v>
      </c>
      <c r="H616" s="10">
        <v>0</v>
      </c>
      <c r="I616" s="310">
        <v>0</v>
      </c>
      <c r="J616" s="405">
        <v>0</v>
      </c>
      <c r="K616" s="409">
        <v>0</v>
      </c>
      <c r="L616" s="426"/>
      <c r="O616"/>
      <c r="P616"/>
      <c r="Q616"/>
    </row>
    <row r="617" spans="1:17" s="1" customFormat="1" ht="18.25" customHeight="1" outlineLevel="2">
      <c r="A617" s="570"/>
      <c r="B617" s="5" t="s">
        <v>4</v>
      </c>
      <c r="C617" s="6" t="s">
        <v>325</v>
      </c>
      <c r="D617" s="19" t="s">
        <v>27</v>
      </c>
      <c r="E617" s="8">
        <v>0</v>
      </c>
      <c r="F617" s="9">
        <v>0</v>
      </c>
      <c r="G617" s="8">
        <v>0</v>
      </c>
      <c r="H617" s="10">
        <v>0</v>
      </c>
      <c r="I617" s="310">
        <v>0</v>
      </c>
      <c r="J617" s="405">
        <v>0</v>
      </c>
      <c r="K617" s="409">
        <v>0</v>
      </c>
      <c r="L617" s="426"/>
      <c r="O617"/>
      <c r="P617"/>
      <c r="Q617"/>
    </row>
    <row r="618" spans="1:17" s="1" customFormat="1" ht="18.25" customHeight="1" outlineLevel="2">
      <c r="A618" s="570"/>
      <c r="B618" s="5" t="s">
        <v>4</v>
      </c>
      <c r="C618" s="6" t="s">
        <v>253</v>
      </c>
      <c r="D618" s="19" t="s">
        <v>27</v>
      </c>
      <c r="E618" s="8">
        <v>0</v>
      </c>
      <c r="F618" s="9">
        <v>0</v>
      </c>
      <c r="G618" s="8">
        <v>0</v>
      </c>
      <c r="H618" s="10">
        <v>0</v>
      </c>
      <c r="I618" s="310">
        <v>0</v>
      </c>
      <c r="J618" s="405">
        <v>0</v>
      </c>
      <c r="K618" s="409">
        <v>0</v>
      </c>
      <c r="L618" s="426"/>
      <c r="O618"/>
      <c r="P618"/>
      <c r="Q618"/>
    </row>
    <row r="619" spans="1:17" s="1" customFormat="1" ht="18.25" customHeight="1" outlineLevel="2">
      <c r="A619" s="570"/>
      <c r="B619" s="5" t="s">
        <v>4</v>
      </c>
      <c r="C619" s="6" t="s">
        <v>250</v>
      </c>
      <c r="D619" s="19" t="s">
        <v>27</v>
      </c>
      <c r="E619" s="8">
        <v>0</v>
      </c>
      <c r="F619" s="9">
        <v>0</v>
      </c>
      <c r="G619" s="8">
        <v>0</v>
      </c>
      <c r="H619" s="10">
        <v>0</v>
      </c>
      <c r="I619" s="310">
        <v>0</v>
      </c>
      <c r="J619" s="405">
        <v>0</v>
      </c>
      <c r="K619" s="409">
        <v>0</v>
      </c>
      <c r="L619" s="426"/>
      <c r="O619"/>
      <c r="P619"/>
      <c r="Q619"/>
    </row>
    <row r="620" spans="1:17" s="1" customFormat="1" ht="18.25" customHeight="1" outlineLevel="2">
      <c r="A620" s="570"/>
      <c r="B620" s="5" t="s">
        <v>4</v>
      </c>
      <c r="C620" s="6" t="s">
        <v>287</v>
      </c>
      <c r="D620" s="7" t="s">
        <v>17</v>
      </c>
      <c r="E620" s="8">
        <v>0</v>
      </c>
      <c r="F620" s="9">
        <v>0</v>
      </c>
      <c r="G620" s="8">
        <v>0</v>
      </c>
      <c r="H620" s="10">
        <v>0</v>
      </c>
      <c r="I620" s="310">
        <v>0</v>
      </c>
      <c r="J620" s="405">
        <v>0</v>
      </c>
      <c r="K620" s="409">
        <v>0</v>
      </c>
      <c r="L620" s="426"/>
      <c r="O620"/>
      <c r="P620"/>
      <c r="Q620"/>
    </row>
    <row r="621" spans="1:17" s="1" customFormat="1" ht="18.25" customHeight="1" outlineLevel="2">
      <c r="A621" s="570"/>
      <c r="B621" s="5" t="s">
        <v>4</v>
      </c>
      <c r="C621" s="11" t="s">
        <v>328</v>
      </c>
      <c r="D621" s="7" t="s">
        <v>17</v>
      </c>
      <c r="E621" s="8">
        <v>0</v>
      </c>
      <c r="F621" s="9">
        <v>0</v>
      </c>
      <c r="G621" s="8">
        <v>0</v>
      </c>
      <c r="H621" s="10">
        <v>0</v>
      </c>
      <c r="I621" s="310">
        <v>0</v>
      </c>
      <c r="J621" s="405">
        <v>0</v>
      </c>
      <c r="K621" s="409">
        <v>0</v>
      </c>
      <c r="L621" s="426"/>
      <c r="O621"/>
      <c r="P621"/>
      <c r="Q621"/>
    </row>
    <row r="622" spans="1:17" s="1" customFormat="1" ht="18.25" customHeight="1" outlineLevel="2">
      <c r="A622" s="570"/>
      <c r="B622" s="5" t="s">
        <v>4</v>
      </c>
      <c r="C622" s="11" t="s">
        <v>219</v>
      </c>
      <c r="D622" s="7" t="s">
        <v>17</v>
      </c>
      <c r="E622" s="8">
        <v>0</v>
      </c>
      <c r="F622" s="9">
        <v>0</v>
      </c>
      <c r="G622" s="8">
        <v>0</v>
      </c>
      <c r="H622" s="10">
        <v>0</v>
      </c>
      <c r="I622" s="310">
        <v>0</v>
      </c>
      <c r="J622" s="405">
        <v>0</v>
      </c>
      <c r="K622" s="409">
        <v>0</v>
      </c>
      <c r="L622" s="426"/>
      <c r="O622"/>
      <c r="P622"/>
      <c r="Q622"/>
    </row>
    <row r="623" spans="1:17" s="1" customFormat="1" ht="18.25" customHeight="1" outlineLevel="1">
      <c r="A623" s="570"/>
      <c r="B623" s="12" t="s">
        <v>4</v>
      </c>
      <c r="C623" s="61" t="s">
        <v>160</v>
      </c>
      <c r="D623" s="14">
        <v>8</v>
      </c>
      <c r="E623" s="15">
        <v>0</v>
      </c>
      <c r="F623" s="16">
        <v>0</v>
      </c>
      <c r="G623" s="15">
        <v>0</v>
      </c>
      <c r="H623" s="17">
        <v>0</v>
      </c>
      <c r="I623" s="311">
        <v>0</v>
      </c>
      <c r="J623" s="312">
        <v>0</v>
      </c>
      <c r="K623" s="410">
        <v>0</v>
      </c>
      <c r="L623" s="427">
        <v>0</v>
      </c>
      <c r="M623" s="1" t="s">
        <v>51</v>
      </c>
      <c r="O623"/>
      <c r="P623"/>
      <c r="Q623"/>
    </row>
    <row r="624" spans="1:17" s="1" customFormat="1" ht="18.25" customHeight="1" outlineLevel="2">
      <c r="A624" s="570"/>
      <c r="B624" s="5" t="s">
        <v>4</v>
      </c>
      <c r="C624" s="39" t="s">
        <v>316</v>
      </c>
      <c r="D624" s="7" t="s">
        <v>759</v>
      </c>
      <c r="E624" s="8">
        <v>0</v>
      </c>
      <c r="F624" s="9">
        <v>0</v>
      </c>
      <c r="G624" s="8">
        <v>0</v>
      </c>
      <c r="H624" s="10">
        <v>0</v>
      </c>
      <c r="I624" s="310">
        <v>0</v>
      </c>
      <c r="J624" s="405">
        <v>0</v>
      </c>
      <c r="K624" s="409">
        <v>0</v>
      </c>
      <c r="L624" s="426"/>
      <c r="O624"/>
      <c r="P624"/>
      <c r="Q624"/>
    </row>
    <row r="625" spans="1:17" s="1" customFormat="1" ht="18.25" customHeight="1" outlineLevel="1">
      <c r="A625" s="570"/>
      <c r="B625" s="12" t="s">
        <v>4</v>
      </c>
      <c r="C625" s="61" t="s">
        <v>316</v>
      </c>
      <c r="D625" s="14">
        <v>1</v>
      </c>
      <c r="E625" s="15">
        <v>0</v>
      </c>
      <c r="F625" s="16">
        <v>0</v>
      </c>
      <c r="G625" s="15">
        <v>0</v>
      </c>
      <c r="H625" s="17">
        <v>0</v>
      </c>
      <c r="I625" s="311">
        <v>0</v>
      </c>
      <c r="J625" s="312">
        <v>0</v>
      </c>
      <c r="K625" s="410">
        <v>0</v>
      </c>
      <c r="L625" s="427">
        <v>0</v>
      </c>
      <c r="M625" s="1" t="s">
        <v>355</v>
      </c>
      <c r="O625"/>
      <c r="P625"/>
      <c r="Q625"/>
    </row>
    <row r="626" spans="1:17" s="1" customFormat="1" ht="18.25" customHeight="1" outlineLevel="2">
      <c r="A626" s="570"/>
      <c r="B626" s="5" t="s">
        <v>187</v>
      </c>
      <c r="C626" s="39" t="s">
        <v>788</v>
      </c>
      <c r="D626" s="525" t="s">
        <v>621</v>
      </c>
      <c r="E626" s="8">
        <v>0</v>
      </c>
      <c r="F626" s="9">
        <v>0</v>
      </c>
      <c r="G626" s="8">
        <v>1</v>
      </c>
      <c r="H626" s="10">
        <v>0</v>
      </c>
      <c r="I626" s="318"/>
      <c r="J626" s="407"/>
      <c r="K626" s="414"/>
      <c r="L626" s="435"/>
      <c r="O626"/>
      <c r="P626"/>
      <c r="Q626"/>
    </row>
    <row r="627" spans="1:17" s="1" customFormat="1" ht="18.25" customHeight="1" outlineLevel="1">
      <c r="A627" s="570"/>
      <c r="B627" s="12" t="s">
        <v>187</v>
      </c>
      <c r="C627" s="13" t="s">
        <v>789</v>
      </c>
      <c r="D627" s="526"/>
      <c r="E627" s="31">
        <v>0</v>
      </c>
      <c r="F627" s="32">
        <v>0</v>
      </c>
      <c r="G627" s="31">
        <v>1</v>
      </c>
      <c r="H627" s="35">
        <v>0</v>
      </c>
      <c r="I627" s="327"/>
      <c r="J627" s="328"/>
      <c r="K627" s="418"/>
      <c r="L627" s="438"/>
      <c r="O627"/>
      <c r="P627"/>
      <c r="Q627"/>
    </row>
    <row r="628" spans="1:17" s="1" customFormat="1" ht="18.25" customHeight="1" outlineLevel="2">
      <c r="A628" s="570"/>
      <c r="B628" s="5" t="s">
        <v>6</v>
      </c>
      <c r="C628" s="6" t="s">
        <v>220</v>
      </c>
      <c r="D628" s="7" t="s">
        <v>22</v>
      </c>
      <c r="E628" s="8">
        <v>0</v>
      </c>
      <c r="F628" s="9">
        <v>0</v>
      </c>
      <c r="G628" s="8">
        <v>0</v>
      </c>
      <c r="H628" s="10">
        <v>0</v>
      </c>
      <c r="I628" s="310">
        <v>0</v>
      </c>
      <c r="J628" s="405">
        <v>0</v>
      </c>
      <c r="K628" s="409">
        <v>0</v>
      </c>
      <c r="L628" s="426"/>
      <c r="O628"/>
      <c r="P628"/>
      <c r="Q628"/>
    </row>
    <row r="629" spans="1:17" s="1" customFormat="1" ht="18.25" customHeight="1" outlineLevel="2">
      <c r="A629" s="570"/>
      <c r="B629" s="5" t="s">
        <v>6</v>
      </c>
      <c r="C629" s="6" t="s">
        <v>383</v>
      </c>
      <c r="D629" s="7" t="s">
        <v>39</v>
      </c>
      <c r="E629" s="8">
        <v>0</v>
      </c>
      <c r="F629" s="9">
        <v>0</v>
      </c>
      <c r="G629" s="8">
        <v>0</v>
      </c>
      <c r="H629" s="10">
        <v>0</v>
      </c>
      <c r="I629" s="310">
        <v>0</v>
      </c>
      <c r="J629" s="405">
        <v>0</v>
      </c>
      <c r="K629" s="409">
        <v>0</v>
      </c>
      <c r="L629" s="426"/>
      <c r="O629"/>
      <c r="P629"/>
      <c r="Q629"/>
    </row>
    <row r="630" spans="1:17" s="1" customFormat="1" ht="18.25" customHeight="1" outlineLevel="1">
      <c r="A630" s="570"/>
      <c r="B630" s="12" t="s">
        <v>6</v>
      </c>
      <c r="C630" s="13" t="s">
        <v>296</v>
      </c>
      <c r="D630" s="14">
        <v>2</v>
      </c>
      <c r="E630" s="15">
        <v>0</v>
      </c>
      <c r="F630" s="16">
        <v>0</v>
      </c>
      <c r="G630" s="15">
        <v>0</v>
      </c>
      <c r="H630" s="17">
        <v>0</v>
      </c>
      <c r="I630" s="311">
        <v>0</v>
      </c>
      <c r="J630" s="312">
        <v>0</v>
      </c>
      <c r="K630" s="410">
        <v>0</v>
      </c>
      <c r="L630" s="427">
        <v>0</v>
      </c>
      <c r="M630" s="1" t="s">
        <v>171</v>
      </c>
      <c r="O630"/>
      <c r="P630"/>
      <c r="Q630"/>
    </row>
    <row r="631" spans="1:17" s="1" customFormat="1" ht="18.25" customHeight="1" outlineLevel="2">
      <c r="A631" s="570"/>
      <c r="B631" s="5" t="s">
        <v>6</v>
      </c>
      <c r="C631" s="6" t="s">
        <v>370</v>
      </c>
      <c r="D631" s="7" t="s">
        <v>237</v>
      </c>
      <c r="E631" s="8">
        <v>3</v>
      </c>
      <c r="F631" s="9">
        <v>20481</v>
      </c>
      <c r="G631" s="8">
        <v>3</v>
      </c>
      <c r="H631" s="10">
        <v>20481</v>
      </c>
      <c r="I631" s="310">
        <v>1</v>
      </c>
      <c r="J631" s="405">
        <v>1</v>
      </c>
      <c r="K631" s="409">
        <v>0</v>
      </c>
      <c r="L631" s="426"/>
      <c r="O631"/>
      <c r="P631"/>
      <c r="Q631"/>
    </row>
    <row r="632" spans="1:17" s="1" customFormat="1" ht="18.25" customHeight="1" outlineLevel="1">
      <c r="A632" s="570"/>
      <c r="B632" s="12" t="s">
        <v>6</v>
      </c>
      <c r="C632" s="13" t="s">
        <v>370</v>
      </c>
      <c r="D632" s="14">
        <v>1</v>
      </c>
      <c r="E632" s="15">
        <v>3</v>
      </c>
      <c r="F632" s="16">
        <v>20481</v>
      </c>
      <c r="G632" s="15">
        <v>3</v>
      </c>
      <c r="H632" s="17">
        <v>20481</v>
      </c>
      <c r="I632" s="311">
        <v>1</v>
      </c>
      <c r="J632" s="312">
        <v>1</v>
      </c>
      <c r="K632" s="410">
        <v>0</v>
      </c>
      <c r="L632" s="427">
        <v>0</v>
      </c>
      <c r="M632" s="1" t="s">
        <v>667</v>
      </c>
      <c r="O632"/>
      <c r="P632"/>
      <c r="Q632"/>
    </row>
    <row r="633" spans="1:17" s="1" customFormat="1" ht="18.25" customHeight="1" outlineLevel="2">
      <c r="A633" s="570"/>
      <c r="B633" s="5" t="s">
        <v>6</v>
      </c>
      <c r="C633" s="18" t="s">
        <v>44</v>
      </c>
      <c r="D633" s="7" t="s">
        <v>20</v>
      </c>
      <c r="E633" s="8">
        <v>0</v>
      </c>
      <c r="F633" s="9">
        <v>0</v>
      </c>
      <c r="G633" s="8">
        <v>0</v>
      </c>
      <c r="H633" s="10">
        <v>0</v>
      </c>
      <c r="I633" s="310">
        <v>0</v>
      </c>
      <c r="J633" s="405">
        <v>0</v>
      </c>
      <c r="K633" s="409">
        <v>0</v>
      </c>
      <c r="L633" s="426"/>
      <c r="O633"/>
      <c r="P633"/>
      <c r="Q633"/>
    </row>
    <row r="634" spans="1:17" s="1" customFormat="1" ht="18.25" customHeight="1" outlineLevel="2">
      <c r="A634" s="570"/>
      <c r="B634" s="5" t="s">
        <v>6</v>
      </c>
      <c r="C634" s="18" t="s">
        <v>652</v>
      </c>
      <c r="D634" s="7" t="s">
        <v>27</v>
      </c>
      <c r="E634" s="8">
        <v>0</v>
      </c>
      <c r="F634" s="9">
        <v>0</v>
      </c>
      <c r="G634" s="8">
        <v>0</v>
      </c>
      <c r="H634" s="10">
        <v>0</v>
      </c>
      <c r="I634" s="310">
        <v>0</v>
      </c>
      <c r="J634" s="405">
        <v>0</v>
      </c>
      <c r="K634" s="409">
        <v>0</v>
      </c>
      <c r="L634" s="426"/>
      <c r="O634"/>
      <c r="P634"/>
      <c r="Q634"/>
    </row>
    <row r="635" spans="1:17" s="1" customFormat="1" ht="18.25" customHeight="1" outlineLevel="1">
      <c r="A635" s="570"/>
      <c r="B635" s="12" t="s">
        <v>6</v>
      </c>
      <c r="C635" s="13" t="s">
        <v>45</v>
      </c>
      <c r="D635" s="14">
        <v>2</v>
      </c>
      <c r="E635" s="15">
        <v>0</v>
      </c>
      <c r="F635" s="16">
        <v>0</v>
      </c>
      <c r="G635" s="15">
        <v>0</v>
      </c>
      <c r="H635" s="17">
        <v>0</v>
      </c>
      <c r="I635" s="311">
        <v>0</v>
      </c>
      <c r="J635" s="312">
        <v>0</v>
      </c>
      <c r="K635" s="410">
        <v>0</v>
      </c>
      <c r="L635" s="427">
        <v>0</v>
      </c>
      <c r="M635" s="1" t="s">
        <v>169</v>
      </c>
      <c r="O635"/>
      <c r="P635"/>
      <c r="Q635"/>
    </row>
    <row r="636" spans="1:17" s="1" customFormat="1" ht="18.25" customHeight="1" outlineLevel="2">
      <c r="A636" s="570"/>
      <c r="B636" s="5" t="s">
        <v>6</v>
      </c>
      <c r="C636" s="18" t="s">
        <v>293</v>
      </c>
      <c r="D636" s="7" t="s">
        <v>497</v>
      </c>
      <c r="E636" s="8">
        <v>1</v>
      </c>
      <c r="F636" s="9">
        <v>34704</v>
      </c>
      <c r="G636" s="8">
        <v>3</v>
      </c>
      <c r="H636" s="10">
        <v>68860</v>
      </c>
      <c r="I636" s="310">
        <v>1</v>
      </c>
      <c r="J636" s="405">
        <v>1</v>
      </c>
      <c r="K636" s="409">
        <v>1</v>
      </c>
      <c r="L636" s="426"/>
      <c r="O636"/>
      <c r="P636"/>
      <c r="Q636"/>
    </row>
    <row r="637" spans="1:17" s="1" customFormat="1" ht="18.25" customHeight="1" outlineLevel="1">
      <c r="A637" s="570"/>
      <c r="B637" s="12" t="s">
        <v>6</v>
      </c>
      <c r="C637" s="13" t="s">
        <v>293</v>
      </c>
      <c r="D637" s="14">
        <v>1</v>
      </c>
      <c r="E637" s="15">
        <v>1</v>
      </c>
      <c r="F637" s="16">
        <v>34704</v>
      </c>
      <c r="G637" s="15">
        <v>3</v>
      </c>
      <c r="H637" s="17">
        <v>68860</v>
      </c>
      <c r="I637" s="311">
        <v>1</v>
      </c>
      <c r="J637" s="312">
        <v>1</v>
      </c>
      <c r="K637" s="410">
        <v>1</v>
      </c>
      <c r="L637" s="427">
        <v>0</v>
      </c>
      <c r="M637" s="1" t="s">
        <v>355</v>
      </c>
      <c r="O637"/>
      <c r="P637"/>
      <c r="Q637"/>
    </row>
    <row r="638" spans="1:17" s="1" customFormat="1" ht="18.25" customHeight="1" outlineLevel="2">
      <c r="A638" s="570"/>
      <c r="B638" s="5" t="s">
        <v>6</v>
      </c>
      <c r="C638" s="39" t="s">
        <v>309</v>
      </c>
      <c r="D638" s="7" t="s">
        <v>22</v>
      </c>
      <c r="E638" s="8">
        <v>0</v>
      </c>
      <c r="F638" s="9">
        <v>0</v>
      </c>
      <c r="G638" s="8">
        <v>0</v>
      </c>
      <c r="H638" s="10">
        <v>0</v>
      </c>
      <c r="I638" s="310">
        <v>0</v>
      </c>
      <c r="J638" s="405">
        <v>0</v>
      </c>
      <c r="K638" s="409">
        <v>0</v>
      </c>
      <c r="L638" s="426"/>
      <c r="O638"/>
      <c r="P638"/>
      <c r="Q638"/>
    </row>
    <row r="639" spans="1:17" s="1" customFormat="1" ht="18.25" customHeight="1" outlineLevel="2">
      <c r="A639" s="570"/>
      <c r="B639" s="5" t="s">
        <v>6</v>
      </c>
      <c r="C639" s="6" t="s">
        <v>260</v>
      </c>
      <c r="D639" s="7" t="s">
        <v>17</v>
      </c>
      <c r="E639" s="8">
        <v>0</v>
      </c>
      <c r="F639" s="9">
        <v>0</v>
      </c>
      <c r="G639" s="8">
        <v>0</v>
      </c>
      <c r="H639" s="10">
        <v>10</v>
      </c>
      <c r="I639" s="310">
        <v>0</v>
      </c>
      <c r="J639" s="405">
        <v>0</v>
      </c>
      <c r="K639" s="409">
        <v>0</v>
      </c>
      <c r="L639" s="426"/>
      <c r="O639"/>
      <c r="P639"/>
      <c r="Q639"/>
    </row>
    <row r="640" spans="1:17" s="1" customFormat="1" ht="18.25" customHeight="1" outlineLevel="2">
      <c r="A640" s="570"/>
      <c r="B640" s="5" t="s">
        <v>6</v>
      </c>
      <c r="C640" s="6" t="s">
        <v>563</v>
      </c>
      <c r="D640" s="7" t="s">
        <v>17</v>
      </c>
      <c r="E640" s="8">
        <v>0</v>
      </c>
      <c r="F640" s="9">
        <v>0</v>
      </c>
      <c r="G640" s="8">
        <v>0</v>
      </c>
      <c r="H640" s="10">
        <v>0</v>
      </c>
      <c r="I640" s="310">
        <v>0</v>
      </c>
      <c r="J640" s="405">
        <v>0</v>
      </c>
      <c r="K640" s="409">
        <v>0</v>
      </c>
      <c r="L640" s="426"/>
      <c r="O640"/>
      <c r="P640"/>
      <c r="Q640"/>
    </row>
    <row r="641" spans="1:17" s="1" customFormat="1" ht="18.25" customHeight="1" outlineLevel="1">
      <c r="A641" s="570"/>
      <c r="B641" s="12" t="s">
        <v>6</v>
      </c>
      <c r="C641" s="20" t="s">
        <v>498</v>
      </c>
      <c r="D641" s="14">
        <v>3</v>
      </c>
      <c r="E641" s="15">
        <v>0</v>
      </c>
      <c r="F641" s="16">
        <v>0</v>
      </c>
      <c r="G641" s="15">
        <v>0</v>
      </c>
      <c r="H641" s="17">
        <v>10</v>
      </c>
      <c r="I641" s="311">
        <v>0</v>
      </c>
      <c r="J641" s="312">
        <v>0</v>
      </c>
      <c r="K641" s="410">
        <v>0</v>
      </c>
      <c r="L641" s="427">
        <v>0</v>
      </c>
      <c r="M641" s="1" t="s">
        <v>171</v>
      </c>
      <c r="O641"/>
      <c r="P641"/>
      <c r="Q641"/>
    </row>
    <row r="642" spans="1:17" s="1" customFormat="1" ht="18.25" customHeight="1" outlineLevel="2">
      <c r="A642" s="570"/>
      <c r="B642" s="5" t="s">
        <v>6</v>
      </c>
      <c r="C642" s="6" t="s">
        <v>46</v>
      </c>
      <c r="D642" s="19" t="s">
        <v>47</v>
      </c>
      <c r="E642" s="8">
        <v>0</v>
      </c>
      <c r="F642" s="9">
        <v>0</v>
      </c>
      <c r="G642" s="8">
        <v>0</v>
      </c>
      <c r="H642" s="10">
        <v>0</v>
      </c>
      <c r="I642" s="310">
        <v>0</v>
      </c>
      <c r="J642" s="405">
        <v>0</v>
      </c>
      <c r="K642" s="409">
        <v>0</v>
      </c>
      <c r="L642" s="426"/>
      <c r="O642"/>
      <c r="P642"/>
      <c r="Q642"/>
    </row>
    <row r="643" spans="1:17" s="1" customFormat="1" ht="18.25" customHeight="1" outlineLevel="2">
      <c r="A643" s="570"/>
      <c r="B643" s="5" t="s">
        <v>6</v>
      </c>
      <c r="C643" s="6" t="s">
        <v>377</v>
      </c>
      <c r="D643" s="7" t="s">
        <v>17</v>
      </c>
      <c r="E643" s="8">
        <v>0</v>
      </c>
      <c r="F643" s="9">
        <v>0</v>
      </c>
      <c r="G643" s="8">
        <v>0</v>
      </c>
      <c r="H643" s="10">
        <v>0</v>
      </c>
      <c r="I643" s="310">
        <v>0</v>
      </c>
      <c r="J643" s="405">
        <v>0</v>
      </c>
      <c r="K643" s="409">
        <v>0</v>
      </c>
      <c r="L643" s="426"/>
      <c r="O643"/>
      <c r="P643"/>
      <c r="Q643"/>
    </row>
    <row r="644" spans="1:17" s="1" customFormat="1" ht="18.25" customHeight="1" outlineLevel="2">
      <c r="A644" s="570"/>
      <c r="B644" s="5" t="s">
        <v>6</v>
      </c>
      <c r="C644" s="6" t="s">
        <v>249</v>
      </c>
      <c r="D644" s="7" t="s">
        <v>17</v>
      </c>
      <c r="E644" s="8">
        <v>0</v>
      </c>
      <c r="F644" s="9">
        <v>0</v>
      </c>
      <c r="G644" s="8">
        <v>0</v>
      </c>
      <c r="H644" s="10">
        <v>0</v>
      </c>
      <c r="I644" s="310">
        <v>0</v>
      </c>
      <c r="J644" s="405">
        <v>0</v>
      </c>
      <c r="K644" s="409">
        <v>0</v>
      </c>
      <c r="L644" s="426"/>
      <c r="O644"/>
      <c r="P644"/>
      <c r="Q644"/>
    </row>
    <row r="645" spans="1:17" s="1" customFormat="1" ht="18.25" customHeight="1" outlineLevel="2">
      <c r="A645" s="570"/>
      <c r="B645" s="5" t="s">
        <v>6</v>
      </c>
      <c r="C645" s="18" t="s">
        <v>267</v>
      </c>
      <c r="D645" s="7" t="s">
        <v>17</v>
      </c>
      <c r="E645" s="8">
        <v>0</v>
      </c>
      <c r="F645" s="9">
        <v>0</v>
      </c>
      <c r="G645" s="8">
        <v>0</v>
      </c>
      <c r="H645" s="10">
        <v>0</v>
      </c>
      <c r="I645" s="310">
        <v>0</v>
      </c>
      <c r="J645" s="405">
        <v>0</v>
      </c>
      <c r="K645" s="409">
        <v>0</v>
      </c>
      <c r="L645" s="426"/>
      <c r="O645"/>
      <c r="P645"/>
      <c r="Q645"/>
    </row>
    <row r="646" spans="1:17" s="1" customFormat="1" ht="18.25" customHeight="1" outlineLevel="1">
      <c r="A646" s="570"/>
      <c r="B646" s="12" t="s">
        <v>6</v>
      </c>
      <c r="C646" s="20" t="s">
        <v>46</v>
      </c>
      <c r="D646" s="14">
        <v>4</v>
      </c>
      <c r="E646" s="21">
        <v>0</v>
      </c>
      <c r="F646" s="16">
        <v>0</v>
      </c>
      <c r="G646" s="21">
        <v>0</v>
      </c>
      <c r="H646" s="17">
        <v>0</v>
      </c>
      <c r="I646" s="311">
        <v>0</v>
      </c>
      <c r="J646" s="312">
        <v>0</v>
      </c>
      <c r="K646" s="410">
        <v>0</v>
      </c>
      <c r="L646" s="427">
        <v>0</v>
      </c>
      <c r="M646" s="1" t="s">
        <v>51</v>
      </c>
      <c r="O646"/>
      <c r="P646"/>
      <c r="Q646"/>
    </row>
    <row r="647" spans="1:17" s="1" customFormat="1" ht="18.25" customHeight="1" outlineLevel="2">
      <c r="A647" s="570"/>
      <c r="B647" s="5" t="s">
        <v>6</v>
      </c>
      <c r="C647" s="6" t="s">
        <v>48</v>
      </c>
      <c r="D647" s="7" t="s">
        <v>25</v>
      </c>
      <c r="E647" s="8">
        <v>0</v>
      </c>
      <c r="F647" s="9">
        <v>0</v>
      </c>
      <c r="G647" s="8">
        <v>0</v>
      </c>
      <c r="H647" s="10">
        <v>0</v>
      </c>
      <c r="I647" s="310">
        <v>0</v>
      </c>
      <c r="J647" s="405">
        <v>0</v>
      </c>
      <c r="K647" s="409">
        <v>0</v>
      </c>
      <c r="L647" s="426"/>
      <c r="O647"/>
      <c r="P647"/>
      <c r="Q647"/>
    </row>
    <row r="648" spans="1:17" s="1" customFormat="1" ht="18.25" customHeight="1" outlineLevel="2">
      <c r="A648" s="570"/>
      <c r="B648" s="5" t="s">
        <v>6</v>
      </c>
      <c r="C648" s="6" t="s">
        <v>361</v>
      </c>
      <c r="D648" s="7" t="s">
        <v>17</v>
      </c>
      <c r="E648" s="8">
        <v>0</v>
      </c>
      <c r="F648" s="9">
        <v>0</v>
      </c>
      <c r="G648" s="8">
        <v>0</v>
      </c>
      <c r="H648" s="10">
        <v>0</v>
      </c>
      <c r="I648" s="310">
        <v>0</v>
      </c>
      <c r="J648" s="405">
        <v>0</v>
      </c>
      <c r="K648" s="409">
        <v>0</v>
      </c>
      <c r="L648" s="426"/>
      <c r="O648"/>
      <c r="P648"/>
      <c r="Q648"/>
    </row>
    <row r="649" spans="1:17" s="1" customFormat="1" ht="18.25" customHeight="1" outlineLevel="1">
      <c r="A649" s="570"/>
      <c r="B649" s="12" t="s">
        <v>6</v>
      </c>
      <c r="C649" s="20" t="s">
        <v>48</v>
      </c>
      <c r="D649" s="14">
        <v>2</v>
      </c>
      <c r="E649" s="21">
        <v>0</v>
      </c>
      <c r="F649" s="16">
        <v>0</v>
      </c>
      <c r="G649" s="21">
        <v>0</v>
      </c>
      <c r="H649" s="17">
        <v>0</v>
      </c>
      <c r="I649" s="311">
        <v>0</v>
      </c>
      <c r="J649" s="312">
        <v>0</v>
      </c>
      <c r="K649" s="410">
        <v>0</v>
      </c>
      <c r="L649" s="427">
        <v>0</v>
      </c>
      <c r="M649" s="1" t="s">
        <v>169</v>
      </c>
      <c r="O649"/>
      <c r="P649"/>
      <c r="Q649"/>
    </row>
    <row r="650" spans="1:17" ht="18.25" customHeight="1" outlineLevel="2">
      <c r="B650" s="5" t="s">
        <v>6</v>
      </c>
      <c r="C650" s="18" t="s">
        <v>49</v>
      </c>
      <c r="D650" s="7" t="s">
        <v>22</v>
      </c>
      <c r="E650" s="8">
        <v>0</v>
      </c>
      <c r="F650" s="9">
        <v>0</v>
      </c>
      <c r="G650" s="8">
        <v>0</v>
      </c>
      <c r="H650" s="10">
        <v>0</v>
      </c>
      <c r="I650" s="310">
        <v>0</v>
      </c>
      <c r="J650" s="405">
        <v>0</v>
      </c>
      <c r="K650" s="409">
        <v>0</v>
      </c>
      <c r="L650" s="426"/>
    </row>
    <row r="651" spans="1:17" ht="18.25" customHeight="1" outlineLevel="2">
      <c r="B651" s="41" t="s">
        <v>6</v>
      </c>
      <c r="C651" s="39" t="s">
        <v>503</v>
      </c>
      <c r="D651" s="23" t="s">
        <v>17</v>
      </c>
      <c r="E651" s="42">
        <v>0</v>
      </c>
      <c r="F651" s="43">
        <v>0</v>
      </c>
      <c r="G651" s="42">
        <v>0</v>
      </c>
      <c r="H651" s="44">
        <v>0</v>
      </c>
      <c r="I651" s="313">
        <v>0</v>
      </c>
      <c r="J651" s="405">
        <v>0</v>
      </c>
      <c r="K651" s="409">
        <v>0</v>
      </c>
      <c r="L651" s="426"/>
    </row>
    <row r="652" spans="1:17" ht="18.25" customHeight="1" outlineLevel="1">
      <c r="B652" s="12" t="s">
        <v>6</v>
      </c>
      <c r="C652" s="13" t="s">
        <v>49</v>
      </c>
      <c r="D652" s="14">
        <v>2</v>
      </c>
      <c r="E652" s="15">
        <v>0</v>
      </c>
      <c r="F652" s="16">
        <v>0</v>
      </c>
      <c r="G652" s="15">
        <v>0</v>
      </c>
      <c r="H652" s="17">
        <v>0</v>
      </c>
      <c r="I652" s="311">
        <v>0</v>
      </c>
      <c r="J652" s="312">
        <v>0</v>
      </c>
      <c r="K652" s="410">
        <v>0</v>
      </c>
      <c r="L652" s="427">
        <v>0</v>
      </c>
      <c r="M652" s="1" t="s">
        <v>171</v>
      </c>
    </row>
    <row r="653" spans="1:17" ht="18.25" customHeight="1" outlineLevel="2">
      <c r="B653" s="5" t="s">
        <v>6</v>
      </c>
      <c r="C653" s="18" t="s">
        <v>50</v>
      </c>
      <c r="D653" s="7" t="s">
        <v>22</v>
      </c>
      <c r="E653" s="8">
        <v>1</v>
      </c>
      <c r="F653" s="9">
        <v>16841</v>
      </c>
      <c r="G653" s="8">
        <v>2</v>
      </c>
      <c r="H653" s="10">
        <v>26131</v>
      </c>
      <c r="I653" s="310">
        <v>1</v>
      </c>
      <c r="J653" s="405">
        <v>1</v>
      </c>
      <c r="K653" s="409">
        <v>1</v>
      </c>
      <c r="L653" s="426"/>
    </row>
    <row r="654" spans="1:17" ht="18.25" customHeight="1" outlineLevel="2">
      <c r="B654" s="5" t="s">
        <v>6</v>
      </c>
      <c r="C654" s="18" t="s">
        <v>702</v>
      </c>
      <c r="D654" s="7" t="s">
        <v>17</v>
      </c>
      <c r="E654" s="8">
        <v>0</v>
      </c>
      <c r="F654" s="9">
        <v>0</v>
      </c>
      <c r="G654" s="8">
        <v>0</v>
      </c>
      <c r="H654" s="10">
        <v>0</v>
      </c>
      <c r="I654" s="310">
        <v>0</v>
      </c>
      <c r="J654" s="405">
        <v>0</v>
      </c>
      <c r="K654" s="409">
        <v>0</v>
      </c>
      <c r="L654" s="426"/>
    </row>
    <row r="655" spans="1:17" ht="18.25" customHeight="1" outlineLevel="2">
      <c r="B655" s="5" t="s">
        <v>6</v>
      </c>
      <c r="C655" s="18" t="s">
        <v>374</v>
      </c>
      <c r="D655" s="7" t="s">
        <v>17</v>
      </c>
      <c r="E655" s="8">
        <v>0</v>
      </c>
      <c r="F655" s="9">
        <v>0</v>
      </c>
      <c r="G655" s="8">
        <v>0</v>
      </c>
      <c r="H655" s="10">
        <v>0</v>
      </c>
      <c r="I655" s="310">
        <v>0</v>
      </c>
      <c r="J655" s="405">
        <v>0</v>
      </c>
      <c r="K655" s="409">
        <v>0</v>
      </c>
      <c r="L655" s="426"/>
    </row>
    <row r="656" spans="1:17" ht="18.25" customHeight="1" outlineLevel="1">
      <c r="B656" s="12" t="s">
        <v>6</v>
      </c>
      <c r="C656" s="13" t="s">
        <v>50</v>
      </c>
      <c r="D656" s="14">
        <v>3</v>
      </c>
      <c r="E656" s="15">
        <v>1</v>
      </c>
      <c r="F656" s="16">
        <v>16841</v>
      </c>
      <c r="G656" s="15">
        <v>2</v>
      </c>
      <c r="H656" s="17">
        <v>26131</v>
      </c>
      <c r="I656" s="311">
        <v>1</v>
      </c>
      <c r="J656" s="312">
        <v>1</v>
      </c>
      <c r="K656" s="410">
        <v>1</v>
      </c>
      <c r="L656" s="427">
        <v>0</v>
      </c>
      <c r="M656" s="1" t="s">
        <v>171</v>
      </c>
    </row>
    <row r="657" spans="1:17" s="149" customFormat="1" ht="18.25" customHeight="1">
      <c r="A657" s="569" t="s">
        <v>839</v>
      </c>
      <c r="B657" s="945" t="s">
        <v>11</v>
      </c>
      <c r="C657" s="946"/>
      <c r="D657" s="145">
        <v>109</v>
      </c>
      <c r="E657" s="146">
        <v>7</v>
      </c>
      <c r="F657" s="147">
        <v>88429</v>
      </c>
      <c r="G657" s="146">
        <v>38</v>
      </c>
      <c r="H657" s="148">
        <v>631091</v>
      </c>
      <c r="I657" s="314">
        <v>19</v>
      </c>
      <c r="J657" s="315">
        <v>14</v>
      </c>
      <c r="K657" s="411">
        <v>11</v>
      </c>
      <c r="L657" s="428">
        <v>1</v>
      </c>
      <c r="M657" s="248"/>
      <c r="N657" s="248"/>
    </row>
    <row r="658" spans="1:17" ht="18.25" customHeight="1" outlineLevel="2">
      <c r="B658" s="5" t="s">
        <v>891</v>
      </c>
      <c r="C658" s="6" t="s">
        <v>883</v>
      </c>
      <c r="D658" s="835"/>
      <c r="E658" s="8">
        <v>0</v>
      </c>
      <c r="F658" s="9">
        <v>0</v>
      </c>
      <c r="G658" s="8">
        <v>0</v>
      </c>
      <c r="H658" s="10">
        <v>0</v>
      </c>
      <c r="I658" s="836"/>
      <c r="J658" s="837"/>
      <c r="K658" s="838"/>
      <c r="L658" s="426"/>
    </row>
    <row r="659" spans="1:17" ht="18.25" customHeight="1" outlineLevel="1">
      <c r="B659" s="12" t="s">
        <v>880</v>
      </c>
      <c r="C659" s="13" t="s">
        <v>882</v>
      </c>
      <c r="D659" s="14">
        <v>0</v>
      </c>
      <c r="E659" s="31">
        <v>0</v>
      </c>
      <c r="F659" s="32">
        <v>0</v>
      </c>
      <c r="G659" s="31">
        <v>0</v>
      </c>
      <c r="H659" s="33">
        <v>0</v>
      </c>
      <c r="I659" s="325">
        <v>0</v>
      </c>
      <c r="J659" s="326">
        <v>0</v>
      </c>
      <c r="K659" s="417">
        <v>0</v>
      </c>
      <c r="L659" s="437">
        <v>0</v>
      </c>
      <c r="M659" s="443" t="s">
        <v>881</v>
      </c>
    </row>
    <row r="660" spans="1:17" ht="18.25" customHeight="1" outlineLevel="2">
      <c r="B660" s="5" t="s">
        <v>880</v>
      </c>
      <c r="C660" s="6" t="s">
        <v>244</v>
      </c>
      <c r="D660" s="7" t="s">
        <v>893</v>
      </c>
      <c r="E660" s="8">
        <v>1</v>
      </c>
      <c r="F660" s="9">
        <v>5000</v>
      </c>
      <c r="G660" s="8">
        <v>1</v>
      </c>
      <c r="H660" s="10">
        <v>5000</v>
      </c>
      <c r="I660" s="310">
        <v>1</v>
      </c>
      <c r="J660" s="405">
        <v>0</v>
      </c>
      <c r="K660" s="409">
        <v>0</v>
      </c>
      <c r="L660" s="426"/>
    </row>
    <row r="661" spans="1:17" ht="18.25" customHeight="1" outlineLevel="2">
      <c r="B661" s="5" t="s">
        <v>880</v>
      </c>
      <c r="C661" s="6" t="s">
        <v>168</v>
      </c>
      <c r="D661" s="7" t="s">
        <v>27</v>
      </c>
      <c r="E661" s="8">
        <v>0</v>
      </c>
      <c r="F661" s="9">
        <v>0</v>
      </c>
      <c r="G661" s="8">
        <v>1</v>
      </c>
      <c r="H661" s="10">
        <v>7000</v>
      </c>
      <c r="I661" s="310">
        <v>1</v>
      </c>
      <c r="J661" s="405">
        <v>0</v>
      </c>
      <c r="K661" s="409">
        <v>0</v>
      </c>
      <c r="L661" s="426"/>
    </row>
    <row r="662" spans="1:17" ht="18.25" customHeight="1" outlineLevel="2">
      <c r="B662" s="5" t="s">
        <v>880</v>
      </c>
      <c r="C662" s="6" t="s">
        <v>801</v>
      </c>
      <c r="D662" s="7" t="s">
        <v>27</v>
      </c>
      <c r="E662" s="8">
        <v>0</v>
      </c>
      <c r="F662" s="9">
        <v>0</v>
      </c>
      <c r="G662" s="8">
        <v>0</v>
      </c>
      <c r="H662" s="10">
        <v>0</v>
      </c>
      <c r="I662" s="310">
        <v>0</v>
      </c>
      <c r="J662" s="405">
        <v>0</v>
      </c>
      <c r="K662" s="409">
        <v>0</v>
      </c>
      <c r="L662" s="426"/>
    </row>
    <row r="663" spans="1:17" ht="18.25" customHeight="1" outlineLevel="2">
      <c r="B663" s="41" t="s">
        <v>880</v>
      </c>
      <c r="C663" s="39" t="s">
        <v>537</v>
      </c>
      <c r="D663" s="23" t="s">
        <v>188</v>
      </c>
      <c r="E663" s="8">
        <v>0</v>
      </c>
      <c r="F663" s="9">
        <v>0</v>
      </c>
      <c r="G663" s="8">
        <v>1</v>
      </c>
      <c r="H663" s="10">
        <v>6000</v>
      </c>
      <c r="I663" s="310">
        <v>1</v>
      </c>
      <c r="J663" s="405">
        <v>0</v>
      </c>
      <c r="K663" s="409">
        <v>0</v>
      </c>
      <c r="L663" s="426"/>
    </row>
    <row r="664" spans="1:17" ht="18.25" customHeight="1" outlineLevel="1">
      <c r="B664" s="12" t="s">
        <v>880</v>
      </c>
      <c r="C664" s="13" t="s">
        <v>645</v>
      </c>
      <c r="D664" s="14">
        <v>4</v>
      </c>
      <c r="E664" s="31">
        <v>1</v>
      </c>
      <c r="F664" s="32">
        <v>5000</v>
      </c>
      <c r="G664" s="31">
        <v>3</v>
      </c>
      <c r="H664" s="33">
        <v>18000</v>
      </c>
      <c r="I664" s="325">
        <v>3</v>
      </c>
      <c r="J664" s="326">
        <v>0</v>
      </c>
      <c r="K664" s="417">
        <v>0</v>
      </c>
      <c r="L664" s="437">
        <v>0</v>
      </c>
      <c r="M664" s="443" t="s">
        <v>51</v>
      </c>
    </row>
    <row r="665" spans="1:17" ht="18.25" customHeight="1" outlineLevel="2">
      <c r="B665" s="5" t="s">
        <v>880</v>
      </c>
      <c r="C665" s="18" t="s">
        <v>523</v>
      </c>
      <c r="D665" s="527" t="s">
        <v>576</v>
      </c>
      <c r="E665" s="8">
        <v>0</v>
      </c>
      <c r="F665" s="9">
        <v>0</v>
      </c>
      <c r="G665" s="8">
        <v>0</v>
      </c>
      <c r="H665" s="10">
        <v>0</v>
      </c>
      <c r="I665" s="318"/>
      <c r="J665" s="407"/>
      <c r="K665" s="414"/>
      <c r="L665" s="435"/>
    </row>
    <row r="666" spans="1:17" ht="18.25" customHeight="1" outlineLevel="1">
      <c r="B666" s="12" t="s">
        <v>880</v>
      </c>
      <c r="C666" s="13" t="s">
        <v>523</v>
      </c>
      <c r="D666" s="529"/>
      <c r="E666" s="31">
        <v>0</v>
      </c>
      <c r="F666" s="32">
        <v>0</v>
      </c>
      <c r="G666" s="31">
        <v>0</v>
      </c>
      <c r="H666" s="33">
        <v>0</v>
      </c>
      <c r="I666" s="327"/>
      <c r="J666" s="328"/>
      <c r="K666" s="414"/>
      <c r="L666" s="438"/>
      <c r="M666" s="251"/>
    </row>
    <row r="667" spans="1:17" s="1" customFormat="1" ht="18.25" customHeight="1" outlineLevel="2">
      <c r="A667" s="570"/>
      <c r="B667" s="5" t="s">
        <v>880</v>
      </c>
      <c r="C667" s="18" t="s">
        <v>539</v>
      </c>
      <c r="D667" s="7" t="s">
        <v>759</v>
      </c>
      <c r="E667" s="8">
        <v>0</v>
      </c>
      <c r="F667" s="9">
        <v>0</v>
      </c>
      <c r="G667" s="8">
        <v>1</v>
      </c>
      <c r="H667" s="10">
        <v>12400</v>
      </c>
      <c r="I667" s="310">
        <v>1</v>
      </c>
      <c r="J667" s="405">
        <v>0</v>
      </c>
      <c r="K667" s="409">
        <v>0</v>
      </c>
      <c r="L667" s="426"/>
      <c r="O667"/>
      <c r="P667"/>
      <c r="Q667"/>
    </row>
    <row r="668" spans="1:17" s="1" customFormat="1" ht="18.25" customHeight="1" outlineLevel="1">
      <c r="A668" s="570"/>
      <c r="B668" s="12" t="s">
        <v>880</v>
      </c>
      <c r="C668" s="13" t="s">
        <v>539</v>
      </c>
      <c r="D668" s="14">
        <v>1</v>
      </c>
      <c r="E668" s="31">
        <v>0</v>
      </c>
      <c r="F668" s="32">
        <v>0</v>
      </c>
      <c r="G668" s="31">
        <v>1</v>
      </c>
      <c r="H668" s="33">
        <v>12400</v>
      </c>
      <c r="I668" s="325">
        <v>1</v>
      </c>
      <c r="J668" s="326">
        <v>0</v>
      </c>
      <c r="K668" s="417">
        <v>0</v>
      </c>
      <c r="L668" s="437">
        <v>0</v>
      </c>
      <c r="M668" s="443" t="s">
        <v>355</v>
      </c>
      <c r="O668"/>
      <c r="P668"/>
      <c r="Q668"/>
    </row>
    <row r="669" spans="1:17" s="1" customFormat="1" ht="18.25" customHeight="1" outlineLevel="2">
      <c r="A669" s="570"/>
      <c r="B669" s="5" t="s">
        <v>880</v>
      </c>
      <c r="C669" s="18" t="s">
        <v>538</v>
      </c>
      <c r="D669" s="7" t="s">
        <v>369</v>
      </c>
      <c r="E669" s="8">
        <v>0</v>
      </c>
      <c r="F669" s="9">
        <v>0</v>
      </c>
      <c r="G669" s="8">
        <v>2</v>
      </c>
      <c r="H669" s="10">
        <v>10000</v>
      </c>
      <c r="I669" s="310">
        <v>1</v>
      </c>
      <c r="J669" s="405">
        <v>0</v>
      </c>
      <c r="K669" s="409">
        <v>0</v>
      </c>
      <c r="L669" s="426"/>
      <c r="M669" s="444"/>
      <c r="O669"/>
      <c r="P669"/>
      <c r="Q669"/>
    </row>
    <row r="670" spans="1:17" s="1" customFormat="1" ht="18.25" customHeight="1" outlineLevel="1">
      <c r="A670" s="570"/>
      <c r="B670" s="12" t="s">
        <v>880</v>
      </c>
      <c r="C670" s="13" t="s">
        <v>538</v>
      </c>
      <c r="D670" s="14">
        <v>1</v>
      </c>
      <c r="E670" s="31">
        <v>0</v>
      </c>
      <c r="F670" s="32">
        <v>0</v>
      </c>
      <c r="G670" s="31">
        <v>2</v>
      </c>
      <c r="H670" s="33">
        <v>10000</v>
      </c>
      <c r="I670" s="325">
        <v>1</v>
      </c>
      <c r="J670" s="326">
        <v>0</v>
      </c>
      <c r="K670" s="417">
        <v>0</v>
      </c>
      <c r="L670" s="437">
        <v>0</v>
      </c>
      <c r="M670" s="443" t="s">
        <v>668</v>
      </c>
      <c r="O670"/>
      <c r="P670"/>
      <c r="Q670"/>
    </row>
    <row r="671" spans="1:17" s="1" customFormat="1" ht="18.25" customHeight="1" outlineLevel="2">
      <c r="A671" s="570"/>
      <c r="B671" s="5" t="s">
        <v>880</v>
      </c>
      <c r="C671" s="6" t="s">
        <v>194</v>
      </c>
      <c r="D671" s="527" t="s">
        <v>576</v>
      </c>
      <c r="E671" s="8">
        <v>0</v>
      </c>
      <c r="F671" s="9">
        <v>0</v>
      </c>
      <c r="G671" s="8">
        <v>0</v>
      </c>
      <c r="H671" s="10">
        <v>0</v>
      </c>
      <c r="I671" s="318"/>
      <c r="J671" s="407"/>
      <c r="K671" s="414"/>
      <c r="L671" s="435"/>
      <c r="O671"/>
      <c r="P671"/>
      <c r="Q671"/>
    </row>
    <row r="672" spans="1:17" s="1" customFormat="1" ht="18.25" customHeight="1" outlineLevel="1">
      <c r="A672" s="570"/>
      <c r="B672" s="34" t="s">
        <v>880</v>
      </c>
      <c r="C672" s="13" t="s">
        <v>170</v>
      </c>
      <c r="D672" s="526"/>
      <c r="E672" s="31">
        <v>0</v>
      </c>
      <c r="F672" s="32">
        <v>0</v>
      </c>
      <c r="G672" s="31">
        <v>0</v>
      </c>
      <c r="H672" s="35">
        <v>0</v>
      </c>
      <c r="I672" s="327"/>
      <c r="J672" s="328"/>
      <c r="K672" s="418"/>
      <c r="L672" s="438"/>
      <c r="O672"/>
      <c r="P672"/>
      <c r="Q672"/>
    </row>
    <row r="673" spans="1:17" s="1" customFormat="1" ht="18.25" customHeight="1" outlineLevel="2">
      <c r="A673" s="570"/>
      <c r="B673" s="5" t="s">
        <v>880</v>
      </c>
      <c r="C673" s="6" t="s">
        <v>195</v>
      </c>
      <c r="D673" s="7" t="s">
        <v>171</v>
      </c>
      <c r="E673" s="8">
        <v>0</v>
      </c>
      <c r="F673" s="9">
        <v>0</v>
      </c>
      <c r="G673" s="8">
        <v>5</v>
      </c>
      <c r="H673" s="10">
        <v>164697</v>
      </c>
      <c r="I673" s="310">
        <v>1</v>
      </c>
      <c r="J673" s="405">
        <v>1</v>
      </c>
      <c r="K673" s="409">
        <v>1</v>
      </c>
      <c r="L673" s="426"/>
      <c r="O673"/>
      <c r="P673"/>
      <c r="Q673"/>
    </row>
    <row r="674" spans="1:17" s="1" customFormat="1" ht="18.25" customHeight="1" outlineLevel="2">
      <c r="A674" s="570"/>
      <c r="B674" s="5" t="s">
        <v>880</v>
      </c>
      <c r="C674" s="6" t="s">
        <v>708</v>
      </c>
      <c r="D674" s="7" t="s">
        <v>27</v>
      </c>
      <c r="E674" s="8">
        <v>0</v>
      </c>
      <c r="F674" s="9">
        <v>0</v>
      </c>
      <c r="G674" s="8">
        <v>0</v>
      </c>
      <c r="H674" s="10">
        <v>0</v>
      </c>
      <c r="I674" s="310">
        <v>0</v>
      </c>
      <c r="J674" s="405">
        <v>0</v>
      </c>
      <c r="K674" s="409">
        <v>0</v>
      </c>
      <c r="L674" s="426"/>
      <c r="O674"/>
      <c r="P674"/>
      <c r="Q674"/>
    </row>
    <row r="675" spans="1:17" s="1" customFormat="1" ht="18.25" customHeight="1" outlineLevel="2">
      <c r="A675" s="570"/>
      <c r="B675" s="5" t="s">
        <v>880</v>
      </c>
      <c r="C675" s="6" t="s">
        <v>693</v>
      </c>
      <c r="D675" s="7" t="s">
        <v>27</v>
      </c>
      <c r="E675" s="8">
        <v>0</v>
      </c>
      <c r="F675" s="9">
        <v>0</v>
      </c>
      <c r="G675" s="8">
        <v>0</v>
      </c>
      <c r="H675" s="10">
        <v>0</v>
      </c>
      <c r="I675" s="310">
        <v>0</v>
      </c>
      <c r="J675" s="405">
        <v>0</v>
      </c>
      <c r="K675" s="409">
        <v>0</v>
      </c>
      <c r="L675" s="426"/>
      <c r="O675"/>
      <c r="P675"/>
      <c r="Q675"/>
    </row>
    <row r="676" spans="1:17" s="1" customFormat="1" ht="18.25" customHeight="1" outlineLevel="1">
      <c r="A676" s="570"/>
      <c r="B676" s="12" t="s">
        <v>880</v>
      </c>
      <c r="C676" s="13" t="s">
        <v>172</v>
      </c>
      <c r="D676" s="14">
        <v>3</v>
      </c>
      <c r="E676" s="31">
        <v>0</v>
      </c>
      <c r="F676" s="32">
        <v>0</v>
      </c>
      <c r="G676" s="31">
        <v>5</v>
      </c>
      <c r="H676" s="35">
        <v>164697</v>
      </c>
      <c r="I676" s="325">
        <v>1</v>
      </c>
      <c r="J676" s="326">
        <v>1</v>
      </c>
      <c r="K676" s="417">
        <v>1</v>
      </c>
      <c r="L676" s="437">
        <v>0</v>
      </c>
      <c r="M676" s="1" t="s">
        <v>171</v>
      </c>
      <c r="O676"/>
      <c r="P676"/>
      <c r="Q676"/>
    </row>
    <row r="677" spans="1:17" s="1" customFormat="1" ht="18.25" customHeight="1" outlineLevel="2">
      <c r="A677" s="570"/>
      <c r="B677" s="5" t="s">
        <v>880</v>
      </c>
      <c r="C677" s="6" t="s">
        <v>721</v>
      </c>
      <c r="D677" s="7" t="s">
        <v>888</v>
      </c>
      <c r="E677" s="8">
        <v>0</v>
      </c>
      <c r="F677" s="9">
        <v>0</v>
      </c>
      <c r="G677" s="8">
        <v>0</v>
      </c>
      <c r="H677" s="10">
        <v>0</v>
      </c>
      <c r="I677" s="310">
        <v>0</v>
      </c>
      <c r="J677" s="405">
        <v>0</v>
      </c>
      <c r="K677" s="409">
        <v>0</v>
      </c>
      <c r="L677" s="426"/>
      <c r="O677"/>
      <c r="P677"/>
      <c r="Q677"/>
    </row>
    <row r="678" spans="1:17" s="1" customFormat="1" ht="18.25" customHeight="1" outlineLevel="1">
      <c r="A678" s="570"/>
      <c r="B678" s="12" t="s">
        <v>880</v>
      </c>
      <c r="C678" s="13" t="s">
        <v>721</v>
      </c>
      <c r="D678" s="14">
        <v>1</v>
      </c>
      <c r="E678" s="31">
        <v>0</v>
      </c>
      <c r="F678" s="32">
        <v>0</v>
      </c>
      <c r="G678" s="31">
        <v>0</v>
      </c>
      <c r="H678" s="35">
        <v>0</v>
      </c>
      <c r="I678" s="325">
        <v>0</v>
      </c>
      <c r="J678" s="326">
        <v>0</v>
      </c>
      <c r="K678" s="417">
        <v>0</v>
      </c>
      <c r="L678" s="437">
        <v>0</v>
      </c>
      <c r="M678" s="1" t="s">
        <v>668</v>
      </c>
      <c r="O678"/>
      <c r="P678"/>
      <c r="Q678"/>
    </row>
    <row r="679" spans="1:17" s="1" customFormat="1" ht="18.25" customHeight="1" outlineLevel="2">
      <c r="A679" s="570"/>
      <c r="B679" s="5" t="s">
        <v>880</v>
      </c>
      <c r="C679" s="11" t="s">
        <v>203</v>
      </c>
      <c r="D679" s="7" t="s">
        <v>240</v>
      </c>
      <c r="E679" s="8">
        <v>0</v>
      </c>
      <c r="F679" s="37">
        <v>0</v>
      </c>
      <c r="G679" s="8">
        <v>0</v>
      </c>
      <c r="H679" s="10">
        <v>0</v>
      </c>
      <c r="I679" s="310">
        <v>0</v>
      </c>
      <c r="J679" s="405">
        <v>0</v>
      </c>
      <c r="K679" s="409">
        <v>0</v>
      </c>
      <c r="L679" s="426"/>
      <c r="O679"/>
      <c r="P679"/>
      <c r="Q679"/>
    </row>
    <row r="680" spans="1:17" s="1" customFormat="1" ht="18.25" customHeight="1" outlineLevel="2">
      <c r="A680" s="570"/>
      <c r="B680" s="5" t="s">
        <v>880</v>
      </c>
      <c r="C680" s="6" t="s">
        <v>572</v>
      </c>
      <c r="D680" s="7" t="s">
        <v>27</v>
      </c>
      <c r="E680" s="8">
        <v>0</v>
      </c>
      <c r="F680" s="9">
        <v>0</v>
      </c>
      <c r="G680" s="8">
        <v>0</v>
      </c>
      <c r="H680" s="10">
        <v>0</v>
      </c>
      <c r="I680" s="310">
        <v>0</v>
      </c>
      <c r="J680" s="405">
        <v>0</v>
      </c>
      <c r="K680" s="409">
        <v>0</v>
      </c>
      <c r="L680" s="426"/>
      <c r="O680"/>
      <c r="P680"/>
      <c r="Q680"/>
    </row>
    <row r="681" spans="1:17" s="1" customFormat="1" ht="18.25" customHeight="1" outlineLevel="1">
      <c r="A681" s="570"/>
      <c r="B681" s="12" t="s">
        <v>880</v>
      </c>
      <c r="C681" s="13" t="s">
        <v>203</v>
      </c>
      <c r="D681" s="14">
        <v>2</v>
      </c>
      <c r="E681" s="36">
        <v>0</v>
      </c>
      <c r="F681" s="32">
        <v>0</v>
      </c>
      <c r="G681" s="36">
        <v>0</v>
      </c>
      <c r="H681" s="35">
        <v>0</v>
      </c>
      <c r="I681" s="325">
        <v>0</v>
      </c>
      <c r="J681" s="326">
        <v>0</v>
      </c>
      <c r="K681" s="417">
        <v>0</v>
      </c>
      <c r="L681" s="437">
        <v>0</v>
      </c>
      <c r="M681" s="1" t="s">
        <v>171</v>
      </c>
      <c r="O681"/>
      <c r="P681"/>
      <c r="Q681"/>
    </row>
    <row r="682" spans="1:17" s="1" customFormat="1" ht="18.25" customHeight="1" outlineLevel="2">
      <c r="A682" s="570"/>
      <c r="B682" s="5" t="s">
        <v>880</v>
      </c>
      <c r="C682" s="6" t="s">
        <v>196</v>
      </c>
      <c r="D682" s="7" t="s">
        <v>51</v>
      </c>
      <c r="E682" s="8">
        <v>1</v>
      </c>
      <c r="F682" s="9">
        <v>25272</v>
      </c>
      <c r="G682" s="8">
        <v>5</v>
      </c>
      <c r="H682" s="10">
        <v>85705</v>
      </c>
      <c r="I682" s="310">
        <v>1</v>
      </c>
      <c r="J682" s="405">
        <v>1</v>
      </c>
      <c r="K682" s="409">
        <v>1</v>
      </c>
      <c r="L682" s="426"/>
      <c r="O682"/>
      <c r="P682"/>
      <c r="Q682"/>
    </row>
    <row r="683" spans="1:17" s="1" customFormat="1" ht="18.25" customHeight="1" outlineLevel="2">
      <c r="A683" s="570"/>
      <c r="B683" s="5" t="s">
        <v>880</v>
      </c>
      <c r="C683" s="6" t="s">
        <v>907</v>
      </c>
      <c r="D683" s="7" t="s">
        <v>27</v>
      </c>
      <c r="E683" s="8">
        <v>2</v>
      </c>
      <c r="F683" s="9">
        <v>32409</v>
      </c>
      <c r="G683" s="8">
        <v>3</v>
      </c>
      <c r="H683" s="10">
        <v>109332</v>
      </c>
      <c r="I683" s="310">
        <v>1</v>
      </c>
      <c r="J683" s="405">
        <v>1</v>
      </c>
      <c r="K683" s="409">
        <v>1</v>
      </c>
      <c r="L683" s="426"/>
      <c r="O683"/>
      <c r="P683"/>
      <c r="Q683"/>
    </row>
    <row r="684" spans="1:17" s="1" customFormat="1" ht="18.25" customHeight="1" outlineLevel="2">
      <c r="A684" s="570"/>
      <c r="B684" s="5" t="s">
        <v>880</v>
      </c>
      <c r="C684" s="6" t="s">
        <v>704</v>
      </c>
      <c r="D684" s="7" t="s">
        <v>27</v>
      </c>
      <c r="E684" s="8">
        <v>0</v>
      </c>
      <c r="F684" s="9">
        <v>0</v>
      </c>
      <c r="G684" s="8">
        <v>0</v>
      </c>
      <c r="H684" s="10">
        <v>0</v>
      </c>
      <c r="I684" s="310">
        <v>0</v>
      </c>
      <c r="J684" s="405">
        <v>0</v>
      </c>
      <c r="K684" s="409">
        <v>0</v>
      </c>
      <c r="L684" s="426"/>
      <c r="O684"/>
      <c r="P684"/>
      <c r="Q684"/>
    </row>
    <row r="685" spans="1:17" ht="18.25" customHeight="1" outlineLevel="1">
      <c r="B685" s="12" t="s">
        <v>880</v>
      </c>
      <c r="C685" s="13" t="s">
        <v>173</v>
      </c>
      <c r="D685" s="14">
        <v>3</v>
      </c>
      <c r="E685" s="31">
        <v>3</v>
      </c>
      <c r="F685" s="32">
        <v>57681</v>
      </c>
      <c r="G685" s="31">
        <v>8</v>
      </c>
      <c r="H685" s="35">
        <v>195037</v>
      </c>
      <c r="I685" s="325">
        <v>2</v>
      </c>
      <c r="J685" s="326">
        <v>2</v>
      </c>
      <c r="K685" s="417">
        <v>2</v>
      </c>
      <c r="L685" s="437">
        <v>0</v>
      </c>
      <c r="M685" s="1" t="s">
        <v>51</v>
      </c>
    </row>
    <row r="686" spans="1:17" s="149" customFormat="1" ht="21.5" customHeight="1">
      <c r="A686" s="569" t="s">
        <v>891</v>
      </c>
      <c r="B686" s="945" t="s">
        <v>891</v>
      </c>
      <c r="C686" s="946"/>
      <c r="D686" s="145">
        <v>15</v>
      </c>
      <c r="E686" s="153">
        <v>4</v>
      </c>
      <c r="F686" s="154">
        <v>62681</v>
      </c>
      <c r="G686" s="153">
        <v>19</v>
      </c>
      <c r="H686" s="155">
        <v>400134</v>
      </c>
      <c r="I686" s="329">
        <v>8</v>
      </c>
      <c r="J686" s="330">
        <v>3</v>
      </c>
      <c r="K686" s="419">
        <v>3</v>
      </c>
      <c r="L686" s="439">
        <v>0</v>
      </c>
      <c r="M686" s="248"/>
      <c r="N686" s="248"/>
    </row>
    <row r="687" spans="1:17" ht="18.25" customHeight="1" outlineLevel="2">
      <c r="B687" s="5" t="s">
        <v>479</v>
      </c>
      <c r="C687" s="6" t="s">
        <v>456</v>
      </c>
      <c r="D687" s="7" t="s">
        <v>167</v>
      </c>
      <c r="E687" s="8">
        <v>0</v>
      </c>
      <c r="F687" s="9">
        <v>0</v>
      </c>
      <c r="G687" s="8">
        <v>0</v>
      </c>
      <c r="H687" s="10">
        <v>0</v>
      </c>
      <c r="I687" s="310">
        <v>0</v>
      </c>
      <c r="J687" s="405">
        <v>0</v>
      </c>
      <c r="K687" s="409">
        <v>0</v>
      </c>
      <c r="L687" s="426"/>
    </row>
    <row r="688" spans="1:17" ht="18.25" customHeight="1" outlineLevel="2">
      <c r="B688" s="5" t="s">
        <v>187</v>
      </c>
      <c r="C688" s="6" t="s">
        <v>878</v>
      </c>
      <c r="D688" s="7" t="s">
        <v>27</v>
      </c>
      <c r="E688" s="8">
        <v>0</v>
      </c>
      <c r="F688" s="9">
        <v>0</v>
      </c>
      <c r="G688" s="8">
        <v>0</v>
      </c>
      <c r="H688" s="10">
        <v>0</v>
      </c>
      <c r="I688" s="310">
        <v>0</v>
      </c>
      <c r="J688" s="405">
        <v>0</v>
      </c>
      <c r="K688" s="409">
        <v>0</v>
      </c>
      <c r="L688" s="426"/>
    </row>
    <row r="689" spans="1:17" ht="18.25" customHeight="1" outlineLevel="2">
      <c r="B689" s="5" t="s">
        <v>187</v>
      </c>
      <c r="C689" s="6" t="s">
        <v>457</v>
      </c>
      <c r="D689" s="7" t="s">
        <v>27</v>
      </c>
      <c r="E689" s="8">
        <v>0</v>
      </c>
      <c r="F689" s="9">
        <v>0</v>
      </c>
      <c r="G689" s="8">
        <v>0</v>
      </c>
      <c r="H689" s="10">
        <v>0</v>
      </c>
      <c r="I689" s="310">
        <v>0</v>
      </c>
      <c r="J689" s="405">
        <v>0</v>
      </c>
      <c r="K689" s="409">
        <v>0</v>
      </c>
      <c r="L689" s="426"/>
    </row>
    <row r="690" spans="1:17" ht="18.25" customHeight="1" outlineLevel="2">
      <c r="B690" s="5" t="s">
        <v>187</v>
      </c>
      <c r="C690" s="6" t="s">
        <v>458</v>
      </c>
      <c r="D690" s="7" t="s">
        <v>27</v>
      </c>
      <c r="E690" s="8">
        <v>0</v>
      </c>
      <c r="F690" s="9">
        <v>0</v>
      </c>
      <c r="G690" s="8">
        <v>0</v>
      </c>
      <c r="H690" s="10">
        <v>0</v>
      </c>
      <c r="I690" s="310">
        <v>0</v>
      </c>
      <c r="J690" s="405">
        <v>0</v>
      </c>
      <c r="K690" s="409">
        <v>0</v>
      </c>
      <c r="L690" s="426"/>
    </row>
    <row r="691" spans="1:17" ht="18.25" customHeight="1" outlineLevel="2">
      <c r="B691" s="5" t="s">
        <v>187</v>
      </c>
      <c r="C691" s="6" t="s">
        <v>461</v>
      </c>
      <c r="D691" s="7" t="s">
        <v>27</v>
      </c>
      <c r="E691" s="8">
        <v>0</v>
      </c>
      <c r="F691" s="9">
        <v>0</v>
      </c>
      <c r="G691" s="8">
        <v>0</v>
      </c>
      <c r="H691" s="10">
        <v>0</v>
      </c>
      <c r="I691" s="310">
        <v>0</v>
      </c>
      <c r="J691" s="405">
        <v>0</v>
      </c>
      <c r="K691" s="409">
        <v>0</v>
      </c>
      <c r="L691" s="426"/>
    </row>
    <row r="692" spans="1:17" ht="18.25" customHeight="1" outlineLevel="1">
      <c r="B692" s="12" t="s">
        <v>187</v>
      </c>
      <c r="C692" s="13" t="s">
        <v>456</v>
      </c>
      <c r="D692" s="14">
        <v>5</v>
      </c>
      <c r="E692" s="31">
        <v>0</v>
      </c>
      <c r="F692" s="32">
        <v>0</v>
      </c>
      <c r="G692" s="31">
        <v>0</v>
      </c>
      <c r="H692" s="35">
        <v>0</v>
      </c>
      <c r="I692" s="325">
        <v>0</v>
      </c>
      <c r="J692" s="326">
        <v>0</v>
      </c>
      <c r="K692" s="417">
        <v>0</v>
      </c>
      <c r="L692" s="437">
        <v>0</v>
      </c>
      <c r="M692" s="1" t="s">
        <v>167</v>
      </c>
    </row>
    <row r="693" spans="1:17" ht="18.25" customHeight="1" outlineLevel="2">
      <c r="B693" s="5" t="s">
        <v>187</v>
      </c>
      <c r="C693" s="39" t="s">
        <v>543</v>
      </c>
      <c r="D693" s="528" t="s">
        <v>719</v>
      </c>
      <c r="E693" s="8">
        <v>0</v>
      </c>
      <c r="F693" s="9">
        <v>0</v>
      </c>
      <c r="G693" s="8">
        <v>0</v>
      </c>
      <c r="H693" s="10">
        <v>0</v>
      </c>
      <c r="I693" s="318"/>
      <c r="J693" s="407"/>
      <c r="K693" s="414"/>
      <c r="L693" s="435"/>
    </row>
    <row r="694" spans="1:17" ht="18.25" customHeight="1" outlineLevel="1">
      <c r="B694" s="12" t="s">
        <v>187</v>
      </c>
      <c r="C694" s="13" t="s">
        <v>487</v>
      </c>
      <c r="D694" s="526"/>
      <c r="E694" s="31">
        <v>0</v>
      </c>
      <c r="F694" s="32">
        <v>0</v>
      </c>
      <c r="G694" s="31">
        <v>0</v>
      </c>
      <c r="H694" s="35">
        <v>0</v>
      </c>
      <c r="I694" s="327"/>
      <c r="J694" s="328"/>
      <c r="K694" s="418"/>
      <c r="L694" s="438"/>
    </row>
    <row r="695" spans="1:17" ht="18.25" customHeight="1" outlineLevel="2">
      <c r="B695" s="5" t="s">
        <v>187</v>
      </c>
      <c r="C695" s="39" t="s">
        <v>292</v>
      </c>
      <c r="D695" s="7" t="s">
        <v>759</v>
      </c>
      <c r="E695" s="8">
        <v>0</v>
      </c>
      <c r="F695" s="9">
        <v>0</v>
      </c>
      <c r="G695" s="8">
        <v>0</v>
      </c>
      <c r="H695" s="10">
        <v>0</v>
      </c>
      <c r="I695" s="310">
        <v>0</v>
      </c>
      <c r="J695" s="405">
        <v>0</v>
      </c>
      <c r="K695" s="409">
        <v>0</v>
      </c>
      <c r="L695" s="426"/>
    </row>
    <row r="696" spans="1:17" ht="18.25" customHeight="1" outlineLevel="1">
      <c r="B696" s="12" t="s">
        <v>187</v>
      </c>
      <c r="C696" s="13" t="s">
        <v>292</v>
      </c>
      <c r="D696" s="14">
        <v>1</v>
      </c>
      <c r="E696" s="31">
        <v>0</v>
      </c>
      <c r="F696" s="32">
        <v>0</v>
      </c>
      <c r="G696" s="31">
        <v>0</v>
      </c>
      <c r="H696" s="35">
        <v>0</v>
      </c>
      <c r="I696" s="325">
        <v>0</v>
      </c>
      <c r="J696" s="326">
        <v>0</v>
      </c>
      <c r="K696" s="417">
        <v>0</v>
      </c>
      <c r="L696" s="437">
        <v>0</v>
      </c>
      <c r="M696" s="1" t="s">
        <v>355</v>
      </c>
    </row>
    <row r="697" spans="1:17" ht="18.25" customHeight="1" outlineLevel="2">
      <c r="B697" s="5" t="s">
        <v>187</v>
      </c>
      <c r="C697" s="6" t="s">
        <v>197</v>
      </c>
      <c r="D697" s="7" t="s">
        <v>481</v>
      </c>
      <c r="E697" s="8">
        <v>0</v>
      </c>
      <c r="F697" s="9">
        <v>0</v>
      </c>
      <c r="G697" s="8">
        <v>1</v>
      </c>
      <c r="H697" s="10">
        <v>33432</v>
      </c>
      <c r="I697" s="310">
        <v>1</v>
      </c>
      <c r="J697" s="405">
        <v>1</v>
      </c>
      <c r="K697" s="409">
        <v>1</v>
      </c>
      <c r="L697" s="426"/>
    </row>
    <row r="698" spans="1:17" ht="18.25" customHeight="1" outlineLevel="1">
      <c r="B698" s="12" t="s">
        <v>187</v>
      </c>
      <c r="C698" s="13" t="s">
        <v>176</v>
      </c>
      <c r="D698" s="14">
        <v>1</v>
      </c>
      <c r="E698" s="31">
        <v>0</v>
      </c>
      <c r="F698" s="32">
        <v>0</v>
      </c>
      <c r="G698" s="31">
        <v>1</v>
      </c>
      <c r="H698" s="35">
        <v>33432</v>
      </c>
      <c r="I698" s="325">
        <v>1</v>
      </c>
      <c r="J698" s="326">
        <v>1</v>
      </c>
      <c r="K698" s="417">
        <v>1</v>
      </c>
      <c r="L698" s="437">
        <v>0</v>
      </c>
      <c r="M698" s="1" t="s">
        <v>667</v>
      </c>
    </row>
    <row r="699" spans="1:17" ht="18.25" customHeight="1" outlineLevel="2">
      <c r="B699" s="5" t="s">
        <v>187</v>
      </c>
      <c r="C699" s="39" t="s">
        <v>476</v>
      </c>
      <c r="D699" s="23" t="s">
        <v>221</v>
      </c>
      <c r="E699" s="8">
        <v>0</v>
      </c>
      <c r="F699" s="9">
        <v>0</v>
      </c>
      <c r="G699" s="8">
        <v>1</v>
      </c>
      <c r="H699" s="10">
        <v>12268</v>
      </c>
      <c r="I699" s="310">
        <v>1</v>
      </c>
      <c r="J699" s="405">
        <v>0</v>
      </c>
      <c r="K699" s="409">
        <v>0</v>
      </c>
      <c r="L699" s="426"/>
    </row>
    <row r="700" spans="1:17" ht="18.25" customHeight="1" outlineLevel="2">
      <c r="B700" s="5" t="s">
        <v>187</v>
      </c>
      <c r="C700" s="6" t="s">
        <v>641</v>
      </c>
      <c r="D700" s="7" t="s">
        <v>27</v>
      </c>
      <c r="E700" s="8">
        <v>0</v>
      </c>
      <c r="F700" s="9">
        <v>0</v>
      </c>
      <c r="G700" s="8">
        <v>0</v>
      </c>
      <c r="H700" s="10">
        <v>0</v>
      </c>
      <c r="I700" s="310">
        <v>0</v>
      </c>
      <c r="J700" s="405">
        <v>0</v>
      </c>
      <c r="K700" s="409">
        <v>0</v>
      </c>
      <c r="L700" s="426"/>
    </row>
    <row r="701" spans="1:17" ht="18.25" customHeight="1" outlineLevel="2">
      <c r="B701" s="5" t="s">
        <v>187</v>
      </c>
      <c r="C701" s="6" t="s">
        <v>341</v>
      </c>
      <c r="D701" s="7" t="s">
        <v>27</v>
      </c>
      <c r="E701" s="8">
        <v>0</v>
      </c>
      <c r="F701" s="9">
        <v>0</v>
      </c>
      <c r="G701" s="8">
        <v>0</v>
      </c>
      <c r="H701" s="10">
        <v>0</v>
      </c>
      <c r="I701" s="310">
        <v>0</v>
      </c>
      <c r="J701" s="405">
        <v>0</v>
      </c>
      <c r="K701" s="409">
        <v>0</v>
      </c>
      <c r="L701" s="426"/>
    </row>
    <row r="702" spans="1:17" s="1" customFormat="1" ht="18.25" customHeight="1" outlineLevel="2">
      <c r="A702" s="570"/>
      <c r="B702" s="5" t="s">
        <v>187</v>
      </c>
      <c r="C702" s="39" t="s">
        <v>380</v>
      </c>
      <c r="D702" s="7" t="s">
        <v>39</v>
      </c>
      <c r="E702" s="8">
        <v>0</v>
      </c>
      <c r="F702" s="9">
        <v>0</v>
      </c>
      <c r="G702" s="8">
        <v>0</v>
      </c>
      <c r="H702" s="10">
        <v>0</v>
      </c>
      <c r="I702" s="310">
        <v>0</v>
      </c>
      <c r="J702" s="405">
        <v>0</v>
      </c>
      <c r="K702" s="409">
        <v>0</v>
      </c>
      <c r="L702" s="426"/>
      <c r="O702"/>
      <c r="P702"/>
      <c r="Q702"/>
    </row>
    <row r="703" spans="1:17" s="1" customFormat="1" ht="18.25" customHeight="1" outlineLevel="1">
      <c r="A703" s="570"/>
      <c r="B703" s="12" t="s">
        <v>187</v>
      </c>
      <c r="C703" s="13" t="s">
        <v>177</v>
      </c>
      <c r="D703" s="14">
        <v>4</v>
      </c>
      <c r="E703" s="31">
        <v>0</v>
      </c>
      <c r="F703" s="32">
        <v>0</v>
      </c>
      <c r="G703" s="31">
        <v>1</v>
      </c>
      <c r="H703" s="35">
        <v>12268</v>
      </c>
      <c r="I703" s="325">
        <v>1</v>
      </c>
      <c r="J703" s="326">
        <v>0</v>
      </c>
      <c r="K703" s="417">
        <v>0</v>
      </c>
      <c r="L703" s="437">
        <v>0</v>
      </c>
      <c r="M703" s="1" t="s">
        <v>51</v>
      </c>
      <c r="O703"/>
      <c r="P703"/>
      <c r="Q703"/>
    </row>
    <row r="704" spans="1:17" s="1" customFormat="1" ht="18.25" customHeight="1" outlineLevel="2">
      <c r="A704" s="570"/>
      <c r="B704" s="5" t="s">
        <v>187</v>
      </c>
      <c r="C704" s="39" t="s">
        <v>312</v>
      </c>
      <c r="D704" s="23" t="s">
        <v>481</v>
      </c>
      <c r="E704" s="8">
        <v>0</v>
      </c>
      <c r="F704" s="9">
        <v>0</v>
      </c>
      <c r="G704" s="8">
        <v>1</v>
      </c>
      <c r="H704" s="10">
        <v>7515</v>
      </c>
      <c r="I704" s="310">
        <v>1</v>
      </c>
      <c r="J704" s="405">
        <v>0</v>
      </c>
      <c r="K704" s="409">
        <v>0</v>
      </c>
      <c r="L704" s="426"/>
      <c r="O704"/>
      <c r="P704"/>
      <c r="Q704"/>
    </row>
    <row r="705" spans="1:17" s="1" customFormat="1" ht="18.25" customHeight="1" outlineLevel="1">
      <c r="A705" s="570"/>
      <c r="B705" s="12" t="s">
        <v>187</v>
      </c>
      <c r="C705" s="13" t="s">
        <v>312</v>
      </c>
      <c r="D705" s="14">
        <v>1</v>
      </c>
      <c r="E705" s="31">
        <v>0</v>
      </c>
      <c r="F705" s="32">
        <v>0</v>
      </c>
      <c r="G705" s="31">
        <v>1</v>
      </c>
      <c r="H705" s="35">
        <v>7515</v>
      </c>
      <c r="I705" s="325">
        <v>1</v>
      </c>
      <c r="J705" s="326">
        <v>0</v>
      </c>
      <c r="K705" s="417">
        <v>0</v>
      </c>
      <c r="L705" s="437">
        <v>0</v>
      </c>
      <c r="M705" s="1" t="s">
        <v>667</v>
      </c>
      <c r="O705"/>
      <c r="P705"/>
      <c r="Q705"/>
    </row>
    <row r="706" spans="1:17" s="1" customFormat="1" ht="18.25" customHeight="1" outlineLevel="2">
      <c r="A706" s="570"/>
      <c r="B706" s="5" t="s">
        <v>187</v>
      </c>
      <c r="C706" s="39" t="s">
        <v>501</v>
      </c>
      <c r="D706" s="23" t="s">
        <v>189</v>
      </c>
      <c r="E706" s="8">
        <v>0</v>
      </c>
      <c r="F706" s="9">
        <v>0</v>
      </c>
      <c r="G706" s="8">
        <v>0</v>
      </c>
      <c r="H706" s="10">
        <v>0</v>
      </c>
      <c r="I706" s="310">
        <v>0</v>
      </c>
      <c r="J706" s="405">
        <v>0</v>
      </c>
      <c r="K706" s="409">
        <v>0</v>
      </c>
      <c r="L706" s="426"/>
      <c r="O706"/>
      <c r="P706"/>
      <c r="Q706"/>
    </row>
    <row r="707" spans="1:17" s="1" customFormat="1" ht="18.25" customHeight="1" outlineLevel="2">
      <c r="A707" s="570"/>
      <c r="B707" s="41" t="s">
        <v>187</v>
      </c>
      <c r="C707" s="39" t="s">
        <v>748</v>
      </c>
      <c r="D707" s="23" t="s">
        <v>39</v>
      </c>
      <c r="E707" s="42">
        <v>0</v>
      </c>
      <c r="F707" s="43">
        <v>0</v>
      </c>
      <c r="G707" s="42">
        <v>0</v>
      </c>
      <c r="H707" s="44">
        <v>0</v>
      </c>
      <c r="I707" s="313">
        <v>0</v>
      </c>
      <c r="J707" s="405">
        <v>0</v>
      </c>
      <c r="K707" s="409">
        <v>0</v>
      </c>
      <c r="L707" s="426"/>
      <c r="O707"/>
      <c r="P707"/>
      <c r="Q707"/>
    </row>
    <row r="708" spans="1:17" s="1" customFormat="1" ht="18.25" customHeight="1" outlineLevel="1">
      <c r="A708" s="570"/>
      <c r="B708" s="12" t="s">
        <v>187</v>
      </c>
      <c r="C708" s="13" t="s">
        <v>501</v>
      </c>
      <c r="D708" s="14">
        <v>2</v>
      </c>
      <c r="E708" s="31">
        <v>0</v>
      </c>
      <c r="F708" s="32">
        <v>0</v>
      </c>
      <c r="G708" s="31">
        <v>0</v>
      </c>
      <c r="H708" s="35">
        <v>0</v>
      </c>
      <c r="I708" s="325">
        <v>0</v>
      </c>
      <c r="J708" s="326">
        <v>0</v>
      </c>
      <c r="K708" s="417">
        <v>0</v>
      </c>
      <c r="L708" s="437">
        <v>0</v>
      </c>
      <c r="M708" s="1" t="s">
        <v>169</v>
      </c>
      <c r="O708"/>
      <c r="P708"/>
      <c r="Q708"/>
    </row>
    <row r="709" spans="1:17" s="1" customFormat="1" ht="18.25" customHeight="1" outlineLevel="2">
      <c r="A709" s="570"/>
      <c r="B709" s="5" t="s">
        <v>187</v>
      </c>
      <c r="C709" s="6" t="s">
        <v>222</v>
      </c>
      <c r="D709" s="7" t="s">
        <v>221</v>
      </c>
      <c r="E709" s="8">
        <v>0</v>
      </c>
      <c r="F709" s="9">
        <v>0</v>
      </c>
      <c r="G709" s="8">
        <v>0</v>
      </c>
      <c r="H709" s="10">
        <v>0</v>
      </c>
      <c r="I709" s="310">
        <v>0</v>
      </c>
      <c r="J709" s="405">
        <v>0</v>
      </c>
      <c r="K709" s="409">
        <v>0</v>
      </c>
      <c r="L709" s="426"/>
      <c r="O709"/>
      <c r="P709"/>
      <c r="Q709"/>
    </row>
    <row r="710" spans="1:17" s="1" customFormat="1" ht="18.25" customHeight="1" outlineLevel="2">
      <c r="A710" s="570"/>
      <c r="B710" s="41" t="s">
        <v>187</v>
      </c>
      <c r="C710" s="39" t="s">
        <v>373</v>
      </c>
      <c r="D710" s="23" t="s">
        <v>39</v>
      </c>
      <c r="E710" s="42">
        <v>0</v>
      </c>
      <c r="F710" s="43">
        <v>0</v>
      </c>
      <c r="G710" s="42">
        <v>0</v>
      </c>
      <c r="H710" s="44">
        <v>0</v>
      </c>
      <c r="I710" s="313">
        <v>0</v>
      </c>
      <c r="J710" s="405">
        <v>0</v>
      </c>
      <c r="K710" s="409">
        <v>0</v>
      </c>
      <c r="L710" s="426"/>
      <c r="O710"/>
      <c r="P710"/>
      <c r="Q710"/>
    </row>
    <row r="711" spans="1:17" s="1" customFormat="1" ht="18.25" customHeight="1" outlineLevel="1">
      <c r="A711" s="570"/>
      <c r="B711" s="12" t="s">
        <v>187</v>
      </c>
      <c r="C711" s="13" t="s">
        <v>235</v>
      </c>
      <c r="D711" s="14">
        <v>2</v>
      </c>
      <c r="E711" s="31">
        <v>0</v>
      </c>
      <c r="F711" s="32">
        <v>0</v>
      </c>
      <c r="G711" s="31">
        <v>0</v>
      </c>
      <c r="H711" s="35">
        <v>0</v>
      </c>
      <c r="I711" s="325">
        <v>0</v>
      </c>
      <c r="J711" s="326">
        <v>0</v>
      </c>
      <c r="K711" s="417">
        <v>0</v>
      </c>
      <c r="L711" s="437">
        <v>0</v>
      </c>
      <c r="M711" s="1" t="s">
        <v>51</v>
      </c>
      <c r="O711"/>
      <c r="P711"/>
      <c r="Q711"/>
    </row>
    <row r="712" spans="1:17" s="1" customFormat="1" ht="18" customHeight="1" outlineLevel="2">
      <c r="A712" s="570"/>
      <c r="B712" s="5" t="s">
        <v>187</v>
      </c>
      <c r="C712" s="6" t="s">
        <v>174</v>
      </c>
      <c r="D712" s="19" t="s">
        <v>40</v>
      </c>
      <c r="E712" s="8">
        <v>0</v>
      </c>
      <c r="F712" s="9">
        <v>0</v>
      </c>
      <c r="G712" s="8">
        <v>2</v>
      </c>
      <c r="H712" s="10">
        <v>4426</v>
      </c>
      <c r="I712" s="310">
        <v>1</v>
      </c>
      <c r="J712" s="405">
        <v>0</v>
      </c>
      <c r="K712" s="409">
        <v>0</v>
      </c>
      <c r="L712" s="426"/>
      <c r="O712"/>
      <c r="P712"/>
      <c r="Q712"/>
    </row>
    <row r="713" spans="1:17" s="1" customFormat="1" ht="18.25" customHeight="1" outlineLevel="2">
      <c r="A713" s="570"/>
      <c r="B713" s="5" t="s">
        <v>187</v>
      </c>
      <c r="C713" s="39" t="s">
        <v>796</v>
      </c>
      <c r="D713" s="7" t="s">
        <v>39</v>
      </c>
      <c r="E713" s="8">
        <v>0</v>
      </c>
      <c r="F713" s="9">
        <v>0</v>
      </c>
      <c r="G713" s="8">
        <v>3</v>
      </c>
      <c r="H713" s="10">
        <v>23815</v>
      </c>
      <c r="I713" s="310">
        <v>1</v>
      </c>
      <c r="J713" s="405">
        <v>1</v>
      </c>
      <c r="K713" s="409">
        <v>0</v>
      </c>
      <c r="L713" s="426"/>
      <c r="O713"/>
      <c r="P713"/>
      <c r="Q713"/>
    </row>
    <row r="714" spans="1:17" s="1" customFormat="1" ht="18.25" customHeight="1" outlineLevel="2">
      <c r="A714" s="570"/>
      <c r="B714" s="5" t="s">
        <v>187</v>
      </c>
      <c r="C714" s="39" t="s">
        <v>718</v>
      </c>
      <c r="D714" s="7" t="s">
        <v>39</v>
      </c>
      <c r="E714" s="8">
        <v>0</v>
      </c>
      <c r="F714" s="9">
        <v>0</v>
      </c>
      <c r="G714" s="8">
        <v>0</v>
      </c>
      <c r="H714" s="10">
        <v>0</v>
      </c>
      <c r="I714" s="310">
        <v>0</v>
      </c>
      <c r="J714" s="405">
        <v>0</v>
      </c>
      <c r="K714" s="409">
        <v>0</v>
      </c>
      <c r="L714" s="426"/>
      <c r="O714"/>
      <c r="P714"/>
      <c r="Q714"/>
    </row>
    <row r="715" spans="1:17" s="1" customFormat="1" ht="18.25" customHeight="1" outlineLevel="2">
      <c r="A715" s="570"/>
      <c r="B715" s="5" t="s">
        <v>187</v>
      </c>
      <c r="C715" s="39" t="s">
        <v>703</v>
      </c>
      <c r="D715" s="7" t="s">
        <v>39</v>
      </c>
      <c r="E715" s="8">
        <v>0</v>
      </c>
      <c r="F715" s="9">
        <v>0</v>
      </c>
      <c r="G715" s="8">
        <v>0</v>
      </c>
      <c r="H715" s="10">
        <v>0</v>
      </c>
      <c r="I715" s="310">
        <v>0</v>
      </c>
      <c r="J715" s="405">
        <v>0</v>
      </c>
      <c r="K715" s="409">
        <v>0</v>
      </c>
      <c r="L715" s="426"/>
      <c r="O715"/>
      <c r="P715"/>
      <c r="Q715"/>
    </row>
    <row r="716" spans="1:17" s="1" customFormat="1" ht="18.25" customHeight="1" outlineLevel="1">
      <c r="A716" s="570"/>
      <c r="B716" s="12" t="s">
        <v>187</v>
      </c>
      <c r="C716" s="13" t="s">
        <v>175</v>
      </c>
      <c r="D716" s="14">
        <v>4</v>
      </c>
      <c r="E716" s="31">
        <v>0</v>
      </c>
      <c r="F716" s="32">
        <v>0</v>
      </c>
      <c r="G716" s="31">
        <v>5</v>
      </c>
      <c r="H716" s="35">
        <v>28241</v>
      </c>
      <c r="I716" s="325">
        <v>2</v>
      </c>
      <c r="J716" s="326">
        <v>1</v>
      </c>
      <c r="K716" s="417">
        <v>0</v>
      </c>
      <c r="L716" s="437">
        <v>0</v>
      </c>
      <c r="M716" s="1" t="s">
        <v>51</v>
      </c>
      <c r="O716"/>
      <c r="P716"/>
      <c r="Q716"/>
    </row>
    <row r="717" spans="1:17" s="1" customFormat="1" ht="18.25" customHeight="1" outlineLevel="2">
      <c r="A717" s="570"/>
      <c r="B717" s="41" t="s">
        <v>187</v>
      </c>
      <c r="C717" s="74" t="s">
        <v>917</v>
      </c>
      <c r="D717" s="45"/>
      <c r="E717" s="8">
        <v>1</v>
      </c>
      <c r="F717" s="9">
        <v>6491</v>
      </c>
      <c r="G717" s="8">
        <v>2</v>
      </c>
      <c r="H717" s="10">
        <v>8076</v>
      </c>
      <c r="I717" s="318"/>
      <c r="J717" s="407"/>
      <c r="K717" s="414"/>
      <c r="L717" s="426"/>
      <c r="O717"/>
      <c r="P717"/>
      <c r="Q717"/>
    </row>
    <row r="718" spans="1:17" ht="18.25" customHeight="1" outlineLevel="1">
      <c r="B718" s="12" t="s">
        <v>187</v>
      </c>
      <c r="C718" s="13" t="s">
        <v>644</v>
      </c>
      <c r="D718" s="14">
        <v>0</v>
      </c>
      <c r="E718" s="31">
        <v>1</v>
      </c>
      <c r="F718" s="32">
        <v>6491</v>
      </c>
      <c r="G718" s="31">
        <v>2</v>
      </c>
      <c r="H718" s="35">
        <v>8076</v>
      </c>
      <c r="I718" s="325">
        <v>0</v>
      </c>
      <c r="J718" s="326">
        <v>0</v>
      </c>
      <c r="K718" s="417">
        <v>0</v>
      </c>
      <c r="L718" s="437">
        <v>0</v>
      </c>
      <c r="M718" s="1" t="s">
        <v>169</v>
      </c>
    </row>
    <row r="719" spans="1:17" ht="18.25" customHeight="1" outlineLevel="2">
      <c r="B719" s="41" t="s">
        <v>187</v>
      </c>
      <c r="C719" s="39" t="s">
        <v>491</v>
      </c>
      <c r="D719" s="23" t="s">
        <v>369</v>
      </c>
      <c r="E719" s="8">
        <v>0</v>
      </c>
      <c r="F719" s="9">
        <v>0</v>
      </c>
      <c r="G719" s="8">
        <v>0</v>
      </c>
      <c r="H719" s="10">
        <v>0</v>
      </c>
      <c r="I719" s="310">
        <v>0</v>
      </c>
      <c r="J719" s="405">
        <v>0</v>
      </c>
      <c r="K719" s="409">
        <v>0</v>
      </c>
      <c r="L719" s="426"/>
    </row>
    <row r="720" spans="1:17" ht="18.25" customHeight="1" outlineLevel="1">
      <c r="B720" s="12" t="s">
        <v>187</v>
      </c>
      <c r="C720" s="13" t="s">
        <v>491</v>
      </c>
      <c r="D720" s="14">
        <v>1</v>
      </c>
      <c r="E720" s="31">
        <v>0</v>
      </c>
      <c r="F720" s="32">
        <v>0</v>
      </c>
      <c r="G720" s="31">
        <v>0</v>
      </c>
      <c r="H720" s="35">
        <v>0</v>
      </c>
      <c r="I720" s="325">
        <v>0</v>
      </c>
      <c r="J720" s="326">
        <v>0</v>
      </c>
      <c r="K720" s="417">
        <v>0</v>
      </c>
      <c r="L720" s="437">
        <v>0</v>
      </c>
      <c r="M720" s="1" t="s">
        <v>668</v>
      </c>
    </row>
    <row r="721" spans="1:14" ht="18.25" customHeight="1" outlineLevel="2">
      <c r="B721" s="5" t="s">
        <v>187</v>
      </c>
      <c r="C721" s="39" t="s">
        <v>482</v>
      </c>
      <c r="D721" s="7" t="s">
        <v>481</v>
      </c>
      <c r="E721" s="8">
        <v>0</v>
      </c>
      <c r="F721" s="9">
        <v>0</v>
      </c>
      <c r="G721" s="8">
        <v>0</v>
      </c>
      <c r="H721" s="10">
        <v>0</v>
      </c>
      <c r="I721" s="310">
        <v>0</v>
      </c>
      <c r="J721" s="405">
        <v>0</v>
      </c>
      <c r="K721" s="409">
        <v>0</v>
      </c>
      <c r="L721" s="426"/>
    </row>
    <row r="722" spans="1:14" ht="18.25" customHeight="1" outlineLevel="1">
      <c r="B722" s="12" t="s">
        <v>187</v>
      </c>
      <c r="C722" s="13" t="s">
        <v>504</v>
      </c>
      <c r="D722" s="14">
        <v>1</v>
      </c>
      <c r="E722" s="31">
        <v>0</v>
      </c>
      <c r="F722" s="32">
        <v>0</v>
      </c>
      <c r="G722" s="31">
        <v>0</v>
      </c>
      <c r="H722" s="35">
        <v>0</v>
      </c>
      <c r="I722" s="325">
        <v>0</v>
      </c>
      <c r="J722" s="326">
        <v>0</v>
      </c>
      <c r="K722" s="417">
        <v>0</v>
      </c>
      <c r="L722" s="437">
        <v>0</v>
      </c>
      <c r="M722" s="1" t="s">
        <v>667</v>
      </c>
    </row>
    <row r="723" spans="1:14" ht="18.25" customHeight="1" outlineLevel="2">
      <c r="B723" s="41" t="s">
        <v>187</v>
      </c>
      <c r="C723" s="39" t="s">
        <v>231</v>
      </c>
      <c r="D723" s="23" t="s">
        <v>189</v>
      </c>
      <c r="E723" s="8">
        <v>0</v>
      </c>
      <c r="F723" s="9">
        <v>0</v>
      </c>
      <c r="G723" s="8">
        <v>0</v>
      </c>
      <c r="H723" s="10">
        <v>0</v>
      </c>
      <c r="I723" s="310">
        <v>0</v>
      </c>
      <c r="J723" s="405">
        <v>0</v>
      </c>
      <c r="K723" s="409">
        <v>0</v>
      </c>
      <c r="L723" s="426"/>
    </row>
    <row r="724" spans="1:14" ht="18.25" customHeight="1" outlineLevel="2">
      <c r="B724" s="52" t="s">
        <v>187</v>
      </c>
      <c r="C724" s="39" t="s">
        <v>365</v>
      </c>
      <c r="D724" s="7" t="s">
        <v>27</v>
      </c>
      <c r="E724" s="58">
        <v>0</v>
      </c>
      <c r="F724" s="59">
        <v>0</v>
      </c>
      <c r="G724" s="58">
        <v>0</v>
      </c>
      <c r="H724" s="76">
        <v>0</v>
      </c>
      <c r="I724" s="319">
        <v>0</v>
      </c>
      <c r="J724" s="405">
        <v>0</v>
      </c>
      <c r="K724" s="409">
        <v>0</v>
      </c>
      <c r="L724" s="426"/>
    </row>
    <row r="725" spans="1:14" ht="18.25" customHeight="1" outlineLevel="1">
      <c r="B725" s="12" t="s">
        <v>187</v>
      </c>
      <c r="C725" s="13" t="s">
        <v>484</v>
      </c>
      <c r="D725" s="14">
        <v>2</v>
      </c>
      <c r="E725" s="31">
        <v>0</v>
      </c>
      <c r="F725" s="32">
        <v>0</v>
      </c>
      <c r="G725" s="31">
        <v>0</v>
      </c>
      <c r="H725" s="35">
        <v>0</v>
      </c>
      <c r="I725" s="325">
        <v>0</v>
      </c>
      <c r="J725" s="326">
        <v>0</v>
      </c>
      <c r="K725" s="417">
        <v>0</v>
      </c>
      <c r="L725" s="437">
        <v>0</v>
      </c>
      <c r="M725" s="1" t="s">
        <v>169</v>
      </c>
    </row>
    <row r="726" spans="1:14" ht="18.25" customHeight="1" outlineLevel="2">
      <c r="B726" s="53" t="s">
        <v>187</v>
      </c>
      <c r="C726" s="55" t="s">
        <v>459</v>
      </c>
      <c r="D726" s="7" t="s">
        <v>759</v>
      </c>
      <c r="E726" s="58">
        <v>0</v>
      </c>
      <c r="F726" s="59">
        <v>0</v>
      </c>
      <c r="G726" s="58">
        <v>1</v>
      </c>
      <c r="H726" s="76">
        <v>63507</v>
      </c>
      <c r="I726" s="319">
        <v>1</v>
      </c>
      <c r="J726" s="405">
        <v>1</v>
      </c>
      <c r="K726" s="409">
        <v>1</v>
      </c>
      <c r="L726" s="426"/>
    </row>
    <row r="727" spans="1:14" s="65" customFormat="1" ht="18.25" customHeight="1" outlineLevel="1">
      <c r="A727" s="571"/>
      <c r="B727" s="67" t="s">
        <v>187</v>
      </c>
      <c r="C727" s="61" t="s">
        <v>459</v>
      </c>
      <c r="D727" s="26">
        <v>1</v>
      </c>
      <c r="E727" s="69">
        <v>0</v>
      </c>
      <c r="F727" s="70">
        <v>0</v>
      </c>
      <c r="G727" s="69">
        <v>1</v>
      </c>
      <c r="H727" s="77">
        <v>63507</v>
      </c>
      <c r="I727" s="320">
        <v>1</v>
      </c>
      <c r="J727" s="321">
        <v>1</v>
      </c>
      <c r="K727" s="322">
        <v>1</v>
      </c>
      <c r="L727" s="434">
        <v>0</v>
      </c>
      <c r="M727" s="249" t="s">
        <v>355</v>
      </c>
      <c r="N727" s="249"/>
    </row>
    <row r="728" spans="1:14" ht="18.25" customHeight="1" outlineLevel="2">
      <c r="B728" s="53" t="s">
        <v>187</v>
      </c>
      <c r="C728" s="55" t="s">
        <v>460</v>
      </c>
      <c r="D728" s="23" t="s">
        <v>481</v>
      </c>
      <c r="E728" s="58">
        <v>0</v>
      </c>
      <c r="F728" s="59">
        <v>0</v>
      </c>
      <c r="G728" s="58">
        <v>0</v>
      </c>
      <c r="H728" s="76">
        <v>0</v>
      </c>
      <c r="I728" s="319">
        <v>0</v>
      </c>
      <c r="J728" s="405">
        <v>0</v>
      </c>
      <c r="K728" s="409">
        <v>0</v>
      </c>
      <c r="L728" s="426"/>
    </row>
    <row r="729" spans="1:14" s="65" customFormat="1" ht="18.25" customHeight="1" outlineLevel="1">
      <c r="A729" s="571"/>
      <c r="B729" s="67" t="s">
        <v>187</v>
      </c>
      <c r="C729" s="61" t="s">
        <v>460</v>
      </c>
      <c r="D729" s="26">
        <v>1</v>
      </c>
      <c r="E729" s="69">
        <v>0</v>
      </c>
      <c r="F729" s="70">
        <v>0</v>
      </c>
      <c r="G729" s="69">
        <v>0</v>
      </c>
      <c r="H729" s="77">
        <v>0</v>
      </c>
      <c r="I729" s="320">
        <v>0</v>
      </c>
      <c r="J729" s="321">
        <v>0</v>
      </c>
      <c r="K729" s="322">
        <v>0</v>
      </c>
      <c r="L729" s="434">
        <v>0</v>
      </c>
      <c r="M729" s="249" t="s">
        <v>667</v>
      </c>
      <c r="N729" s="249"/>
    </row>
    <row r="730" spans="1:14" ht="18.25" customHeight="1" outlineLevel="2">
      <c r="B730" s="52" t="s">
        <v>187</v>
      </c>
      <c r="C730" s="54" t="s">
        <v>452</v>
      </c>
      <c r="D730" s="7" t="s">
        <v>221</v>
      </c>
      <c r="E730" s="58">
        <v>0</v>
      </c>
      <c r="F730" s="59">
        <v>0</v>
      </c>
      <c r="G730" s="58">
        <v>0</v>
      </c>
      <c r="H730" s="76">
        <v>0</v>
      </c>
      <c r="I730" s="319">
        <v>0</v>
      </c>
      <c r="J730" s="405">
        <v>0</v>
      </c>
      <c r="K730" s="409">
        <v>0</v>
      </c>
      <c r="L730" s="426"/>
    </row>
    <row r="731" spans="1:14" ht="18.25" customHeight="1" outlineLevel="2">
      <c r="B731" s="52" t="s">
        <v>187</v>
      </c>
      <c r="C731" s="55" t="s">
        <v>821</v>
      </c>
      <c r="D731" s="7" t="s">
        <v>27</v>
      </c>
      <c r="E731" s="58">
        <v>0</v>
      </c>
      <c r="F731" s="59">
        <v>0</v>
      </c>
      <c r="G731" s="58">
        <v>0</v>
      </c>
      <c r="H731" s="76">
        <v>0</v>
      </c>
      <c r="I731" s="319">
        <v>0</v>
      </c>
      <c r="J731" s="405">
        <v>0</v>
      </c>
      <c r="K731" s="409">
        <v>0</v>
      </c>
      <c r="L731" s="426"/>
    </row>
    <row r="732" spans="1:14" ht="18.25" customHeight="1" outlineLevel="2">
      <c r="B732" s="52" t="s">
        <v>187</v>
      </c>
      <c r="C732" s="55" t="s">
        <v>453</v>
      </c>
      <c r="D732" s="7" t="s">
        <v>27</v>
      </c>
      <c r="E732" s="58">
        <v>0</v>
      </c>
      <c r="F732" s="59">
        <v>0</v>
      </c>
      <c r="G732" s="58">
        <v>2</v>
      </c>
      <c r="H732" s="76">
        <v>3321</v>
      </c>
      <c r="I732" s="319">
        <v>1</v>
      </c>
      <c r="J732" s="405">
        <v>0</v>
      </c>
      <c r="K732" s="409">
        <v>0</v>
      </c>
      <c r="L732" s="426"/>
    </row>
    <row r="733" spans="1:14" s="65" customFormat="1" ht="18.25" customHeight="1" outlineLevel="1">
      <c r="A733" s="571"/>
      <c r="B733" s="67" t="s">
        <v>187</v>
      </c>
      <c r="C733" s="61" t="s">
        <v>452</v>
      </c>
      <c r="D733" s="26">
        <v>3</v>
      </c>
      <c r="E733" s="69">
        <v>0</v>
      </c>
      <c r="F733" s="70">
        <v>0</v>
      </c>
      <c r="G733" s="69">
        <v>2</v>
      </c>
      <c r="H733" s="77">
        <v>3321</v>
      </c>
      <c r="I733" s="320">
        <v>1</v>
      </c>
      <c r="J733" s="321">
        <v>0</v>
      </c>
      <c r="K733" s="322">
        <v>0</v>
      </c>
      <c r="L733" s="434">
        <v>0</v>
      </c>
      <c r="M733" s="249" t="s">
        <v>51</v>
      </c>
      <c r="N733" s="249"/>
    </row>
    <row r="734" spans="1:14" ht="18.25" customHeight="1" outlineLevel="2">
      <c r="B734" s="53" t="s">
        <v>187</v>
      </c>
      <c r="C734" s="54" t="s">
        <v>454</v>
      </c>
      <c r="D734" s="23" t="s">
        <v>240</v>
      </c>
      <c r="E734" s="58">
        <v>0</v>
      </c>
      <c r="F734" s="59">
        <v>0</v>
      </c>
      <c r="G734" s="58">
        <v>0</v>
      </c>
      <c r="H734" s="76">
        <v>0</v>
      </c>
      <c r="I734" s="319">
        <v>0</v>
      </c>
      <c r="J734" s="405">
        <v>0</v>
      </c>
      <c r="K734" s="409">
        <v>0</v>
      </c>
      <c r="L734" s="426"/>
    </row>
    <row r="735" spans="1:14" ht="18.25" customHeight="1" outlineLevel="2">
      <c r="B735" s="53" t="s">
        <v>187</v>
      </c>
      <c r="C735" s="54" t="s">
        <v>469</v>
      </c>
      <c r="D735" s="7" t="s">
        <v>27</v>
      </c>
      <c r="E735" s="58">
        <v>0</v>
      </c>
      <c r="F735" s="59">
        <v>0</v>
      </c>
      <c r="G735" s="58">
        <v>0</v>
      </c>
      <c r="H735" s="76">
        <v>0</v>
      </c>
      <c r="I735" s="319">
        <v>0</v>
      </c>
      <c r="J735" s="405">
        <v>0</v>
      </c>
      <c r="K735" s="409">
        <v>0</v>
      </c>
      <c r="L735" s="426"/>
    </row>
    <row r="736" spans="1:14" ht="18.25" customHeight="1" outlineLevel="2">
      <c r="B736" s="53" t="s">
        <v>187</v>
      </c>
      <c r="C736" s="54" t="s">
        <v>455</v>
      </c>
      <c r="D736" s="7" t="s">
        <v>27</v>
      </c>
      <c r="E736" s="58">
        <v>0</v>
      </c>
      <c r="F736" s="59">
        <v>0</v>
      </c>
      <c r="G736" s="58">
        <v>0</v>
      </c>
      <c r="H736" s="76">
        <v>0</v>
      </c>
      <c r="I736" s="319">
        <v>0</v>
      </c>
      <c r="J736" s="405">
        <v>0</v>
      </c>
      <c r="K736" s="409">
        <v>0</v>
      </c>
      <c r="L736" s="426"/>
    </row>
    <row r="737" spans="1:14" s="65" customFormat="1" ht="18.25" customHeight="1" outlineLevel="1">
      <c r="A737" s="571"/>
      <c r="B737" s="67" t="s">
        <v>187</v>
      </c>
      <c r="C737" s="61" t="s">
        <v>454</v>
      </c>
      <c r="D737" s="26">
        <v>3</v>
      </c>
      <c r="E737" s="69">
        <v>0</v>
      </c>
      <c r="F737" s="70">
        <v>0</v>
      </c>
      <c r="G737" s="69">
        <v>0</v>
      </c>
      <c r="H737" s="77">
        <v>0</v>
      </c>
      <c r="I737" s="320">
        <v>0</v>
      </c>
      <c r="J737" s="321">
        <v>0</v>
      </c>
      <c r="K737" s="322">
        <v>0</v>
      </c>
      <c r="L737" s="434">
        <v>0</v>
      </c>
      <c r="M737" s="249" t="s">
        <v>171</v>
      </c>
      <c r="N737" s="249"/>
    </row>
    <row r="738" spans="1:14" s="149" customFormat="1" ht="18.25" customHeight="1">
      <c r="A738" s="569" t="s">
        <v>843</v>
      </c>
      <c r="B738" s="945" t="s">
        <v>329</v>
      </c>
      <c r="C738" s="946"/>
      <c r="D738" s="145">
        <v>32</v>
      </c>
      <c r="E738" s="156">
        <v>1</v>
      </c>
      <c r="F738" s="154">
        <v>6491</v>
      </c>
      <c r="G738" s="352">
        <v>13</v>
      </c>
      <c r="H738" s="353">
        <v>156360</v>
      </c>
      <c r="I738" s="354">
        <v>7</v>
      </c>
      <c r="J738" s="355">
        <v>3</v>
      </c>
      <c r="K738" s="419">
        <v>2</v>
      </c>
      <c r="L738" s="439">
        <v>0</v>
      </c>
      <c r="M738" s="248"/>
      <c r="N738" s="248"/>
    </row>
    <row r="739" spans="1:14" ht="18.25" customHeight="1" outlineLevel="2">
      <c r="B739" s="52" t="s">
        <v>387</v>
      </c>
      <c r="C739" s="54" t="s">
        <v>388</v>
      </c>
      <c r="D739" s="7" t="s">
        <v>183</v>
      </c>
      <c r="E739" s="58">
        <v>0</v>
      </c>
      <c r="F739" s="59">
        <v>0</v>
      </c>
      <c r="G739" s="58">
        <v>0</v>
      </c>
      <c r="H739" s="76">
        <v>0</v>
      </c>
      <c r="I739" s="319">
        <v>0</v>
      </c>
      <c r="J739" s="405">
        <v>0</v>
      </c>
      <c r="K739" s="409">
        <v>0</v>
      </c>
      <c r="L739" s="426"/>
    </row>
    <row r="740" spans="1:14" ht="18.25" customHeight="1" outlineLevel="2">
      <c r="B740" s="53" t="s">
        <v>387</v>
      </c>
      <c r="C740" s="54" t="s">
        <v>404</v>
      </c>
      <c r="D740" s="7" t="s">
        <v>181</v>
      </c>
      <c r="E740" s="58">
        <v>0</v>
      </c>
      <c r="F740" s="59">
        <v>0</v>
      </c>
      <c r="G740" s="58">
        <v>0</v>
      </c>
      <c r="H740" s="76">
        <v>0</v>
      </c>
      <c r="I740" s="319">
        <v>0</v>
      </c>
      <c r="J740" s="405">
        <v>0</v>
      </c>
      <c r="K740" s="409">
        <v>0</v>
      </c>
      <c r="L740" s="426"/>
    </row>
    <row r="741" spans="1:14" ht="18.25" customHeight="1" outlineLevel="2">
      <c r="B741" s="53" t="s">
        <v>387</v>
      </c>
      <c r="C741" s="54" t="s">
        <v>625</v>
      </c>
      <c r="D741" s="7" t="s">
        <v>188</v>
      </c>
      <c r="E741" s="56">
        <v>0</v>
      </c>
      <c r="F741" s="57">
        <v>0</v>
      </c>
      <c r="G741" s="56">
        <v>2</v>
      </c>
      <c r="H741" s="78">
        <v>21711</v>
      </c>
      <c r="I741" s="331">
        <v>1</v>
      </c>
      <c r="J741" s="405">
        <v>1</v>
      </c>
      <c r="K741" s="409">
        <v>0</v>
      </c>
      <c r="L741" s="426"/>
    </row>
    <row r="742" spans="1:14" ht="18.25" customHeight="1" outlineLevel="2">
      <c r="B742" s="53" t="s">
        <v>387</v>
      </c>
      <c r="C742" s="54" t="s">
        <v>395</v>
      </c>
      <c r="D742" s="7" t="s">
        <v>188</v>
      </c>
      <c r="E742" s="56">
        <v>0</v>
      </c>
      <c r="F742" s="57">
        <v>0</v>
      </c>
      <c r="G742" s="56">
        <v>0</v>
      </c>
      <c r="H742" s="78">
        <v>0</v>
      </c>
      <c r="I742" s="331">
        <v>0</v>
      </c>
      <c r="J742" s="405">
        <v>0</v>
      </c>
      <c r="K742" s="409">
        <v>0</v>
      </c>
      <c r="L742" s="426"/>
    </row>
    <row r="743" spans="1:14" ht="18.25" customHeight="1" outlineLevel="2">
      <c r="B743" s="53" t="s">
        <v>387</v>
      </c>
      <c r="C743" s="54" t="s">
        <v>396</v>
      </c>
      <c r="D743" s="7" t="s">
        <v>181</v>
      </c>
      <c r="E743" s="56">
        <v>0</v>
      </c>
      <c r="F743" s="57">
        <v>0</v>
      </c>
      <c r="G743" s="56">
        <v>0</v>
      </c>
      <c r="H743" s="78">
        <v>0</v>
      </c>
      <c r="I743" s="331">
        <v>0</v>
      </c>
      <c r="J743" s="405">
        <v>0</v>
      </c>
      <c r="K743" s="409">
        <v>0</v>
      </c>
      <c r="L743" s="426"/>
    </row>
    <row r="744" spans="1:14" ht="18.25" customHeight="1" outlineLevel="2">
      <c r="B744" s="53" t="s">
        <v>387</v>
      </c>
      <c r="C744" s="54" t="s">
        <v>397</v>
      </c>
      <c r="D744" s="7" t="s">
        <v>181</v>
      </c>
      <c r="E744" s="56">
        <v>0</v>
      </c>
      <c r="F744" s="57">
        <v>0</v>
      </c>
      <c r="G744" s="56">
        <v>0</v>
      </c>
      <c r="H744" s="78">
        <v>0</v>
      </c>
      <c r="I744" s="331">
        <v>0</v>
      </c>
      <c r="J744" s="405">
        <v>0</v>
      </c>
      <c r="K744" s="409">
        <v>0</v>
      </c>
      <c r="L744" s="426"/>
    </row>
    <row r="745" spans="1:14" s="65" customFormat="1" ht="18.25" customHeight="1" outlineLevel="1">
      <c r="A745" s="571"/>
      <c r="B745" s="67" t="s">
        <v>387</v>
      </c>
      <c r="C745" s="61" t="s">
        <v>388</v>
      </c>
      <c r="D745" s="26">
        <v>6</v>
      </c>
      <c r="E745" s="69">
        <v>0</v>
      </c>
      <c r="F745" s="70">
        <v>0</v>
      </c>
      <c r="G745" s="69">
        <v>2</v>
      </c>
      <c r="H745" s="77">
        <v>21711</v>
      </c>
      <c r="I745" s="320">
        <v>1</v>
      </c>
      <c r="J745" s="321">
        <v>1</v>
      </c>
      <c r="K745" s="322">
        <v>0</v>
      </c>
      <c r="L745" s="434">
        <v>0</v>
      </c>
      <c r="M745" s="249" t="s">
        <v>167</v>
      </c>
      <c r="N745" s="249"/>
    </row>
    <row r="746" spans="1:14" ht="18.25" customHeight="1" outlineLevel="2">
      <c r="B746" s="52" t="s">
        <v>387</v>
      </c>
      <c r="C746" s="54" t="s">
        <v>403</v>
      </c>
      <c r="D746" s="7" t="s">
        <v>369</v>
      </c>
      <c r="E746" s="58">
        <v>0</v>
      </c>
      <c r="F746" s="59">
        <v>0</v>
      </c>
      <c r="G746" s="58">
        <v>2</v>
      </c>
      <c r="H746" s="76">
        <v>65811</v>
      </c>
      <c r="I746" s="319">
        <v>1</v>
      </c>
      <c r="J746" s="405">
        <v>1</v>
      </c>
      <c r="K746" s="409">
        <v>1</v>
      </c>
      <c r="L746" s="426"/>
    </row>
    <row r="747" spans="1:14" s="65" customFormat="1" ht="18.25" customHeight="1" outlineLevel="1">
      <c r="A747" s="571"/>
      <c r="B747" s="67" t="s">
        <v>387</v>
      </c>
      <c r="C747" s="61" t="s">
        <v>403</v>
      </c>
      <c r="D747" s="26">
        <v>1</v>
      </c>
      <c r="E747" s="69">
        <v>0</v>
      </c>
      <c r="F747" s="70">
        <v>0</v>
      </c>
      <c r="G747" s="69">
        <v>2</v>
      </c>
      <c r="H747" s="77">
        <v>65811</v>
      </c>
      <c r="I747" s="320">
        <v>1</v>
      </c>
      <c r="J747" s="321">
        <v>1</v>
      </c>
      <c r="K747" s="322">
        <v>1</v>
      </c>
      <c r="L747" s="434">
        <v>0</v>
      </c>
      <c r="M747" s="249" t="s">
        <v>668</v>
      </c>
      <c r="N747" s="249"/>
    </row>
    <row r="748" spans="1:14" ht="18.25" customHeight="1" outlineLevel="2">
      <c r="B748" s="53" t="s">
        <v>387</v>
      </c>
      <c r="C748" s="54" t="s">
        <v>389</v>
      </c>
      <c r="D748" s="7" t="s">
        <v>221</v>
      </c>
      <c r="E748" s="56">
        <v>0</v>
      </c>
      <c r="F748" s="57">
        <v>0</v>
      </c>
      <c r="G748" s="56">
        <v>6.5</v>
      </c>
      <c r="H748" s="78">
        <v>109549</v>
      </c>
      <c r="I748" s="331">
        <v>1</v>
      </c>
      <c r="J748" s="405">
        <v>1</v>
      </c>
      <c r="K748" s="409">
        <v>1</v>
      </c>
      <c r="L748" s="426"/>
    </row>
    <row r="749" spans="1:14" ht="18.25" customHeight="1" outlineLevel="2">
      <c r="B749" s="53" t="s">
        <v>387</v>
      </c>
      <c r="C749" s="54" t="s">
        <v>780</v>
      </c>
      <c r="D749" s="7" t="s">
        <v>181</v>
      </c>
      <c r="E749" s="56">
        <v>0</v>
      </c>
      <c r="F749" s="57">
        <v>0</v>
      </c>
      <c r="G749" s="56">
        <v>0</v>
      </c>
      <c r="H749" s="78">
        <v>0</v>
      </c>
      <c r="I749" s="331">
        <v>0</v>
      </c>
      <c r="J749" s="405">
        <v>0</v>
      </c>
      <c r="K749" s="409">
        <v>0</v>
      </c>
      <c r="L749" s="426"/>
    </row>
    <row r="750" spans="1:14" ht="18.25" customHeight="1" outlineLevel="2">
      <c r="B750" s="53" t="s">
        <v>387</v>
      </c>
      <c r="C750" s="54" t="s">
        <v>651</v>
      </c>
      <c r="D750" s="7" t="s">
        <v>181</v>
      </c>
      <c r="E750" s="56">
        <v>0</v>
      </c>
      <c r="F750" s="57">
        <v>0</v>
      </c>
      <c r="G750" s="56">
        <v>2.5</v>
      </c>
      <c r="H750" s="78">
        <v>55425</v>
      </c>
      <c r="I750" s="331">
        <v>1</v>
      </c>
      <c r="J750" s="405">
        <v>1</v>
      </c>
      <c r="K750" s="409">
        <v>1</v>
      </c>
      <c r="L750" s="426"/>
    </row>
    <row r="751" spans="1:14" ht="18.25" customHeight="1" outlineLevel="2">
      <c r="B751" s="53" t="s">
        <v>387</v>
      </c>
      <c r="C751" s="54" t="s">
        <v>571</v>
      </c>
      <c r="D751" s="7" t="s">
        <v>181</v>
      </c>
      <c r="E751" s="56">
        <v>0</v>
      </c>
      <c r="F751" s="57">
        <v>0</v>
      </c>
      <c r="G751" s="56">
        <v>0</v>
      </c>
      <c r="H751" s="78">
        <v>0</v>
      </c>
      <c r="I751" s="331">
        <v>0</v>
      </c>
      <c r="J751" s="405">
        <v>0</v>
      </c>
      <c r="K751" s="409">
        <v>0</v>
      </c>
      <c r="L751" s="426"/>
    </row>
    <row r="752" spans="1:14" s="65" customFormat="1" ht="18.25" customHeight="1" outlineLevel="1">
      <c r="A752" s="571"/>
      <c r="B752" s="67" t="s">
        <v>387</v>
      </c>
      <c r="C752" s="61" t="s">
        <v>389</v>
      </c>
      <c r="D752" s="26">
        <v>4</v>
      </c>
      <c r="E752" s="69">
        <v>0</v>
      </c>
      <c r="F752" s="70">
        <v>0</v>
      </c>
      <c r="G752" s="69">
        <v>9</v>
      </c>
      <c r="H752" s="77">
        <v>164974</v>
      </c>
      <c r="I752" s="320">
        <v>2</v>
      </c>
      <c r="J752" s="321">
        <v>2</v>
      </c>
      <c r="K752" s="322">
        <v>2</v>
      </c>
      <c r="L752" s="434">
        <v>0</v>
      </c>
      <c r="M752" s="249" t="s">
        <v>51</v>
      </c>
      <c r="N752" s="249"/>
    </row>
    <row r="753" spans="1:14" ht="18.25" customHeight="1" outlineLevel="2">
      <c r="B753" s="53" t="s">
        <v>387</v>
      </c>
      <c r="C753" s="54" t="s">
        <v>390</v>
      </c>
      <c r="D753" s="7" t="s">
        <v>184</v>
      </c>
      <c r="E753" s="56">
        <v>0</v>
      </c>
      <c r="F753" s="57">
        <v>0</v>
      </c>
      <c r="G753" s="56">
        <v>0</v>
      </c>
      <c r="H753" s="78">
        <v>0</v>
      </c>
      <c r="I753" s="331">
        <v>0</v>
      </c>
      <c r="J753" s="405">
        <v>0</v>
      </c>
      <c r="K753" s="409">
        <v>0</v>
      </c>
      <c r="L753" s="426"/>
    </row>
    <row r="754" spans="1:14" ht="18.25" customHeight="1" outlineLevel="2">
      <c r="B754" s="53" t="s">
        <v>387</v>
      </c>
      <c r="C754" s="54" t="s">
        <v>803</v>
      </c>
      <c r="D754" s="7" t="s">
        <v>181</v>
      </c>
      <c r="E754" s="56">
        <v>0</v>
      </c>
      <c r="F754" s="57">
        <v>0</v>
      </c>
      <c r="G754" s="56">
        <v>0</v>
      </c>
      <c r="H754" s="78">
        <v>0</v>
      </c>
      <c r="I754" s="331">
        <v>0</v>
      </c>
      <c r="J754" s="405">
        <v>0</v>
      </c>
      <c r="K754" s="409">
        <v>0</v>
      </c>
      <c r="L754" s="426"/>
    </row>
    <row r="755" spans="1:14" ht="18.25" customHeight="1" outlineLevel="2">
      <c r="B755" s="53" t="s">
        <v>387</v>
      </c>
      <c r="C755" s="54" t="s">
        <v>394</v>
      </c>
      <c r="D755" s="73" t="s">
        <v>786</v>
      </c>
      <c r="E755" s="56">
        <v>1</v>
      </c>
      <c r="F755" s="57">
        <v>12264</v>
      </c>
      <c r="G755" s="56">
        <v>1</v>
      </c>
      <c r="H755" s="78">
        <v>12264</v>
      </c>
      <c r="I755" s="331">
        <v>1</v>
      </c>
      <c r="J755" s="405">
        <v>1</v>
      </c>
      <c r="K755" s="409">
        <v>0</v>
      </c>
      <c r="L755" s="426"/>
    </row>
    <row r="756" spans="1:14" ht="18.25" customHeight="1" outlineLevel="2">
      <c r="B756" s="53" t="s">
        <v>387</v>
      </c>
      <c r="C756" s="54" t="s">
        <v>391</v>
      </c>
      <c r="D756" s="73" t="s">
        <v>470</v>
      </c>
      <c r="E756" s="56">
        <v>1</v>
      </c>
      <c r="F756" s="57">
        <v>32622</v>
      </c>
      <c r="G756" s="56">
        <v>1</v>
      </c>
      <c r="H756" s="78">
        <v>32622</v>
      </c>
      <c r="I756" s="331">
        <v>1</v>
      </c>
      <c r="J756" s="405">
        <v>1</v>
      </c>
      <c r="K756" s="409">
        <v>1</v>
      </c>
      <c r="L756" s="426"/>
    </row>
    <row r="757" spans="1:14" ht="18.25" customHeight="1" outlineLevel="2">
      <c r="B757" s="53" t="s">
        <v>387</v>
      </c>
      <c r="C757" s="54" t="s">
        <v>392</v>
      </c>
      <c r="D757" s="7" t="s">
        <v>181</v>
      </c>
      <c r="E757" s="56">
        <v>0</v>
      </c>
      <c r="F757" s="57">
        <v>0</v>
      </c>
      <c r="G757" s="56">
        <v>0</v>
      </c>
      <c r="H757" s="78">
        <v>0</v>
      </c>
      <c r="I757" s="331">
        <v>0</v>
      </c>
      <c r="J757" s="405">
        <v>0</v>
      </c>
      <c r="K757" s="409">
        <v>0</v>
      </c>
      <c r="L757" s="426"/>
    </row>
    <row r="758" spans="1:14" s="65" customFormat="1" ht="18.25" customHeight="1" outlineLevel="1">
      <c r="A758" s="571"/>
      <c r="B758" s="67" t="s">
        <v>387</v>
      </c>
      <c r="C758" s="61" t="s">
        <v>390</v>
      </c>
      <c r="D758" s="26">
        <v>5</v>
      </c>
      <c r="E758" s="69">
        <v>2</v>
      </c>
      <c r="F758" s="70">
        <v>44886</v>
      </c>
      <c r="G758" s="69">
        <v>2</v>
      </c>
      <c r="H758" s="77">
        <v>44886</v>
      </c>
      <c r="I758" s="320">
        <v>2</v>
      </c>
      <c r="J758" s="321">
        <v>2</v>
      </c>
      <c r="K758" s="322">
        <v>1</v>
      </c>
      <c r="L758" s="434">
        <v>0</v>
      </c>
      <c r="M758" s="249" t="s">
        <v>51</v>
      </c>
      <c r="N758" s="249"/>
    </row>
    <row r="759" spans="1:14" ht="18.25" customHeight="1" outlineLevel="2">
      <c r="B759" s="53" t="s">
        <v>387</v>
      </c>
      <c r="C759" s="54" t="s">
        <v>393</v>
      </c>
      <c r="D759" s="7" t="s">
        <v>369</v>
      </c>
      <c r="E759" s="56">
        <v>0</v>
      </c>
      <c r="F759" s="57">
        <v>0</v>
      </c>
      <c r="G759" s="56">
        <v>0</v>
      </c>
      <c r="H759" s="78">
        <v>0</v>
      </c>
      <c r="I759" s="331">
        <v>0</v>
      </c>
      <c r="J759" s="405">
        <v>0</v>
      </c>
      <c r="K759" s="409">
        <v>0</v>
      </c>
      <c r="L759" s="426"/>
    </row>
    <row r="760" spans="1:14" s="65" customFormat="1" ht="18.25" customHeight="1" outlineLevel="1">
      <c r="A760" s="571"/>
      <c r="B760" s="67" t="s">
        <v>387</v>
      </c>
      <c r="C760" s="61" t="s">
        <v>393</v>
      </c>
      <c r="D760" s="26">
        <v>1</v>
      </c>
      <c r="E760" s="69">
        <v>0</v>
      </c>
      <c r="F760" s="70">
        <v>0</v>
      </c>
      <c r="G760" s="69">
        <v>0</v>
      </c>
      <c r="H760" s="77">
        <v>0</v>
      </c>
      <c r="I760" s="320">
        <v>0</v>
      </c>
      <c r="J760" s="321">
        <v>0</v>
      </c>
      <c r="K760" s="322">
        <v>0</v>
      </c>
      <c r="L760" s="434">
        <v>0</v>
      </c>
      <c r="M760" s="249" t="s">
        <v>668</v>
      </c>
      <c r="N760" s="249"/>
    </row>
    <row r="761" spans="1:14" ht="18.25" customHeight="1" outlineLevel="2">
      <c r="B761" s="53" t="s">
        <v>387</v>
      </c>
      <c r="C761" s="54" t="s">
        <v>398</v>
      </c>
      <c r="D761" s="7" t="s">
        <v>184</v>
      </c>
      <c r="E761" s="56">
        <v>0</v>
      </c>
      <c r="F761" s="57">
        <v>0</v>
      </c>
      <c r="G761" s="56">
        <v>0</v>
      </c>
      <c r="H761" s="78">
        <v>0</v>
      </c>
      <c r="I761" s="331">
        <v>0</v>
      </c>
      <c r="J761" s="405">
        <v>0</v>
      </c>
      <c r="K761" s="409">
        <v>0</v>
      </c>
      <c r="L761" s="426"/>
    </row>
    <row r="762" spans="1:14" ht="18.25" customHeight="1" outlineLevel="2">
      <c r="B762" s="53" t="s">
        <v>387</v>
      </c>
      <c r="C762" s="54" t="s">
        <v>399</v>
      </c>
      <c r="D762" s="23" t="s">
        <v>181</v>
      </c>
      <c r="E762" s="56">
        <v>0</v>
      </c>
      <c r="F762" s="57">
        <v>0</v>
      </c>
      <c r="G762" s="56">
        <v>0</v>
      </c>
      <c r="H762" s="78">
        <v>0</v>
      </c>
      <c r="I762" s="331">
        <v>0</v>
      </c>
      <c r="J762" s="405">
        <v>0</v>
      </c>
      <c r="K762" s="409">
        <v>0</v>
      </c>
      <c r="L762" s="426"/>
    </row>
    <row r="763" spans="1:14" ht="18.25" customHeight="1" outlineLevel="2">
      <c r="B763" s="53" t="s">
        <v>387</v>
      </c>
      <c r="C763" s="54" t="s">
        <v>400</v>
      </c>
      <c r="D763" s="7" t="s">
        <v>181</v>
      </c>
      <c r="E763" s="56">
        <v>0</v>
      </c>
      <c r="F763" s="57">
        <v>0</v>
      </c>
      <c r="G763" s="56">
        <v>0</v>
      </c>
      <c r="H763" s="78">
        <v>0</v>
      </c>
      <c r="I763" s="331">
        <v>0</v>
      </c>
      <c r="J763" s="405">
        <v>0</v>
      </c>
      <c r="K763" s="409">
        <v>0</v>
      </c>
      <c r="L763" s="426"/>
    </row>
    <row r="764" spans="1:14" ht="18.25" customHeight="1" outlineLevel="2">
      <c r="B764" s="53" t="s">
        <v>387</v>
      </c>
      <c r="C764" s="54" t="s">
        <v>401</v>
      </c>
      <c r="D764" s="73" t="s">
        <v>786</v>
      </c>
      <c r="E764" s="56">
        <v>0</v>
      </c>
      <c r="F764" s="57">
        <v>0</v>
      </c>
      <c r="G764" s="56">
        <v>1</v>
      </c>
      <c r="H764" s="78">
        <v>12282</v>
      </c>
      <c r="I764" s="331">
        <v>1</v>
      </c>
      <c r="J764" s="405">
        <v>1</v>
      </c>
      <c r="K764" s="409">
        <v>0</v>
      </c>
      <c r="L764" s="426"/>
    </row>
    <row r="765" spans="1:14" s="65" customFormat="1" ht="18.25" customHeight="1" outlineLevel="1">
      <c r="A765" s="571"/>
      <c r="B765" s="67" t="s">
        <v>387</v>
      </c>
      <c r="C765" s="61" t="s">
        <v>398</v>
      </c>
      <c r="D765" s="26">
        <v>4</v>
      </c>
      <c r="E765" s="69">
        <v>0</v>
      </c>
      <c r="F765" s="69">
        <v>0</v>
      </c>
      <c r="G765" s="69">
        <v>1</v>
      </c>
      <c r="H765" s="79">
        <v>12282</v>
      </c>
      <c r="I765" s="320">
        <v>1</v>
      </c>
      <c r="J765" s="321">
        <v>1</v>
      </c>
      <c r="K765" s="322">
        <v>0</v>
      </c>
      <c r="L765" s="434">
        <v>0</v>
      </c>
      <c r="M765" s="249" t="s">
        <v>51</v>
      </c>
      <c r="N765" s="249"/>
    </row>
    <row r="766" spans="1:14" ht="18.25" customHeight="1" outlineLevel="2">
      <c r="B766" s="52" t="s">
        <v>387</v>
      </c>
      <c r="C766" s="54" t="s">
        <v>402</v>
      </c>
      <c r="D766" s="7" t="s">
        <v>180</v>
      </c>
      <c r="E766" s="58">
        <v>0</v>
      </c>
      <c r="F766" s="59">
        <v>0</v>
      </c>
      <c r="G766" s="58">
        <v>3</v>
      </c>
      <c r="H766" s="76">
        <v>42028</v>
      </c>
      <c r="I766" s="319">
        <v>1</v>
      </c>
      <c r="J766" s="405">
        <v>1</v>
      </c>
      <c r="K766" s="409">
        <v>1</v>
      </c>
      <c r="L766" s="426"/>
    </row>
    <row r="767" spans="1:14" ht="18.25" customHeight="1" outlineLevel="2">
      <c r="B767" s="52" t="s">
        <v>387</v>
      </c>
      <c r="C767" s="54" t="s">
        <v>533</v>
      </c>
      <c r="D767" s="23" t="s">
        <v>181</v>
      </c>
      <c r="E767" s="58">
        <v>0</v>
      </c>
      <c r="F767" s="59">
        <v>0</v>
      </c>
      <c r="G767" s="58">
        <v>0</v>
      </c>
      <c r="H767" s="76">
        <v>0</v>
      </c>
      <c r="I767" s="319">
        <v>0</v>
      </c>
      <c r="J767" s="405">
        <v>0</v>
      </c>
      <c r="K767" s="409">
        <v>0</v>
      </c>
      <c r="L767" s="426"/>
    </row>
    <row r="768" spans="1:14" s="65" customFormat="1" ht="18.25" customHeight="1" outlineLevel="1">
      <c r="A768" s="571"/>
      <c r="B768" s="67" t="s">
        <v>387</v>
      </c>
      <c r="C768" s="61" t="s">
        <v>402</v>
      </c>
      <c r="D768" s="26">
        <v>2</v>
      </c>
      <c r="E768" s="69">
        <v>0</v>
      </c>
      <c r="F768" s="70">
        <v>0</v>
      </c>
      <c r="G768" s="69">
        <v>3</v>
      </c>
      <c r="H768" s="77">
        <v>42028</v>
      </c>
      <c r="I768" s="320">
        <v>1</v>
      </c>
      <c r="J768" s="321">
        <v>1</v>
      </c>
      <c r="K768" s="322">
        <v>1</v>
      </c>
      <c r="L768" s="434">
        <v>0</v>
      </c>
      <c r="M768" s="249" t="s">
        <v>171</v>
      </c>
      <c r="N768" s="249"/>
    </row>
    <row r="769" spans="1:14" ht="18.25" customHeight="1" outlineLevel="2">
      <c r="B769" s="53" t="s">
        <v>387</v>
      </c>
      <c r="C769" s="54" t="s">
        <v>405</v>
      </c>
      <c r="D769" s="7" t="s">
        <v>184</v>
      </c>
      <c r="E769" s="58">
        <v>0</v>
      </c>
      <c r="F769" s="59">
        <v>0</v>
      </c>
      <c r="G769" s="58">
        <v>1</v>
      </c>
      <c r="H769" s="76">
        <v>3698</v>
      </c>
      <c r="I769" s="319">
        <v>1</v>
      </c>
      <c r="J769" s="405">
        <v>0</v>
      </c>
      <c r="K769" s="409">
        <v>0</v>
      </c>
      <c r="L769" s="426"/>
    </row>
    <row r="770" spans="1:14" ht="18.25" customHeight="1" outlineLevel="2">
      <c r="B770" s="53" t="s">
        <v>387</v>
      </c>
      <c r="C770" s="54" t="s">
        <v>409</v>
      </c>
      <c r="D770" s="7" t="s">
        <v>181</v>
      </c>
      <c r="E770" s="58">
        <v>0</v>
      </c>
      <c r="F770" s="59">
        <v>0</v>
      </c>
      <c r="G770" s="58">
        <v>3</v>
      </c>
      <c r="H770" s="76">
        <v>102689</v>
      </c>
      <c r="I770" s="319">
        <v>1</v>
      </c>
      <c r="J770" s="405">
        <v>1</v>
      </c>
      <c r="K770" s="409">
        <v>1</v>
      </c>
      <c r="L770" s="426"/>
    </row>
    <row r="771" spans="1:14" ht="18.25" customHeight="1" outlineLevel="2">
      <c r="B771" s="53" t="s">
        <v>387</v>
      </c>
      <c r="C771" s="54" t="s">
        <v>468</v>
      </c>
      <c r="D771" s="7" t="s">
        <v>181</v>
      </c>
      <c r="E771" s="58">
        <v>4</v>
      </c>
      <c r="F771" s="59">
        <v>45669</v>
      </c>
      <c r="G771" s="58">
        <v>4</v>
      </c>
      <c r="H771" s="76">
        <v>45669</v>
      </c>
      <c r="I771" s="319">
        <v>1</v>
      </c>
      <c r="J771" s="405">
        <v>1</v>
      </c>
      <c r="K771" s="409">
        <v>1</v>
      </c>
      <c r="L771" s="426"/>
    </row>
    <row r="772" spans="1:14" ht="18.25" customHeight="1" outlineLevel="2">
      <c r="B772" s="53" t="s">
        <v>387</v>
      </c>
      <c r="C772" s="54" t="s">
        <v>406</v>
      </c>
      <c r="D772" s="73" t="s">
        <v>470</v>
      </c>
      <c r="E772" s="58">
        <v>0</v>
      </c>
      <c r="F772" s="59">
        <v>0</v>
      </c>
      <c r="G772" s="58">
        <v>6</v>
      </c>
      <c r="H772" s="76">
        <v>125198</v>
      </c>
      <c r="I772" s="319">
        <v>1</v>
      </c>
      <c r="J772" s="405">
        <v>1</v>
      </c>
      <c r="K772" s="409">
        <v>1</v>
      </c>
      <c r="L772" s="426"/>
    </row>
    <row r="773" spans="1:14" ht="18.25" customHeight="1" outlineLevel="2">
      <c r="B773" s="53" t="s">
        <v>387</v>
      </c>
      <c r="C773" s="54" t="s">
        <v>407</v>
      </c>
      <c r="D773" s="7" t="s">
        <v>181</v>
      </c>
      <c r="E773" s="58">
        <v>0</v>
      </c>
      <c r="F773" s="59">
        <v>0</v>
      </c>
      <c r="G773" s="58">
        <v>0</v>
      </c>
      <c r="H773" s="76">
        <v>0</v>
      </c>
      <c r="I773" s="319">
        <v>0</v>
      </c>
      <c r="J773" s="405">
        <v>0</v>
      </c>
      <c r="K773" s="409">
        <v>0</v>
      </c>
      <c r="L773" s="426"/>
    </row>
    <row r="774" spans="1:14" ht="18.5" customHeight="1" outlineLevel="2">
      <c r="B774" s="53" t="s">
        <v>387</v>
      </c>
      <c r="C774" s="54" t="s">
        <v>408</v>
      </c>
      <c r="D774" s="7" t="s">
        <v>181</v>
      </c>
      <c r="E774" s="58">
        <v>0</v>
      </c>
      <c r="F774" s="59">
        <v>0</v>
      </c>
      <c r="G774" s="58">
        <v>1</v>
      </c>
      <c r="H774" s="76">
        <v>10051</v>
      </c>
      <c r="I774" s="319">
        <v>1</v>
      </c>
      <c r="J774" s="405">
        <v>1</v>
      </c>
      <c r="K774" s="409">
        <v>0</v>
      </c>
      <c r="L774" s="426"/>
    </row>
    <row r="775" spans="1:14" ht="18.25" customHeight="1" outlineLevel="2">
      <c r="B775" s="53" t="s">
        <v>387</v>
      </c>
      <c r="C775" s="54" t="s">
        <v>410</v>
      </c>
      <c r="D775" s="7" t="s">
        <v>181</v>
      </c>
      <c r="E775" s="58">
        <v>0</v>
      </c>
      <c r="F775" s="59">
        <v>0</v>
      </c>
      <c r="G775" s="58">
        <v>0</v>
      </c>
      <c r="H775" s="76">
        <v>0</v>
      </c>
      <c r="I775" s="319">
        <v>0</v>
      </c>
      <c r="J775" s="405">
        <v>0</v>
      </c>
      <c r="K775" s="409">
        <v>0</v>
      </c>
      <c r="L775" s="426"/>
    </row>
    <row r="776" spans="1:14" s="65" customFormat="1" ht="18.25" customHeight="1" outlineLevel="1">
      <c r="A776" s="571"/>
      <c r="B776" s="67" t="s">
        <v>387</v>
      </c>
      <c r="C776" s="61" t="s">
        <v>405</v>
      </c>
      <c r="D776" s="26">
        <v>7</v>
      </c>
      <c r="E776" s="69">
        <v>4</v>
      </c>
      <c r="F776" s="70">
        <v>45669</v>
      </c>
      <c r="G776" s="69">
        <v>15</v>
      </c>
      <c r="H776" s="77">
        <v>287305</v>
      </c>
      <c r="I776" s="320">
        <v>5</v>
      </c>
      <c r="J776" s="321">
        <v>4</v>
      </c>
      <c r="K776" s="322">
        <v>3</v>
      </c>
      <c r="L776" s="434">
        <v>1</v>
      </c>
      <c r="M776" s="249" t="s">
        <v>51</v>
      </c>
      <c r="N776" s="249"/>
    </row>
    <row r="777" spans="1:14" ht="18.25" customHeight="1" outlineLevel="2">
      <c r="B777" s="52" t="s">
        <v>387</v>
      </c>
      <c r="C777" s="54" t="s">
        <v>411</v>
      </c>
      <c r="D777" s="23" t="s">
        <v>180</v>
      </c>
      <c r="E777" s="58">
        <v>0</v>
      </c>
      <c r="F777" s="59">
        <v>0</v>
      </c>
      <c r="G777" s="58">
        <v>0</v>
      </c>
      <c r="H777" s="76">
        <v>0</v>
      </c>
      <c r="I777" s="319">
        <v>0</v>
      </c>
      <c r="J777" s="405">
        <v>0</v>
      </c>
      <c r="K777" s="409">
        <v>0</v>
      </c>
      <c r="L777" s="426"/>
    </row>
    <row r="778" spans="1:14" ht="18.25" customHeight="1" outlineLevel="1">
      <c r="B778" s="67" t="s">
        <v>387</v>
      </c>
      <c r="C778" s="61" t="s">
        <v>411</v>
      </c>
      <c r="D778" s="26">
        <v>1</v>
      </c>
      <c r="E778" s="69">
        <v>0</v>
      </c>
      <c r="F778" s="70">
        <v>0</v>
      </c>
      <c r="G778" s="69">
        <v>0</v>
      </c>
      <c r="H778" s="77">
        <v>0</v>
      </c>
      <c r="I778" s="320">
        <v>0</v>
      </c>
      <c r="J778" s="321">
        <v>0</v>
      </c>
      <c r="K778" s="322">
        <v>0</v>
      </c>
      <c r="L778" s="434">
        <v>0</v>
      </c>
      <c r="M778" s="1" t="s">
        <v>171</v>
      </c>
    </row>
    <row r="779" spans="1:14" s="161" customFormat="1" ht="18.25" customHeight="1">
      <c r="A779" s="573" t="s">
        <v>842</v>
      </c>
      <c r="B779" s="947" t="s">
        <v>463</v>
      </c>
      <c r="C779" s="947"/>
      <c r="D779" s="157">
        <v>31</v>
      </c>
      <c r="E779" s="158">
        <v>6</v>
      </c>
      <c r="F779" s="159">
        <v>90555</v>
      </c>
      <c r="G779" s="158">
        <v>34</v>
      </c>
      <c r="H779" s="160">
        <v>638997</v>
      </c>
      <c r="I779" s="158">
        <v>13</v>
      </c>
      <c r="J779" s="351">
        <v>12</v>
      </c>
      <c r="K779" s="420">
        <v>8</v>
      </c>
      <c r="L779" s="440">
        <v>1</v>
      </c>
      <c r="M779" s="252"/>
      <c r="N779" s="252"/>
    </row>
    <row r="780" spans="1:14" ht="18.25" customHeight="1" outlineLevel="2">
      <c r="B780" s="52" t="s">
        <v>462</v>
      </c>
      <c r="C780" s="54" t="s">
        <v>425</v>
      </c>
      <c r="D780" s="7" t="s">
        <v>183</v>
      </c>
      <c r="E780" s="58">
        <v>0</v>
      </c>
      <c r="F780" s="59">
        <v>0</v>
      </c>
      <c r="G780" s="58">
        <v>2</v>
      </c>
      <c r="H780" s="76">
        <v>3000</v>
      </c>
      <c r="I780" s="319">
        <v>1</v>
      </c>
      <c r="J780" s="405">
        <v>0</v>
      </c>
      <c r="K780" s="409">
        <v>0</v>
      </c>
      <c r="L780" s="426"/>
    </row>
    <row r="781" spans="1:14" ht="18.25" customHeight="1" outlineLevel="2">
      <c r="B781" s="52" t="s">
        <v>462</v>
      </c>
      <c r="C781" s="54" t="s">
        <v>432</v>
      </c>
      <c r="D781" s="23" t="s">
        <v>181</v>
      </c>
      <c r="E781" s="58">
        <v>0</v>
      </c>
      <c r="F781" s="59">
        <v>0</v>
      </c>
      <c r="G781" s="58">
        <v>0</v>
      </c>
      <c r="H781" s="76">
        <v>0</v>
      </c>
      <c r="I781" s="319">
        <v>0</v>
      </c>
      <c r="J781" s="405">
        <v>0</v>
      </c>
      <c r="K781" s="409">
        <v>0</v>
      </c>
      <c r="L781" s="426"/>
    </row>
    <row r="782" spans="1:14" ht="18.25" customHeight="1" outlineLevel="2">
      <c r="B782" s="52" t="s">
        <v>462</v>
      </c>
      <c r="C782" s="54" t="s">
        <v>887</v>
      </c>
      <c r="D782" s="23" t="s">
        <v>181</v>
      </c>
      <c r="E782" s="58">
        <v>0</v>
      </c>
      <c r="F782" s="59">
        <v>0</v>
      </c>
      <c r="G782" s="58">
        <v>0</v>
      </c>
      <c r="H782" s="76">
        <v>0</v>
      </c>
      <c r="I782" s="319">
        <v>0</v>
      </c>
      <c r="J782" s="405">
        <v>0</v>
      </c>
      <c r="K782" s="409">
        <v>0</v>
      </c>
      <c r="L782" s="426"/>
    </row>
    <row r="783" spans="1:14" ht="18.25" customHeight="1" outlineLevel="2">
      <c r="B783" s="52" t="s">
        <v>462</v>
      </c>
      <c r="C783" s="54" t="s">
        <v>428</v>
      </c>
      <c r="D783" s="23" t="s">
        <v>181</v>
      </c>
      <c r="E783" s="58">
        <v>0</v>
      </c>
      <c r="F783" s="59">
        <v>0</v>
      </c>
      <c r="G783" s="58">
        <v>0</v>
      </c>
      <c r="H783" s="76">
        <v>0</v>
      </c>
      <c r="I783" s="319">
        <v>0</v>
      </c>
      <c r="J783" s="405">
        <v>0</v>
      </c>
      <c r="K783" s="409">
        <v>0</v>
      </c>
      <c r="L783" s="426"/>
    </row>
    <row r="784" spans="1:14" ht="18.25" customHeight="1" outlineLevel="2">
      <c r="B784" s="52" t="s">
        <v>462</v>
      </c>
      <c r="C784" s="54" t="s">
        <v>474</v>
      </c>
      <c r="D784" s="23" t="s">
        <v>181</v>
      </c>
      <c r="E784" s="58">
        <v>0</v>
      </c>
      <c r="F784" s="59">
        <v>0</v>
      </c>
      <c r="G784" s="58">
        <v>3</v>
      </c>
      <c r="H784" s="76">
        <v>22206</v>
      </c>
      <c r="I784" s="319">
        <v>1</v>
      </c>
      <c r="J784" s="405">
        <v>1</v>
      </c>
      <c r="K784" s="409">
        <v>0</v>
      </c>
      <c r="L784" s="426"/>
    </row>
    <row r="785" spans="1:14" ht="18.25" customHeight="1" outlineLevel="2">
      <c r="B785" s="52" t="s">
        <v>462</v>
      </c>
      <c r="C785" s="54" t="s">
        <v>431</v>
      </c>
      <c r="D785" s="23" t="s">
        <v>181</v>
      </c>
      <c r="E785" s="58">
        <v>0</v>
      </c>
      <c r="F785" s="59">
        <v>0</v>
      </c>
      <c r="G785" s="58">
        <v>0</v>
      </c>
      <c r="H785" s="76">
        <v>0</v>
      </c>
      <c r="I785" s="319">
        <v>0</v>
      </c>
      <c r="J785" s="405">
        <v>0</v>
      </c>
      <c r="K785" s="409">
        <v>0</v>
      </c>
      <c r="L785" s="426"/>
    </row>
    <row r="786" spans="1:14" s="65" customFormat="1" ht="18.25" customHeight="1" outlineLevel="1">
      <c r="A786" s="571"/>
      <c r="B786" s="67" t="s">
        <v>462</v>
      </c>
      <c r="C786" s="61" t="s">
        <v>425</v>
      </c>
      <c r="D786" s="26">
        <v>6</v>
      </c>
      <c r="E786" s="69">
        <v>0</v>
      </c>
      <c r="F786" s="70">
        <v>0</v>
      </c>
      <c r="G786" s="69">
        <v>5</v>
      </c>
      <c r="H786" s="77">
        <v>25206</v>
      </c>
      <c r="I786" s="320">
        <v>2</v>
      </c>
      <c r="J786" s="321">
        <v>1</v>
      </c>
      <c r="K786" s="322">
        <v>0</v>
      </c>
      <c r="L786" s="434">
        <v>0</v>
      </c>
      <c r="M786" s="249" t="s">
        <v>167</v>
      </c>
      <c r="N786" s="249"/>
    </row>
    <row r="787" spans="1:14" ht="18.25" customHeight="1" outlineLevel="2">
      <c r="B787" s="52" t="s">
        <v>462</v>
      </c>
      <c r="C787" s="55" t="s">
        <v>429</v>
      </c>
      <c r="D787" s="7" t="s">
        <v>189</v>
      </c>
      <c r="E787" s="58">
        <v>0</v>
      </c>
      <c r="F787" s="59">
        <v>0</v>
      </c>
      <c r="G787" s="58">
        <v>0</v>
      </c>
      <c r="H787" s="76">
        <v>0</v>
      </c>
      <c r="I787" s="319">
        <v>0</v>
      </c>
      <c r="J787" s="405">
        <v>0</v>
      </c>
      <c r="K787" s="409">
        <v>0</v>
      </c>
      <c r="L787" s="426"/>
    </row>
    <row r="788" spans="1:14" ht="18.25" customHeight="1" outlineLevel="2">
      <c r="B788" s="52" t="s">
        <v>462</v>
      </c>
      <c r="C788" s="55" t="s">
        <v>430</v>
      </c>
      <c r="D788" s="7" t="s">
        <v>27</v>
      </c>
      <c r="E788" s="58">
        <v>0</v>
      </c>
      <c r="F788" s="59">
        <v>0</v>
      </c>
      <c r="G788" s="58">
        <v>0</v>
      </c>
      <c r="H788" s="76">
        <v>0</v>
      </c>
      <c r="I788" s="319">
        <v>0</v>
      </c>
      <c r="J788" s="405">
        <v>0</v>
      </c>
      <c r="K788" s="409">
        <v>0</v>
      </c>
      <c r="L788" s="426"/>
    </row>
    <row r="789" spans="1:14" ht="18.25" customHeight="1" outlineLevel="2">
      <c r="B789" s="52" t="s">
        <v>462</v>
      </c>
      <c r="C789" s="55" t="s">
        <v>435</v>
      </c>
      <c r="D789" s="7" t="s">
        <v>27</v>
      </c>
      <c r="E789" s="58">
        <v>0</v>
      </c>
      <c r="F789" s="59">
        <v>0</v>
      </c>
      <c r="G789" s="58">
        <v>0</v>
      </c>
      <c r="H789" s="76">
        <v>0</v>
      </c>
      <c r="I789" s="319">
        <v>0</v>
      </c>
      <c r="J789" s="405">
        <v>0</v>
      </c>
      <c r="K789" s="409">
        <v>0</v>
      </c>
      <c r="L789" s="426"/>
    </row>
    <row r="790" spans="1:14" s="65" customFormat="1" ht="18.25" customHeight="1" outlineLevel="1">
      <c r="A790" s="571"/>
      <c r="B790" s="67" t="s">
        <v>462</v>
      </c>
      <c r="C790" s="61" t="s">
        <v>429</v>
      </c>
      <c r="D790" s="26">
        <v>3</v>
      </c>
      <c r="E790" s="69">
        <v>0</v>
      </c>
      <c r="F790" s="70">
        <v>0</v>
      </c>
      <c r="G790" s="69">
        <v>0</v>
      </c>
      <c r="H790" s="77">
        <v>0</v>
      </c>
      <c r="I790" s="320">
        <v>0</v>
      </c>
      <c r="J790" s="321">
        <v>0</v>
      </c>
      <c r="K790" s="322">
        <v>0</v>
      </c>
      <c r="L790" s="434">
        <v>0</v>
      </c>
      <c r="M790" s="249" t="s">
        <v>169</v>
      </c>
      <c r="N790" s="249"/>
    </row>
    <row r="791" spans="1:14" ht="18.25" customHeight="1" outlineLevel="2">
      <c r="B791" s="52" t="s">
        <v>462</v>
      </c>
      <c r="C791" s="55" t="s">
        <v>426</v>
      </c>
      <c r="D791" s="7" t="s">
        <v>189</v>
      </c>
      <c r="E791" s="58">
        <v>0</v>
      </c>
      <c r="F791" s="59">
        <v>0</v>
      </c>
      <c r="G791" s="58">
        <v>0</v>
      </c>
      <c r="H791" s="76">
        <v>0</v>
      </c>
      <c r="I791" s="319">
        <v>0</v>
      </c>
      <c r="J791" s="405">
        <v>0</v>
      </c>
      <c r="K791" s="409">
        <v>0</v>
      </c>
      <c r="L791" s="426"/>
    </row>
    <row r="792" spans="1:14" ht="18.25" customHeight="1" outlineLevel="2">
      <c r="B792" s="52" t="s">
        <v>462</v>
      </c>
      <c r="C792" s="55" t="s">
        <v>427</v>
      </c>
      <c r="D792" s="7" t="s">
        <v>27</v>
      </c>
      <c r="E792" s="58">
        <v>0</v>
      </c>
      <c r="F792" s="59">
        <v>0</v>
      </c>
      <c r="G792" s="58">
        <v>0</v>
      </c>
      <c r="H792" s="76">
        <v>0</v>
      </c>
      <c r="I792" s="319">
        <v>0</v>
      </c>
      <c r="J792" s="405">
        <v>0</v>
      </c>
      <c r="K792" s="409">
        <v>0</v>
      </c>
      <c r="L792" s="426"/>
    </row>
    <row r="793" spans="1:14" s="65" customFormat="1" ht="18.25" customHeight="1" outlineLevel="1">
      <c r="A793" s="571"/>
      <c r="B793" s="67" t="s">
        <v>462</v>
      </c>
      <c r="C793" s="61" t="s">
        <v>426</v>
      </c>
      <c r="D793" s="26">
        <v>2</v>
      </c>
      <c r="E793" s="69">
        <v>0</v>
      </c>
      <c r="F793" s="70">
        <v>0</v>
      </c>
      <c r="G793" s="69">
        <v>0</v>
      </c>
      <c r="H793" s="77">
        <v>0</v>
      </c>
      <c r="I793" s="320">
        <v>0</v>
      </c>
      <c r="J793" s="321">
        <v>0</v>
      </c>
      <c r="K793" s="322">
        <v>0</v>
      </c>
      <c r="L793" s="434">
        <v>0</v>
      </c>
      <c r="M793" s="249" t="s">
        <v>169</v>
      </c>
      <c r="N793" s="249"/>
    </row>
    <row r="794" spans="1:14" ht="18.25" customHeight="1" outlineLevel="2">
      <c r="B794" s="52" t="s">
        <v>462</v>
      </c>
      <c r="C794" s="55" t="s">
        <v>433</v>
      </c>
      <c r="D794" s="7" t="s">
        <v>189</v>
      </c>
      <c r="E794" s="58">
        <v>0</v>
      </c>
      <c r="F794" s="59">
        <v>0</v>
      </c>
      <c r="G794" s="58">
        <v>1</v>
      </c>
      <c r="H794" s="76">
        <v>6011</v>
      </c>
      <c r="I794" s="319">
        <v>1</v>
      </c>
      <c r="J794" s="405">
        <v>0</v>
      </c>
      <c r="K794" s="409">
        <v>0</v>
      </c>
      <c r="L794" s="426"/>
    </row>
    <row r="795" spans="1:14" ht="18.25" customHeight="1" outlineLevel="2">
      <c r="B795" s="52" t="s">
        <v>462</v>
      </c>
      <c r="C795" s="55" t="s">
        <v>642</v>
      </c>
      <c r="D795" s="7" t="s">
        <v>27</v>
      </c>
      <c r="E795" s="58">
        <v>0</v>
      </c>
      <c r="F795" s="59">
        <v>0</v>
      </c>
      <c r="G795" s="58">
        <v>0</v>
      </c>
      <c r="H795" s="76">
        <v>0</v>
      </c>
      <c r="I795" s="319">
        <v>0</v>
      </c>
      <c r="J795" s="405">
        <v>0</v>
      </c>
      <c r="K795" s="409">
        <v>0</v>
      </c>
      <c r="L795" s="426"/>
    </row>
    <row r="796" spans="1:14" ht="18.25" customHeight="1" outlineLevel="2">
      <c r="B796" s="52" t="s">
        <v>462</v>
      </c>
      <c r="C796" s="55" t="s">
        <v>472</v>
      </c>
      <c r="D796" s="7" t="s">
        <v>27</v>
      </c>
      <c r="E796" s="58">
        <v>0</v>
      </c>
      <c r="F796" s="59">
        <v>0</v>
      </c>
      <c r="G796" s="58">
        <v>2</v>
      </c>
      <c r="H796" s="76">
        <v>29738</v>
      </c>
      <c r="I796" s="319">
        <v>1</v>
      </c>
      <c r="J796" s="405">
        <v>1</v>
      </c>
      <c r="K796" s="409">
        <v>1</v>
      </c>
      <c r="L796" s="426"/>
    </row>
    <row r="797" spans="1:14" s="65" customFormat="1" ht="18.25" customHeight="1" outlineLevel="1">
      <c r="A797" s="571"/>
      <c r="B797" s="67" t="s">
        <v>462</v>
      </c>
      <c r="C797" s="61" t="s">
        <v>433</v>
      </c>
      <c r="D797" s="26">
        <v>3</v>
      </c>
      <c r="E797" s="69">
        <v>0</v>
      </c>
      <c r="F797" s="70">
        <v>0</v>
      </c>
      <c r="G797" s="69">
        <v>3</v>
      </c>
      <c r="H797" s="77">
        <v>35749</v>
      </c>
      <c r="I797" s="320">
        <v>2</v>
      </c>
      <c r="J797" s="321">
        <v>1</v>
      </c>
      <c r="K797" s="322">
        <v>1</v>
      </c>
      <c r="L797" s="434">
        <v>1</v>
      </c>
      <c r="M797" s="249" t="s">
        <v>169</v>
      </c>
      <c r="N797" s="249"/>
    </row>
    <row r="798" spans="1:14" ht="18.25" customHeight="1" outlineLevel="2">
      <c r="B798" s="52" t="s">
        <v>462</v>
      </c>
      <c r="C798" s="55" t="s">
        <v>434</v>
      </c>
      <c r="D798" s="7" t="s">
        <v>369</v>
      </c>
      <c r="E798" s="58">
        <v>0</v>
      </c>
      <c r="F798" s="59">
        <v>0</v>
      </c>
      <c r="G798" s="58">
        <v>0</v>
      </c>
      <c r="H798" s="76">
        <v>0</v>
      </c>
      <c r="I798" s="319">
        <v>0</v>
      </c>
      <c r="J798" s="405">
        <v>0</v>
      </c>
      <c r="K798" s="409">
        <v>0</v>
      </c>
      <c r="L798" s="426"/>
    </row>
    <row r="799" spans="1:14" s="65" customFormat="1" ht="18.25" customHeight="1" outlineLevel="1">
      <c r="A799" s="571"/>
      <c r="B799" s="67" t="s">
        <v>462</v>
      </c>
      <c r="C799" s="61" t="s">
        <v>434</v>
      </c>
      <c r="D799" s="26">
        <v>1</v>
      </c>
      <c r="E799" s="69">
        <v>0</v>
      </c>
      <c r="F799" s="70">
        <v>0</v>
      </c>
      <c r="G799" s="69">
        <v>0</v>
      </c>
      <c r="H799" s="77">
        <v>0</v>
      </c>
      <c r="I799" s="320">
        <v>0</v>
      </c>
      <c r="J799" s="321">
        <v>0</v>
      </c>
      <c r="K799" s="322">
        <v>0</v>
      </c>
      <c r="L799" s="434">
        <v>0</v>
      </c>
      <c r="M799" s="249" t="s">
        <v>668</v>
      </c>
      <c r="N799" s="249"/>
    </row>
    <row r="800" spans="1:14" ht="18.25" customHeight="1" outlineLevel="2">
      <c r="B800" s="53" t="s">
        <v>462</v>
      </c>
      <c r="C800" s="54" t="s">
        <v>436</v>
      </c>
      <c r="D800" s="7" t="s">
        <v>240</v>
      </c>
      <c r="E800" s="58">
        <v>0</v>
      </c>
      <c r="F800" s="59">
        <v>12720</v>
      </c>
      <c r="G800" s="58">
        <v>3</v>
      </c>
      <c r="H800" s="76">
        <v>94009</v>
      </c>
      <c r="I800" s="319">
        <v>1</v>
      </c>
      <c r="J800" s="405">
        <v>1</v>
      </c>
      <c r="K800" s="409">
        <v>1</v>
      </c>
      <c r="L800" s="426"/>
    </row>
    <row r="801" spans="1:14" ht="18.25" customHeight="1" outlineLevel="2">
      <c r="B801" s="53" t="s">
        <v>462</v>
      </c>
      <c r="C801" s="55" t="s">
        <v>699</v>
      </c>
      <c r="D801" s="23" t="s">
        <v>188</v>
      </c>
      <c r="E801" s="58">
        <v>0</v>
      </c>
      <c r="F801" s="59">
        <v>0</v>
      </c>
      <c r="G801" s="58">
        <v>0</v>
      </c>
      <c r="H801" s="76">
        <v>0</v>
      </c>
      <c r="I801" s="319">
        <v>0</v>
      </c>
      <c r="J801" s="405">
        <v>0</v>
      </c>
      <c r="K801" s="409">
        <v>0</v>
      </c>
      <c r="L801" s="426"/>
    </row>
    <row r="802" spans="1:14" s="65" customFormat="1" ht="18.25" customHeight="1" outlineLevel="1">
      <c r="A802" s="571"/>
      <c r="B802" s="67" t="s">
        <v>462</v>
      </c>
      <c r="C802" s="61" t="s">
        <v>436</v>
      </c>
      <c r="D802" s="26">
        <v>2</v>
      </c>
      <c r="E802" s="69">
        <v>0</v>
      </c>
      <c r="F802" s="70">
        <v>12720</v>
      </c>
      <c r="G802" s="69">
        <v>3</v>
      </c>
      <c r="H802" s="77">
        <v>94009</v>
      </c>
      <c r="I802" s="320">
        <v>1</v>
      </c>
      <c r="J802" s="321">
        <v>1</v>
      </c>
      <c r="K802" s="322">
        <v>1</v>
      </c>
      <c r="L802" s="434">
        <v>0</v>
      </c>
      <c r="M802" s="249" t="s">
        <v>171</v>
      </c>
      <c r="N802" s="249"/>
    </row>
    <row r="803" spans="1:14" ht="18.25" customHeight="1" outlineLevel="2">
      <c r="B803" s="53" t="s">
        <v>462</v>
      </c>
      <c r="C803" s="55" t="s">
        <v>437</v>
      </c>
      <c r="D803" s="7" t="s">
        <v>189</v>
      </c>
      <c r="E803" s="58">
        <v>0</v>
      </c>
      <c r="F803" s="59">
        <v>0</v>
      </c>
      <c r="G803" s="58">
        <v>0</v>
      </c>
      <c r="H803" s="76">
        <v>0</v>
      </c>
      <c r="I803" s="319">
        <v>0</v>
      </c>
      <c r="J803" s="405">
        <v>0</v>
      </c>
      <c r="K803" s="409">
        <v>0</v>
      </c>
      <c r="L803" s="426"/>
    </row>
    <row r="804" spans="1:14" ht="18.25" customHeight="1" outlineLevel="2">
      <c r="B804" s="53" t="s">
        <v>462</v>
      </c>
      <c r="C804" s="55" t="s">
        <v>438</v>
      </c>
      <c r="D804" s="23" t="s">
        <v>188</v>
      </c>
      <c r="E804" s="58">
        <v>0</v>
      </c>
      <c r="F804" s="59">
        <v>0</v>
      </c>
      <c r="G804" s="58">
        <v>3</v>
      </c>
      <c r="H804" s="76">
        <v>83258</v>
      </c>
      <c r="I804" s="319">
        <v>1</v>
      </c>
      <c r="J804" s="405">
        <v>1</v>
      </c>
      <c r="K804" s="409">
        <v>1</v>
      </c>
      <c r="L804" s="426"/>
    </row>
    <row r="805" spans="1:14" s="65" customFormat="1" ht="18.25" customHeight="1" outlineLevel="1">
      <c r="A805" s="571"/>
      <c r="B805" s="67" t="s">
        <v>462</v>
      </c>
      <c r="C805" s="61" t="s">
        <v>437</v>
      </c>
      <c r="D805" s="26">
        <v>2</v>
      </c>
      <c r="E805" s="69">
        <v>0</v>
      </c>
      <c r="F805" s="70">
        <v>0</v>
      </c>
      <c r="G805" s="69">
        <v>3</v>
      </c>
      <c r="H805" s="77">
        <v>83258</v>
      </c>
      <c r="I805" s="320">
        <v>1</v>
      </c>
      <c r="J805" s="321">
        <v>1</v>
      </c>
      <c r="K805" s="322">
        <v>1</v>
      </c>
      <c r="L805" s="434">
        <v>1</v>
      </c>
      <c r="M805" s="249" t="s">
        <v>169</v>
      </c>
      <c r="N805" s="249"/>
    </row>
    <row r="806" spans="1:14" ht="18.25" customHeight="1" outlineLevel="2">
      <c r="B806" s="53" t="s">
        <v>462</v>
      </c>
      <c r="C806" s="54" t="s">
        <v>439</v>
      </c>
      <c r="D806" s="7" t="s">
        <v>240</v>
      </c>
      <c r="E806" s="58">
        <v>0</v>
      </c>
      <c r="F806" s="59">
        <v>0</v>
      </c>
      <c r="G806" s="58">
        <v>0</v>
      </c>
      <c r="H806" s="76">
        <v>0</v>
      </c>
      <c r="I806" s="319">
        <v>0</v>
      </c>
      <c r="J806" s="405">
        <v>0</v>
      </c>
      <c r="K806" s="409">
        <v>0</v>
      </c>
      <c r="L806" s="426"/>
    </row>
    <row r="807" spans="1:14" ht="18.25" customHeight="1" outlineLevel="2">
      <c r="B807" s="53" t="s">
        <v>462</v>
      </c>
      <c r="C807" s="54" t="s">
        <v>440</v>
      </c>
      <c r="D807" s="7" t="s">
        <v>27</v>
      </c>
      <c r="E807" s="58">
        <v>0</v>
      </c>
      <c r="F807" s="59">
        <v>0</v>
      </c>
      <c r="G807" s="58">
        <v>0</v>
      </c>
      <c r="H807" s="76">
        <v>0</v>
      </c>
      <c r="I807" s="319">
        <v>0</v>
      </c>
      <c r="J807" s="405">
        <v>0</v>
      </c>
      <c r="K807" s="409">
        <v>0</v>
      </c>
      <c r="L807" s="426"/>
    </row>
    <row r="808" spans="1:14" s="65" customFormat="1" ht="18.25" customHeight="1" outlineLevel="1">
      <c r="A808" s="571"/>
      <c r="B808" s="67" t="s">
        <v>462</v>
      </c>
      <c r="C808" s="61" t="s">
        <v>439</v>
      </c>
      <c r="D808" s="26">
        <v>2</v>
      </c>
      <c r="E808" s="69">
        <v>0</v>
      </c>
      <c r="F808" s="70">
        <v>0</v>
      </c>
      <c r="G808" s="69">
        <v>0</v>
      </c>
      <c r="H808" s="77">
        <v>0</v>
      </c>
      <c r="I808" s="320">
        <v>0</v>
      </c>
      <c r="J808" s="321">
        <v>0</v>
      </c>
      <c r="K808" s="322">
        <v>0</v>
      </c>
      <c r="L808" s="434">
        <v>0</v>
      </c>
      <c r="M808" s="249" t="s">
        <v>171</v>
      </c>
      <c r="N808" s="249"/>
    </row>
    <row r="809" spans="1:14" ht="18.25" customHeight="1" outlineLevel="2">
      <c r="B809" s="53" t="s">
        <v>462</v>
      </c>
      <c r="C809" s="54" t="s">
        <v>441</v>
      </c>
      <c r="D809" s="7" t="s">
        <v>481</v>
      </c>
      <c r="E809" s="58">
        <v>0</v>
      </c>
      <c r="F809" s="59">
        <v>0</v>
      </c>
      <c r="G809" s="58">
        <v>1</v>
      </c>
      <c r="H809" s="76">
        <v>122305</v>
      </c>
      <c r="I809" s="319">
        <v>1</v>
      </c>
      <c r="J809" s="405">
        <v>1</v>
      </c>
      <c r="K809" s="409">
        <v>1</v>
      </c>
      <c r="L809" s="426"/>
    </row>
    <row r="810" spans="1:14" s="65" customFormat="1" ht="18.25" customHeight="1" outlineLevel="1">
      <c r="A810" s="571"/>
      <c r="B810" s="67" t="s">
        <v>462</v>
      </c>
      <c r="C810" s="61" t="s">
        <v>441</v>
      </c>
      <c r="D810" s="26">
        <v>1</v>
      </c>
      <c r="E810" s="69">
        <v>0</v>
      </c>
      <c r="F810" s="70">
        <v>0</v>
      </c>
      <c r="G810" s="69">
        <v>1</v>
      </c>
      <c r="H810" s="77">
        <v>122305</v>
      </c>
      <c r="I810" s="320">
        <v>1</v>
      </c>
      <c r="J810" s="321">
        <v>1</v>
      </c>
      <c r="K810" s="322">
        <v>1</v>
      </c>
      <c r="L810" s="434">
        <v>0</v>
      </c>
      <c r="M810" s="249" t="s">
        <v>667</v>
      </c>
      <c r="N810" s="249"/>
    </row>
    <row r="811" spans="1:14" ht="18.25" customHeight="1" outlineLevel="2">
      <c r="B811" s="53" t="s">
        <v>462</v>
      </c>
      <c r="C811" s="54" t="s">
        <v>442</v>
      </c>
      <c r="D811" s="7" t="s">
        <v>221</v>
      </c>
      <c r="E811" s="58">
        <v>0</v>
      </c>
      <c r="F811" s="59">
        <v>0</v>
      </c>
      <c r="G811" s="58">
        <v>0</v>
      </c>
      <c r="H811" s="76">
        <v>0</v>
      </c>
      <c r="I811" s="319">
        <v>0</v>
      </c>
      <c r="J811" s="405">
        <v>0</v>
      </c>
      <c r="K811" s="409">
        <v>0</v>
      </c>
      <c r="L811" s="426"/>
    </row>
    <row r="812" spans="1:14" ht="18.25" customHeight="1" outlineLevel="2">
      <c r="B812" s="53" t="s">
        <v>462</v>
      </c>
      <c r="C812" s="55" t="s">
        <v>412</v>
      </c>
      <c r="D812" s="7" t="s">
        <v>181</v>
      </c>
      <c r="E812" s="58">
        <v>0</v>
      </c>
      <c r="F812" s="59">
        <v>0</v>
      </c>
      <c r="G812" s="58">
        <v>0</v>
      </c>
      <c r="H812" s="76">
        <v>0</v>
      </c>
      <c r="I812" s="319">
        <v>0</v>
      </c>
      <c r="J812" s="405">
        <v>0</v>
      </c>
      <c r="K812" s="409">
        <v>0</v>
      </c>
      <c r="L812" s="426"/>
    </row>
    <row r="813" spans="1:14" ht="18.25" customHeight="1" outlineLevel="2">
      <c r="B813" s="53" t="s">
        <v>462</v>
      </c>
      <c r="C813" s="55" t="s">
        <v>447</v>
      </c>
      <c r="D813" s="7" t="s">
        <v>181</v>
      </c>
      <c r="E813" s="58">
        <v>0</v>
      </c>
      <c r="F813" s="59">
        <v>0</v>
      </c>
      <c r="G813" s="58">
        <v>0</v>
      </c>
      <c r="H813" s="76">
        <v>0</v>
      </c>
      <c r="I813" s="319">
        <v>0</v>
      </c>
      <c r="J813" s="405">
        <v>0</v>
      </c>
      <c r="K813" s="409">
        <v>0</v>
      </c>
      <c r="L813" s="426"/>
    </row>
    <row r="814" spans="1:14" ht="18.25" customHeight="1" outlineLevel="2">
      <c r="B814" s="53" t="s">
        <v>462</v>
      </c>
      <c r="C814" s="55" t="s">
        <v>445</v>
      </c>
      <c r="D814" s="7" t="s">
        <v>181</v>
      </c>
      <c r="E814" s="58">
        <v>0</v>
      </c>
      <c r="F814" s="59">
        <v>0</v>
      </c>
      <c r="G814" s="58">
        <v>0</v>
      </c>
      <c r="H814" s="76">
        <v>0</v>
      </c>
      <c r="I814" s="319">
        <v>0</v>
      </c>
      <c r="J814" s="405">
        <v>0</v>
      </c>
      <c r="K814" s="409">
        <v>0</v>
      </c>
      <c r="L814" s="426"/>
    </row>
    <row r="815" spans="1:14" ht="18.25" customHeight="1" outlineLevel="2">
      <c r="B815" s="53" t="s">
        <v>462</v>
      </c>
      <c r="C815" s="54" t="s">
        <v>446</v>
      </c>
      <c r="D815" s="23" t="s">
        <v>181</v>
      </c>
      <c r="E815" s="58">
        <v>0</v>
      </c>
      <c r="F815" s="59">
        <v>0</v>
      </c>
      <c r="G815" s="58">
        <v>0</v>
      </c>
      <c r="H815" s="76">
        <v>0</v>
      </c>
      <c r="I815" s="319">
        <v>0</v>
      </c>
      <c r="J815" s="405">
        <v>0</v>
      </c>
      <c r="K815" s="409">
        <v>0</v>
      </c>
      <c r="L815" s="426"/>
    </row>
    <row r="816" spans="1:14" s="65" customFormat="1" ht="18.25" customHeight="1" outlineLevel="1">
      <c r="A816" s="571"/>
      <c r="B816" s="67" t="s">
        <v>462</v>
      </c>
      <c r="C816" s="61" t="s">
        <v>442</v>
      </c>
      <c r="D816" s="26">
        <v>5</v>
      </c>
      <c r="E816" s="69">
        <v>0</v>
      </c>
      <c r="F816" s="70">
        <v>0</v>
      </c>
      <c r="G816" s="69">
        <v>0</v>
      </c>
      <c r="H816" s="77">
        <v>0</v>
      </c>
      <c r="I816" s="320">
        <v>0</v>
      </c>
      <c r="J816" s="321">
        <v>0</v>
      </c>
      <c r="K816" s="322">
        <v>0</v>
      </c>
      <c r="L816" s="434">
        <v>0</v>
      </c>
      <c r="M816" s="249" t="s">
        <v>51</v>
      </c>
      <c r="N816" s="249"/>
    </row>
    <row r="817" spans="1:14" ht="18.25" customHeight="1" outlineLevel="2">
      <c r="B817" s="53" t="s">
        <v>462</v>
      </c>
      <c r="C817" s="54" t="s">
        <v>443</v>
      </c>
      <c r="D817" s="7" t="s">
        <v>189</v>
      </c>
      <c r="E817" s="58">
        <v>0</v>
      </c>
      <c r="F817" s="59">
        <v>0</v>
      </c>
      <c r="G817" s="58">
        <v>1</v>
      </c>
      <c r="H817" s="76">
        <v>1352</v>
      </c>
      <c r="I817" s="319">
        <v>1</v>
      </c>
      <c r="J817" s="405">
        <v>0</v>
      </c>
      <c r="K817" s="409">
        <v>0</v>
      </c>
      <c r="L817" s="426"/>
    </row>
    <row r="818" spans="1:14" ht="18.25" customHeight="1" outlineLevel="2">
      <c r="B818" s="53" t="s">
        <v>462</v>
      </c>
      <c r="C818" s="54" t="s">
        <v>444</v>
      </c>
      <c r="D818" s="23" t="s">
        <v>27</v>
      </c>
      <c r="E818" s="58">
        <v>0</v>
      </c>
      <c r="F818" s="59">
        <v>0</v>
      </c>
      <c r="G818" s="58">
        <v>0</v>
      </c>
      <c r="H818" s="76">
        <v>0</v>
      </c>
      <c r="I818" s="319">
        <v>0</v>
      </c>
      <c r="J818" s="405">
        <v>0</v>
      </c>
      <c r="K818" s="409">
        <v>0</v>
      </c>
      <c r="L818" s="426"/>
    </row>
    <row r="819" spans="1:14" s="65" customFormat="1" ht="18.25" customHeight="1" outlineLevel="1">
      <c r="A819" s="571"/>
      <c r="B819" s="67" t="s">
        <v>462</v>
      </c>
      <c r="C819" s="61" t="s">
        <v>443</v>
      </c>
      <c r="D819" s="26">
        <v>2</v>
      </c>
      <c r="E819" s="69">
        <v>0</v>
      </c>
      <c r="F819" s="70">
        <v>0</v>
      </c>
      <c r="G819" s="69">
        <v>1</v>
      </c>
      <c r="H819" s="77">
        <v>1352</v>
      </c>
      <c r="I819" s="320">
        <v>1</v>
      </c>
      <c r="J819" s="321">
        <v>0</v>
      </c>
      <c r="K819" s="322">
        <v>0</v>
      </c>
      <c r="L819" s="434">
        <v>0</v>
      </c>
      <c r="M819" s="249" t="s">
        <v>169</v>
      </c>
      <c r="N819" s="249"/>
    </row>
    <row r="820" spans="1:14" ht="18.25" customHeight="1" outlineLevel="2">
      <c r="B820" s="53" t="s">
        <v>462</v>
      </c>
      <c r="C820" s="54" t="s">
        <v>448</v>
      </c>
      <c r="D820" s="7" t="s">
        <v>240</v>
      </c>
      <c r="E820" s="58">
        <v>0</v>
      </c>
      <c r="F820" s="59">
        <v>0</v>
      </c>
      <c r="G820" s="58">
        <v>1</v>
      </c>
      <c r="H820" s="76">
        <v>7832</v>
      </c>
      <c r="I820" s="319">
        <v>1</v>
      </c>
      <c r="J820" s="405">
        <v>0</v>
      </c>
      <c r="K820" s="409">
        <v>0</v>
      </c>
      <c r="L820" s="426"/>
    </row>
    <row r="821" spans="1:14" ht="18.25" customHeight="1" outlineLevel="2">
      <c r="B821" s="53" t="s">
        <v>462</v>
      </c>
      <c r="C821" s="54" t="s">
        <v>449</v>
      </c>
      <c r="D821" s="23" t="s">
        <v>181</v>
      </c>
      <c r="E821" s="58">
        <v>0</v>
      </c>
      <c r="F821" s="59">
        <v>0</v>
      </c>
      <c r="G821" s="58">
        <v>0</v>
      </c>
      <c r="H821" s="76">
        <v>0</v>
      </c>
      <c r="I821" s="319">
        <v>0</v>
      </c>
      <c r="J821" s="405">
        <v>0</v>
      </c>
      <c r="K821" s="409">
        <v>0</v>
      </c>
      <c r="L821" s="426"/>
    </row>
    <row r="822" spans="1:14" ht="18.25" customHeight="1" outlineLevel="2">
      <c r="B822" s="53" t="s">
        <v>462</v>
      </c>
      <c r="C822" s="54" t="s">
        <v>450</v>
      </c>
      <c r="D822" s="23" t="s">
        <v>181</v>
      </c>
      <c r="E822" s="58">
        <v>0</v>
      </c>
      <c r="F822" s="59">
        <v>0</v>
      </c>
      <c r="G822" s="58">
        <v>0</v>
      </c>
      <c r="H822" s="76">
        <v>0</v>
      </c>
      <c r="I822" s="319">
        <v>0</v>
      </c>
      <c r="J822" s="405">
        <v>0</v>
      </c>
      <c r="K822" s="409">
        <v>0</v>
      </c>
      <c r="L822" s="426"/>
    </row>
    <row r="823" spans="1:14" ht="18.25" customHeight="1" outlineLevel="2">
      <c r="B823" s="53" t="s">
        <v>462</v>
      </c>
      <c r="C823" s="54" t="s">
        <v>451</v>
      </c>
      <c r="D823" s="7" t="s">
        <v>27</v>
      </c>
      <c r="E823" s="58">
        <v>0</v>
      </c>
      <c r="F823" s="59">
        <v>0</v>
      </c>
      <c r="G823" s="58">
        <v>0</v>
      </c>
      <c r="H823" s="76">
        <v>0</v>
      </c>
      <c r="I823" s="319">
        <v>0</v>
      </c>
      <c r="J823" s="405">
        <v>0</v>
      </c>
      <c r="K823" s="409">
        <v>0</v>
      </c>
      <c r="L823" s="426"/>
    </row>
    <row r="824" spans="1:14" s="65" customFormat="1" ht="18.25" customHeight="1" outlineLevel="1">
      <c r="A824" s="571"/>
      <c r="B824" s="67" t="s">
        <v>462</v>
      </c>
      <c r="C824" s="61" t="s">
        <v>448</v>
      </c>
      <c r="D824" s="26">
        <v>4</v>
      </c>
      <c r="E824" s="69">
        <v>0</v>
      </c>
      <c r="F824" s="70">
        <v>0</v>
      </c>
      <c r="G824" s="69">
        <v>1</v>
      </c>
      <c r="H824" s="77">
        <v>7832</v>
      </c>
      <c r="I824" s="320">
        <v>1</v>
      </c>
      <c r="J824" s="321">
        <v>0</v>
      </c>
      <c r="K824" s="322">
        <v>0</v>
      </c>
      <c r="L824" s="434">
        <v>0</v>
      </c>
      <c r="M824" s="249" t="s">
        <v>171</v>
      </c>
      <c r="N824" s="249"/>
    </row>
    <row r="825" spans="1:14" s="161" customFormat="1" ht="18.25" customHeight="1">
      <c r="A825" s="573" t="s">
        <v>841</v>
      </c>
      <c r="B825" s="947" t="s">
        <v>464</v>
      </c>
      <c r="C825" s="947"/>
      <c r="D825" s="157">
        <v>33</v>
      </c>
      <c r="E825" s="158">
        <v>0</v>
      </c>
      <c r="F825" s="159">
        <v>12720</v>
      </c>
      <c r="G825" s="158">
        <v>17</v>
      </c>
      <c r="H825" s="160">
        <v>369711</v>
      </c>
      <c r="I825" s="158">
        <v>9</v>
      </c>
      <c r="J825" s="351">
        <v>5</v>
      </c>
      <c r="K825" s="420">
        <v>4</v>
      </c>
      <c r="L825" s="440">
        <v>2</v>
      </c>
      <c r="M825" s="252"/>
      <c r="N825" s="252"/>
    </row>
    <row r="826" spans="1:14" ht="18.25" customHeight="1" outlineLevel="2">
      <c r="B826" s="144" t="s">
        <v>585</v>
      </c>
      <c r="C826" s="54" t="s">
        <v>586</v>
      </c>
      <c r="D826" s="7" t="s">
        <v>167</v>
      </c>
      <c r="E826" s="58">
        <v>0</v>
      </c>
      <c r="F826" s="59">
        <v>0</v>
      </c>
      <c r="G826" s="58">
        <v>0</v>
      </c>
      <c r="H826" s="76">
        <v>0</v>
      </c>
      <c r="I826" s="319">
        <v>0</v>
      </c>
      <c r="J826" s="405">
        <v>0</v>
      </c>
      <c r="K826" s="409">
        <v>0</v>
      </c>
      <c r="L826" s="426"/>
    </row>
    <row r="827" spans="1:14" ht="18.25" customHeight="1" outlineLevel="2">
      <c r="B827" s="53" t="s">
        <v>583</v>
      </c>
      <c r="C827" s="54" t="s">
        <v>607</v>
      </c>
      <c r="D827" s="23" t="s">
        <v>27</v>
      </c>
      <c r="E827" s="58">
        <v>0</v>
      </c>
      <c r="F827" s="59">
        <v>0</v>
      </c>
      <c r="G827" s="58">
        <v>2</v>
      </c>
      <c r="H827" s="76">
        <v>2751</v>
      </c>
      <c r="I827" s="319">
        <v>1</v>
      </c>
      <c r="J827" s="405">
        <v>0</v>
      </c>
      <c r="K827" s="409">
        <v>0</v>
      </c>
      <c r="L827" s="426"/>
    </row>
    <row r="828" spans="1:14" ht="18.25" customHeight="1" outlineLevel="2">
      <c r="B828" s="53" t="s">
        <v>583</v>
      </c>
      <c r="C828" s="54" t="s">
        <v>597</v>
      </c>
      <c r="D828" s="23" t="s">
        <v>27</v>
      </c>
      <c r="E828" s="58">
        <v>0</v>
      </c>
      <c r="F828" s="59">
        <v>0</v>
      </c>
      <c r="G828" s="58">
        <v>2</v>
      </c>
      <c r="H828" s="76">
        <v>15724</v>
      </c>
      <c r="I828" s="319">
        <v>1</v>
      </c>
      <c r="J828" s="405">
        <v>1</v>
      </c>
      <c r="K828" s="409">
        <v>0</v>
      </c>
      <c r="L828" s="426"/>
    </row>
    <row r="829" spans="1:14" ht="18.25" customHeight="1" outlineLevel="2">
      <c r="B829" s="53" t="s">
        <v>583</v>
      </c>
      <c r="C829" s="54" t="s">
        <v>686</v>
      </c>
      <c r="D829" s="23" t="s">
        <v>27</v>
      </c>
      <c r="E829" s="58">
        <v>0</v>
      </c>
      <c r="F829" s="59">
        <v>0</v>
      </c>
      <c r="G829" s="58">
        <v>0</v>
      </c>
      <c r="H829" s="76">
        <v>0</v>
      </c>
      <c r="I829" s="319">
        <v>0</v>
      </c>
      <c r="J829" s="405">
        <v>0</v>
      </c>
      <c r="K829" s="409">
        <v>0</v>
      </c>
      <c r="L829" s="426"/>
    </row>
    <row r="830" spans="1:14" ht="18.25" customHeight="1" outlineLevel="2">
      <c r="B830" s="53" t="s">
        <v>583</v>
      </c>
      <c r="C830" s="54" t="s">
        <v>820</v>
      </c>
      <c r="D830" s="23" t="s">
        <v>27</v>
      </c>
      <c r="E830" s="58">
        <v>0</v>
      </c>
      <c r="F830" s="59">
        <v>0</v>
      </c>
      <c r="G830" s="58">
        <v>0</v>
      </c>
      <c r="H830" s="76">
        <v>0</v>
      </c>
      <c r="I830" s="319">
        <v>0</v>
      </c>
      <c r="J830" s="405">
        <v>0</v>
      </c>
      <c r="K830" s="409">
        <v>0</v>
      </c>
      <c r="L830" s="426"/>
    </row>
    <row r="831" spans="1:14" ht="18.25" customHeight="1" outlineLevel="2">
      <c r="B831" s="53" t="s">
        <v>583</v>
      </c>
      <c r="C831" s="54" t="s">
        <v>588</v>
      </c>
      <c r="D831" s="23" t="s">
        <v>27</v>
      </c>
      <c r="E831" s="58">
        <v>0</v>
      </c>
      <c r="F831" s="59">
        <v>0</v>
      </c>
      <c r="G831" s="58">
        <v>3</v>
      </c>
      <c r="H831" s="76">
        <v>28628</v>
      </c>
      <c r="I831" s="319">
        <v>1</v>
      </c>
      <c r="J831" s="405">
        <v>1</v>
      </c>
      <c r="K831" s="409">
        <v>1</v>
      </c>
      <c r="L831" s="426"/>
    </row>
    <row r="832" spans="1:14" ht="18.25" customHeight="1" outlineLevel="2">
      <c r="B832" s="53" t="s">
        <v>583</v>
      </c>
      <c r="C832" s="54" t="s">
        <v>605</v>
      </c>
      <c r="D832" s="23" t="s">
        <v>606</v>
      </c>
      <c r="E832" s="58">
        <v>0</v>
      </c>
      <c r="F832" s="59">
        <v>0</v>
      </c>
      <c r="G832" s="58">
        <v>1</v>
      </c>
      <c r="H832" s="76">
        <v>12474</v>
      </c>
      <c r="I832" s="319">
        <v>1</v>
      </c>
      <c r="J832" s="405">
        <v>1</v>
      </c>
      <c r="K832" s="409">
        <v>0</v>
      </c>
      <c r="L832" s="426"/>
    </row>
    <row r="833" spans="1:14" ht="18.25" customHeight="1" outlineLevel="2">
      <c r="B833" s="53" t="s">
        <v>583</v>
      </c>
      <c r="C833" s="54" t="s">
        <v>611</v>
      </c>
      <c r="D833" s="23" t="s">
        <v>27</v>
      </c>
      <c r="E833" s="58">
        <v>0</v>
      </c>
      <c r="F833" s="59">
        <v>0</v>
      </c>
      <c r="G833" s="58">
        <v>1</v>
      </c>
      <c r="H833" s="76">
        <v>27455</v>
      </c>
      <c r="I833" s="319">
        <v>1</v>
      </c>
      <c r="J833" s="405">
        <v>1</v>
      </c>
      <c r="K833" s="409">
        <v>1</v>
      </c>
      <c r="L833" s="426"/>
    </row>
    <row r="834" spans="1:14" ht="18.25" customHeight="1" outlineLevel="2">
      <c r="B834" s="53" t="s">
        <v>583</v>
      </c>
      <c r="C834" s="54" t="s">
        <v>691</v>
      </c>
      <c r="D834" s="23" t="s">
        <v>27</v>
      </c>
      <c r="E834" s="58">
        <v>0</v>
      </c>
      <c r="F834" s="59">
        <v>0</v>
      </c>
      <c r="G834" s="58">
        <v>0</v>
      </c>
      <c r="H834" s="76">
        <v>0</v>
      </c>
      <c r="I834" s="319">
        <v>0</v>
      </c>
      <c r="J834" s="405">
        <v>0</v>
      </c>
      <c r="K834" s="409">
        <v>0</v>
      </c>
      <c r="L834" s="426"/>
    </row>
    <row r="835" spans="1:14" ht="18.25" customHeight="1" outlineLevel="2">
      <c r="B835" s="52" t="s">
        <v>583</v>
      </c>
      <c r="C835" s="54" t="s">
        <v>732</v>
      </c>
      <c r="D835" s="23" t="s">
        <v>27</v>
      </c>
      <c r="E835" s="58">
        <v>0</v>
      </c>
      <c r="F835" s="59">
        <v>0</v>
      </c>
      <c r="G835" s="58">
        <v>0</v>
      </c>
      <c r="H835" s="76">
        <v>0</v>
      </c>
      <c r="I835" s="319">
        <v>0</v>
      </c>
      <c r="J835" s="405">
        <v>0</v>
      </c>
      <c r="K835" s="409">
        <v>0</v>
      </c>
      <c r="L835" s="426"/>
    </row>
    <row r="836" spans="1:14" ht="18.25" customHeight="1" outlineLevel="2">
      <c r="B836" s="52" t="s">
        <v>583</v>
      </c>
      <c r="C836" s="54" t="s">
        <v>587</v>
      </c>
      <c r="D836" s="23" t="s">
        <v>27</v>
      </c>
      <c r="E836" s="58">
        <v>0</v>
      </c>
      <c r="F836" s="59">
        <v>0</v>
      </c>
      <c r="G836" s="58">
        <v>1</v>
      </c>
      <c r="H836" s="76">
        <v>9372</v>
      </c>
      <c r="I836" s="319">
        <v>1</v>
      </c>
      <c r="J836" s="405">
        <v>0</v>
      </c>
      <c r="K836" s="409">
        <v>0</v>
      </c>
      <c r="L836" s="426"/>
    </row>
    <row r="837" spans="1:14" s="65" customFormat="1" ht="18.25" customHeight="1" outlineLevel="1">
      <c r="A837" s="571"/>
      <c r="B837" s="67" t="s">
        <v>583</v>
      </c>
      <c r="C837" s="61" t="s">
        <v>586</v>
      </c>
      <c r="D837" s="26">
        <v>11</v>
      </c>
      <c r="E837" s="69">
        <v>0</v>
      </c>
      <c r="F837" s="70">
        <v>0</v>
      </c>
      <c r="G837" s="69">
        <v>10</v>
      </c>
      <c r="H837" s="77">
        <v>96404</v>
      </c>
      <c r="I837" s="320">
        <v>6</v>
      </c>
      <c r="J837" s="321">
        <v>4</v>
      </c>
      <c r="K837" s="322">
        <v>2</v>
      </c>
      <c r="L837" s="434">
        <v>0</v>
      </c>
      <c r="M837" s="249" t="s">
        <v>167</v>
      </c>
      <c r="N837" s="249"/>
    </row>
    <row r="838" spans="1:14" ht="18.25" customHeight="1" outlineLevel="2">
      <c r="B838" s="52" t="s">
        <v>583</v>
      </c>
      <c r="C838" s="54" t="s">
        <v>733</v>
      </c>
      <c r="D838" s="23" t="s">
        <v>369</v>
      </c>
      <c r="E838" s="58">
        <v>0</v>
      </c>
      <c r="F838" s="59">
        <v>0</v>
      </c>
      <c r="G838" s="58">
        <v>4</v>
      </c>
      <c r="H838" s="76">
        <v>54391</v>
      </c>
      <c r="I838" s="319">
        <v>1</v>
      </c>
      <c r="J838" s="405">
        <v>1</v>
      </c>
      <c r="K838" s="409">
        <v>1</v>
      </c>
      <c r="L838" s="426"/>
    </row>
    <row r="839" spans="1:14" s="65" customFormat="1" ht="18.25" customHeight="1" outlineLevel="1">
      <c r="A839" s="571"/>
      <c r="B839" s="67" t="s">
        <v>583</v>
      </c>
      <c r="C839" s="61" t="s">
        <v>733</v>
      </c>
      <c r="D839" s="26">
        <v>1</v>
      </c>
      <c r="E839" s="69">
        <v>0</v>
      </c>
      <c r="F839" s="70">
        <v>0</v>
      </c>
      <c r="G839" s="69">
        <v>4</v>
      </c>
      <c r="H839" s="77">
        <v>54391</v>
      </c>
      <c r="I839" s="320">
        <v>1</v>
      </c>
      <c r="J839" s="321">
        <v>1</v>
      </c>
      <c r="K839" s="322">
        <v>1</v>
      </c>
      <c r="L839" s="434">
        <v>0</v>
      </c>
      <c r="M839" s="249" t="s">
        <v>668</v>
      </c>
      <c r="N839" s="249"/>
    </row>
    <row r="840" spans="1:14" ht="18.25" customHeight="1" outlineLevel="2">
      <c r="B840" s="52" t="s">
        <v>583</v>
      </c>
      <c r="C840" s="54" t="s">
        <v>589</v>
      </c>
      <c r="D840" s="23" t="s">
        <v>171</v>
      </c>
      <c r="E840" s="58">
        <v>0</v>
      </c>
      <c r="F840" s="59">
        <v>0</v>
      </c>
      <c r="G840" s="58">
        <v>0</v>
      </c>
      <c r="H840" s="76">
        <v>0</v>
      </c>
      <c r="I840" s="319">
        <v>0</v>
      </c>
      <c r="J840" s="405">
        <v>0</v>
      </c>
      <c r="K840" s="409">
        <v>0</v>
      </c>
      <c r="L840" s="426"/>
    </row>
    <row r="841" spans="1:14" ht="18.25" customHeight="1" outlineLevel="2">
      <c r="B841" s="52" t="s">
        <v>583</v>
      </c>
      <c r="C841" s="54" t="s">
        <v>590</v>
      </c>
      <c r="D841" s="23" t="s">
        <v>27</v>
      </c>
      <c r="E841" s="58">
        <v>0</v>
      </c>
      <c r="F841" s="59">
        <v>0</v>
      </c>
      <c r="G841" s="58">
        <v>0</v>
      </c>
      <c r="H841" s="76">
        <v>0</v>
      </c>
      <c r="I841" s="319">
        <v>0</v>
      </c>
      <c r="J841" s="405">
        <v>0</v>
      </c>
      <c r="K841" s="409">
        <v>0</v>
      </c>
      <c r="L841" s="426"/>
    </row>
    <row r="842" spans="1:14" s="65" customFormat="1" ht="18.25" customHeight="1" outlineLevel="1">
      <c r="A842" s="571"/>
      <c r="B842" s="67" t="s">
        <v>583</v>
      </c>
      <c r="C842" s="61" t="s">
        <v>589</v>
      </c>
      <c r="D842" s="26">
        <v>2</v>
      </c>
      <c r="E842" s="69">
        <v>0</v>
      </c>
      <c r="F842" s="70">
        <v>0</v>
      </c>
      <c r="G842" s="69">
        <v>0</v>
      </c>
      <c r="H842" s="77">
        <v>0</v>
      </c>
      <c r="I842" s="320">
        <v>0</v>
      </c>
      <c r="J842" s="321">
        <v>0</v>
      </c>
      <c r="K842" s="322">
        <v>0</v>
      </c>
      <c r="L842" s="434">
        <v>0</v>
      </c>
      <c r="M842" s="249" t="s">
        <v>171</v>
      </c>
      <c r="N842" s="249"/>
    </row>
    <row r="843" spans="1:14" ht="18.25" customHeight="1" outlineLevel="2">
      <c r="B843" s="52" t="s">
        <v>583</v>
      </c>
      <c r="C843" s="55" t="s">
        <v>591</v>
      </c>
      <c r="D843" s="7" t="s">
        <v>169</v>
      </c>
      <c r="E843" s="58">
        <v>0</v>
      </c>
      <c r="F843" s="59">
        <v>0</v>
      </c>
      <c r="G843" s="58">
        <v>0</v>
      </c>
      <c r="H843" s="76">
        <v>0</v>
      </c>
      <c r="I843" s="319">
        <v>0</v>
      </c>
      <c r="J843" s="405">
        <v>0</v>
      </c>
      <c r="K843" s="409">
        <v>0</v>
      </c>
      <c r="L843" s="426"/>
    </row>
    <row r="844" spans="1:14" ht="18.25" customHeight="1" outlineLevel="2">
      <c r="B844" s="52" t="s">
        <v>583</v>
      </c>
      <c r="C844" s="55" t="s">
        <v>781</v>
      </c>
      <c r="D844" s="23" t="s">
        <v>27</v>
      </c>
      <c r="E844" s="58">
        <v>0</v>
      </c>
      <c r="F844" s="59">
        <v>0</v>
      </c>
      <c r="G844" s="58">
        <v>1</v>
      </c>
      <c r="H844" s="76">
        <v>4558</v>
      </c>
      <c r="I844" s="319">
        <v>1</v>
      </c>
      <c r="J844" s="405">
        <v>0</v>
      </c>
      <c r="K844" s="409">
        <v>0</v>
      </c>
      <c r="L844" s="426"/>
    </row>
    <row r="845" spans="1:14" ht="18.25" customHeight="1" outlineLevel="2">
      <c r="B845" s="52" t="s">
        <v>583</v>
      </c>
      <c r="C845" s="55" t="s">
        <v>713</v>
      </c>
      <c r="D845" s="23" t="s">
        <v>27</v>
      </c>
      <c r="E845" s="58">
        <v>0</v>
      </c>
      <c r="F845" s="59">
        <v>0</v>
      </c>
      <c r="G845" s="58">
        <v>1</v>
      </c>
      <c r="H845" s="76">
        <v>10122</v>
      </c>
      <c r="I845" s="319">
        <v>1</v>
      </c>
      <c r="J845" s="405">
        <v>1</v>
      </c>
      <c r="K845" s="409">
        <v>0</v>
      </c>
      <c r="L845" s="426"/>
    </row>
    <row r="846" spans="1:14" s="65" customFormat="1" ht="18.25" customHeight="1" outlineLevel="1">
      <c r="A846" s="571"/>
      <c r="B846" s="67" t="s">
        <v>583</v>
      </c>
      <c r="C846" s="61" t="s">
        <v>591</v>
      </c>
      <c r="D846" s="26">
        <v>3</v>
      </c>
      <c r="E846" s="69">
        <v>0</v>
      </c>
      <c r="F846" s="70">
        <v>0</v>
      </c>
      <c r="G846" s="69">
        <v>2</v>
      </c>
      <c r="H846" s="77">
        <v>14680</v>
      </c>
      <c r="I846" s="320">
        <v>2</v>
      </c>
      <c r="J846" s="321">
        <v>1</v>
      </c>
      <c r="K846" s="322">
        <v>0</v>
      </c>
      <c r="L846" s="434">
        <v>0</v>
      </c>
      <c r="M846" s="249" t="s">
        <v>169</v>
      </c>
      <c r="N846" s="249"/>
    </row>
    <row r="847" spans="1:14" ht="18.25" customHeight="1" outlineLevel="2">
      <c r="B847" s="52" t="s">
        <v>583</v>
      </c>
      <c r="C847" s="55" t="s">
        <v>592</v>
      </c>
      <c r="D847" s="7" t="s">
        <v>171</v>
      </c>
      <c r="E847" s="58">
        <v>0</v>
      </c>
      <c r="F847" s="59">
        <v>0</v>
      </c>
      <c r="G847" s="58">
        <v>3</v>
      </c>
      <c r="H847" s="76">
        <v>65139</v>
      </c>
      <c r="I847" s="319">
        <v>1</v>
      </c>
      <c r="J847" s="405">
        <v>1</v>
      </c>
      <c r="K847" s="409">
        <v>1</v>
      </c>
      <c r="L847" s="426"/>
    </row>
    <row r="848" spans="1:14" ht="18.25" customHeight="1" outlineLevel="2">
      <c r="B848" s="52" t="s">
        <v>583</v>
      </c>
      <c r="C848" s="55" t="s">
        <v>593</v>
      </c>
      <c r="D848" s="7" t="s">
        <v>27</v>
      </c>
      <c r="E848" s="58">
        <v>0</v>
      </c>
      <c r="F848" s="59">
        <v>0</v>
      </c>
      <c r="G848" s="58">
        <v>0</v>
      </c>
      <c r="H848" s="76">
        <v>0</v>
      </c>
      <c r="I848" s="319">
        <v>0</v>
      </c>
      <c r="J848" s="405">
        <v>0</v>
      </c>
      <c r="K848" s="409">
        <v>0</v>
      </c>
      <c r="L848" s="426"/>
    </row>
    <row r="849" spans="1:14" s="65" customFormat="1" ht="18.25" customHeight="1" outlineLevel="1">
      <c r="A849" s="571"/>
      <c r="B849" s="67" t="s">
        <v>583</v>
      </c>
      <c r="C849" s="61" t="s">
        <v>592</v>
      </c>
      <c r="D849" s="26">
        <v>2</v>
      </c>
      <c r="E849" s="69">
        <v>0</v>
      </c>
      <c r="F849" s="70">
        <v>0</v>
      </c>
      <c r="G849" s="69">
        <v>3</v>
      </c>
      <c r="H849" s="77">
        <v>65139</v>
      </c>
      <c r="I849" s="320">
        <v>1</v>
      </c>
      <c r="J849" s="321">
        <v>1</v>
      </c>
      <c r="K849" s="322">
        <v>1</v>
      </c>
      <c r="L849" s="434">
        <v>0</v>
      </c>
      <c r="M849" s="249" t="s">
        <v>171</v>
      </c>
      <c r="N849" s="249"/>
    </row>
    <row r="850" spans="1:14" ht="18.25" customHeight="1" outlineLevel="2">
      <c r="B850" s="52" t="s">
        <v>583</v>
      </c>
      <c r="C850" s="55" t="s">
        <v>594</v>
      </c>
      <c r="D850" s="7" t="s">
        <v>171</v>
      </c>
      <c r="E850" s="58">
        <v>0</v>
      </c>
      <c r="F850" s="59">
        <v>0</v>
      </c>
      <c r="G850" s="58">
        <v>0</v>
      </c>
      <c r="H850" s="76">
        <v>0</v>
      </c>
      <c r="I850" s="319">
        <v>0</v>
      </c>
      <c r="J850" s="405">
        <v>0</v>
      </c>
      <c r="K850" s="409">
        <v>0</v>
      </c>
      <c r="L850" s="426"/>
    </row>
    <row r="851" spans="1:14" ht="18.25" customHeight="1" outlineLevel="2">
      <c r="B851" s="52" t="s">
        <v>583</v>
      </c>
      <c r="C851" s="55" t="s">
        <v>596</v>
      </c>
      <c r="D851" s="7" t="s">
        <v>27</v>
      </c>
      <c r="E851" s="58">
        <v>0</v>
      </c>
      <c r="F851" s="59">
        <v>0</v>
      </c>
      <c r="G851" s="58">
        <v>0</v>
      </c>
      <c r="H851" s="76">
        <v>0</v>
      </c>
      <c r="I851" s="319">
        <v>0</v>
      </c>
      <c r="J851" s="405">
        <v>0</v>
      </c>
      <c r="K851" s="409">
        <v>0</v>
      </c>
      <c r="L851" s="426"/>
    </row>
    <row r="852" spans="1:14" ht="18.25" customHeight="1" outlineLevel="2">
      <c r="B852" s="52" t="s">
        <v>583</v>
      </c>
      <c r="C852" s="55" t="s">
        <v>711</v>
      </c>
      <c r="D852" s="7" t="s">
        <v>27</v>
      </c>
      <c r="E852" s="58">
        <v>0</v>
      </c>
      <c r="F852" s="59">
        <v>0</v>
      </c>
      <c r="G852" s="58">
        <v>0</v>
      </c>
      <c r="H852" s="76">
        <v>0</v>
      </c>
      <c r="I852" s="319">
        <v>0</v>
      </c>
      <c r="J852" s="405">
        <v>0</v>
      </c>
      <c r="K852" s="409">
        <v>0</v>
      </c>
      <c r="L852" s="426"/>
    </row>
    <row r="853" spans="1:14" ht="18.25" customHeight="1" outlineLevel="2">
      <c r="B853" s="52" t="s">
        <v>583</v>
      </c>
      <c r="C853" s="55" t="s">
        <v>595</v>
      </c>
      <c r="D853" s="7" t="s">
        <v>27</v>
      </c>
      <c r="E853" s="58">
        <v>0</v>
      </c>
      <c r="F853" s="59">
        <v>0</v>
      </c>
      <c r="G853" s="58">
        <v>0</v>
      </c>
      <c r="H853" s="76">
        <v>0</v>
      </c>
      <c r="I853" s="319">
        <v>0</v>
      </c>
      <c r="J853" s="405">
        <v>0</v>
      </c>
      <c r="K853" s="409">
        <v>0</v>
      </c>
      <c r="L853" s="426"/>
    </row>
    <row r="854" spans="1:14" s="65" customFormat="1" ht="18.25" customHeight="1" outlineLevel="1">
      <c r="A854" s="571"/>
      <c r="B854" s="67" t="s">
        <v>583</v>
      </c>
      <c r="C854" s="61" t="s">
        <v>594</v>
      </c>
      <c r="D854" s="26">
        <v>4</v>
      </c>
      <c r="E854" s="69">
        <v>0</v>
      </c>
      <c r="F854" s="70">
        <v>0</v>
      </c>
      <c r="G854" s="69">
        <v>0</v>
      </c>
      <c r="H854" s="77">
        <v>0</v>
      </c>
      <c r="I854" s="320">
        <v>0</v>
      </c>
      <c r="J854" s="321">
        <v>0</v>
      </c>
      <c r="K854" s="322">
        <v>0</v>
      </c>
      <c r="L854" s="434">
        <v>0</v>
      </c>
      <c r="M854" s="249" t="s">
        <v>171</v>
      </c>
      <c r="N854" s="249"/>
    </row>
    <row r="855" spans="1:14" ht="18.25" customHeight="1" outlineLevel="2">
      <c r="B855" s="53" t="s">
        <v>583</v>
      </c>
      <c r="C855" s="55" t="s">
        <v>598</v>
      </c>
      <c r="D855" s="7" t="s">
        <v>169</v>
      </c>
      <c r="E855" s="58">
        <v>0</v>
      </c>
      <c r="F855" s="59">
        <v>0</v>
      </c>
      <c r="G855" s="58">
        <v>1</v>
      </c>
      <c r="H855" s="76">
        <v>11050</v>
      </c>
      <c r="I855" s="319">
        <v>1</v>
      </c>
      <c r="J855" s="405">
        <v>0</v>
      </c>
      <c r="K855" s="409">
        <v>0</v>
      </c>
      <c r="L855" s="426"/>
    </row>
    <row r="856" spans="1:14" ht="18.25" customHeight="1" outlineLevel="2">
      <c r="B856" s="53" t="s">
        <v>583</v>
      </c>
      <c r="C856" s="55" t="s">
        <v>858</v>
      </c>
      <c r="D856" s="23" t="s">
        <v>27</v>
      </c>
      <c r="E856" s="58">
        <v>0</v>
      </c>
      <c r="F856" s="59">
        <v>0</v>
      </c>
      <c r="G856" s="58">
        <v>0</v>
      </c>
      <c r="H856" s="76">
        <v>0</v>
      </c>
      <c r="I856" s="319">
        <v>0</v>
      </c>
      <c r="J856" s="405">
        <v>0</v>
      </c>
      <c r="K856" s="409">
        <v>0</v>
      </c>
      <c r="L856" s="426"/>
    </row>
    <row r="857" spans="1:14" ht="18.25" customHeight="1" outlineLevel="2">
      <c r="B857" s="53" t="s">
        <v>583</v>
      </c>
      <c r="C857" s="55" t="s">
        <v>599</v>
      </c>
      <c r="D857" s="23" t="s">
        <v>27</v>
      </c>
      <c r="E857" s="58">
        <v>0</v>
      </c>
      <c r="F857" s="59">
        <v>0</v>
      </c>
      <c r="G857" s="58">
        <v>0</v>
      </c>
      <c r="H857" s="76">
        <v>0</v>
      </c>
      <c r="I857" s="319">
        <v>0</v>
      </c>
      <c r="J857" s="405">
        <v>0</v>
      </c>
      <c r="K857" s="409">
        <v>0</v>
      </c>
      <c r="L857" s="426"/>
    </row>
    <row r="858" spans="1:14" s="65" customFormat="1" ht="18.25" customHeight="1" outlineLevel="1">
      <c r="A858" s="571"/>
      <c r="B858" s="67" t="s">
        <v>583</v>
      </c>
      <c r="C858" s="61" t="s">
        <v>598</v>
      </c>
      <c r="D858" s="26">
        <v>3</v>
      </c>
      <c r="E858" s="69">
        <v>0</v>
      </c>
      <c r="F858" s="70">
        <v>0</v>
      </c>
      <c r="G858" s="69">
        <v>1</v>
      </c>
      <c r="H858" s="77">
        <v>11050</v>
      </c>
      <c r="I858" s="320">
        <v>1</v>
      </c>
      <c r="J858" s="321">
        <v>0</v>
      </c>
      <c r="K858" s="322">
        <v>0</v>
      </c>
      <c r="L858" s="434">
        <v>0</v>
      </c>
      <c r="M858" s="249" t="s">
        <v>169</v>
      </c>
      <c r="N858" s="249"/>
    </row>
    <row r="859" spans="1:14" ht="18.25" customHeight="1" outlineLevel="2">
      <c r="B859" s="53" t="s">
        <v>583</v>
      </c>
      <c r="C859" s="54" t="s">
        <v>600</v>
      </c>
      <c r="D859" s="7" t="s">
        <v>51</v>
      </c>
      <c r="E859" s="58">
        <v>0</v>
      </c>
      <c r="F859" s="59">
        <v>0</v>
      </c>
      <c r="G859" s="58">
        <v>0</v>
      </c>
      <c r="H859" s="76">
        <v>0</v>
      </c>
      <c r="I859" s="319">
        <v>0</v>
      </c>
      <c r="J859" s="405">
        <v>0</v>
      </c>
      <c r="K859" s="409">
        <v>0</v>
      </c>
      <c r="L859" s="426"/>
    </row>
    <row r="860" spans="1:14" ht="18.25" customHeight="1" outlineLevel="2">
      <c r="B860" s="53" t="s">
        <v>583</v>
      </c>
      <c r="C860" s="54" t="s">
        <v>604</v>
      </c>
      <c r="D860" s="7" t="s">
        <v>27</v>
      </c>
      <c r="E860" s="58">
        <v>0</v>
      </c>
      <c r="F860" s="59">
        <v>0</v>
      </c>
      <c r="G860" s="58">
        <v>0</v>
      </c>
      <c r="H860" s="76">
        <v>0</v>
      </c>
      <c r="I860" s="319">
        <v>0</v>
      </c>
      <c r="J860" s="405">
        <v>0</v>
      </c>
      <c r="K860" s="409">
        <v>0</v>
      </c>
      <c r="L860" s="426"/>
    </row>
    <row r="861" spans="1:14" ht="18.25" customHeight="1" outlineLevel="2">
      <c r="B861" s="53" t="s">
        <v>583</v>
      </c>
      <c r="C861" s="54" t="s">
        <v>787</v>
      </c>
      <c r="D861" s="7" t="s">
        <v>27</v>
      </c>
      <c r="E861" s="58">
        <v>0</v>
      </c>
      <c r="F861" s="59">
        <v>0</v>
      </c>
      <c r="G861" s="58">
        <v>0</v>
      </c>
      <c r="H861" s="76">
        <v>0</v>
      </c>
      <c r="I861" s="319">
        <v>0</v>
      </c>
      <c r="J861" s="405">
        <v>0</v>
      </c>
      <c r="K861" s="409">
        <v>0</v>
      </c>
      <c r="L861" s="426"/>
    </row>
    <row r="862" spans="1:14" ht="18.25" customHeight="1" outlineLevel="2">
      <c r="B862" s="53" t="s">
        <v>583</v>
      </c>
      <c r="C862" s="54" t="s">
        <v>601</v>
      </c>
      <c r="D862" s="7" t="s">
        <v>27</v>
      </c>
      <c r="E862" s="58">
        <v>0</v>
      </c>
      <c r="F862" s="59">
        <v>0</v>
      </c>
      <c r="G862" s="58">
        <v>2</v>
      </c>
      <c r="H862" s="76">
        <v>1369</v>
      </c>
      <c r="I862" s="319">
        <v>1</v>
      </c>
      <c r="J862" s="405">
        <v>0</v>
      </c>
      <c r="K862" s="409">
        <v>0</v>
      </c>
      <c r="L862" s="426"/>
    </row>
    <row r="863" spans="1:14" ht="18.25" customHeight="1" outlineLevel="2">
      <c r="B863" s="53" t="s">
        <v>583</v>
      </c>
      <c r="C863" s="54" t="s">
        <v>602</v>
      </c>
      <c r="D863" s="7" t="s">
        <v>27</v>
      </c>
      <c r="E863" s="58">
        <v>0</v>
      </c>
      <c r="F863" s="59">
        <v>0</v>
      </c>
      <c r="G863" s="58">
        <v>0</v>
      </c>
      <c r="H863" s="76">
        <v>0</v>
      </c>
      <c r="I863" s="319">
        <v>0</v>
      </c>
      <c r="J863" s="405">
        <v>0</v>
      </c>
      <c r="K863" s="409">
        <v>0</v>
      </c>
      <c r="L863" s="426"/>
    </row>
    <row r="864" spans="1:14" s="65" customFormat="1" ht="18.25" customHeight="1" outlineLevel="1">
      <c r="A864" s="571"/>
      <c r="B864" s="67" t="s">
        <v>583</v>
      </c>
      <c r="C864" s="61" t="s">
        <v>600</v>
      </c>
      <c r="D864" s="26">
        <v>5</v>
      </c>
      <c r="E864" s="69">
        <v>0</v>
      </c>
      <c r="F864" s="70">
        <v>0</v>
      </c>
      <c r="G864" s="69">
        <v>2</v>
      </c>
      <c r="H864" s="77">
        <v>1369</v>
      </c>
      <c r="I864" s="320">
        <v>1</v>
      </c>
      <c r="J864" s="321">
        <v>0</v>
      </c>
      <c r="K864" s="322">
        <v>0</v>
      </c>
      <c r="L864" s="434">
        <v>0</v>
      </c>
      <c r="M864" s="249" t="s">
        <v>51</v>
      </c>
      <c r="N864" s="249"/>
    </row>
    <row r="865" spans="1:17" ht="18.25" customHeight="1" outlineLevel="2">
      <c r="B865" s="53" t="s">
        <v>583</v>
      </c>
      <c r="C865" s="54" t="s">
        <v>603</v>
      </c>
      <c r="D865" s="7" t="s">
        <v>189</v>
      </c>
      <c r="E865" s="58">
        <v>0</v>
      </c>
      <c r="F865" s="59">
        <v>0</v>
      </c>
      <c r="G865" s="58">
        <v>0</v>
      </c>
      <c r="H865" s="76">
        <v>0</v>
      </c>
      <c r="I865" s="319">
        <v>0</v>
      </c>
      <c r="J865" s="405">
        <v>0</v>
      </c>
      <c r="K865" s="409">
        <v>0</v>
      </c>
      <c r="L865" s="426"/>
    </row>
    <row r="866" spans="1:17" ht="18.25" customHeight="1" outlineLevel="2">
      <c r="B866" s="53" t="s">
        <v>583</v>
      </c>
      <c r="C866" s="54" t="s">
        <v>635</v>
      </c>
      <c r="D866" s="7" t="s">
        <v>27</v>
      </c>
      <c r="E866" s="58">
        <v>0</v>
      </c>
      <c r="F866" s="59">
        <v>0</v>
      </c>
      <c r="G866" s="58">
        <v>0</v>
      </c>
      <c r="H866" s="76">
        <v>0</v>
      </c>
      <c r="I866" s="319">
        <v>0</v>
      </c>
      <c r="J866" s="405">
        <v>0</v>
      </c>
      <c r="K866" s="409">
        <v>0</v>
      </c>
      <c r="L866" s="426"/>
    </row>
    <row r="867" spans="1:17" s="65" customFormat="1" ht="18.25" customHeight="1" outlineLevel="1">
      <c r="A867" s="571"/>
      <c r="B867" s="67" t="s">
        <v>583</v>
      </c>
      <c r="C867" s="61" t="s">
        <v>603</v>
      </c>
      <c r="D867" s="26">
        <v>2</v>
      </c>
      <c r="E867" s="69">
        <v>0</v>
      </c>
      <c r="F867" s="70">
        <v>0</v>
      </c>
      <c r="G867" s="69">
        <v>0</v>
      </c>
      <c r="H867" s="77">
        <v>0</v>
      </c>
      <c r="I867" s="320">
        <v>0</v>
      </c>
      <c r="J867" s="321">
        <v>0</v>
      </c>
      <c r="K867" s="322">
        <v>0</v>
      </c>
      <c r="L867" s="434">
        <v>0</v>
      </c>
      <c r="M867" s="249" t="s">
        <v>169</v>
      </c>
      <c r="N867" s="249"/>
    </row>
    <row r="868" spans="1:17" ht="18.25" customHeight="1" outlineLevel="2">
      <c r="B868" s="53" t="s">
        <v>583</v>
      </c>
      <c r="C868" s="54" t="s">
        <v>608</v>
      </c>
      <c r="D868" s="7" t="s">
        <v>171</v>
      </c>
      <c r="E868" s="58">
        <v>0</v>
      </c>
      <c r="F868" s="59">
        <v>0</v>
      </c>
      <c r="G868" s="58">
        <v>0</v>
      </c>
      <c r="H868" s="76">
        <v>0</v>
      </c>
      <c r="I868" s="319">
        <v>0</v>
      </c>
      <c r="J868" s="405">
        <v>0</v>
      </c>
      <c r="K868" s="409">
        <v>0</v>
      </c>
      <c r="L868" s="426"/>
    </row>
    <row r="869" spans="1:17" ht="18.25" customHeight="1" outlineLevel="2">
      <c r="B869" s="53" t="s">
        <v>583</v>
      </c>
      <c r="C869" s="54" t="s">
        <v>609</v>
      </c>
      <c r="D869" s="23" t="s">
        <v>27</v>
      </c>
      <c r="E869" s="58">
        <v>0</v>
      </c>
      <c r="F869" s="59">
        <v>0</v>
      </c>
      <c r="G869" s="58">
        <v>0</v>
      </c>
      <c r="H869" s="76">
        <v>0</v>
      </c>
      <c r="I869" s="319">
        <v>0</v>
      </c>
      <c r="J869" s="405">
        <v>0</v>
      </c>
      <c r="K869" s="409">
        <v>0</v>
      </c>
      <c r="L869" s="426"/>
    </row>
    <row r="870" spans="1:17" ht="18.25" customHeight="1" outlineLevel="2">
      <c r="B870" s="53" t="s">
        <v>583</v>
      </c>
      <c r="C870" s="54" t="s">
        <v>610</v>
      </c>
      <c r="D870" s="23" t="s">
        <v>27</v>
      </c>
      <c r="E870" s="58">
        <v>0</v>
      </c>
      <c r="F870" s="59">
        <v>0</v>
      </c>
      <c r="G870" s="58">
        <v>3</v>
      </c>
      <c r="H870" s="76">
        <v>24587</v>
      </c>
      <c r="I870" s="319">
        <v>1</v>
      </c>
      <c r="J870" s="405">
        <v>1</v>
      </c>
      <c r="K870" s="409">
        <v>0</v>
      </c>
      <c r="L870" s="426"/>
    </row>
    <row r="871" spans="1:17" s="65" customFormat="1" ht="18.25" customHeight="1" outlineLevel="1">
      <c r="A871" s="571"/>
      <c r="B871" s="67" t="s">
        <v>583</v>
      </c>
      <c r="C871" s="61" t="s">
        <v>608</v>
      </c>
      <c r="D871" s="26">
        <v>3</v>
      </c>
      <c r="E871" s="69">
        <v>0</v>
      </c>
      <c r="F871" s="70">
        <v>0</v>
      </c>
      <c r="G871" s="69">
        <v>3</v>
      </c>
      <c r="H871" s="77">
        <v>24587</v>
      </c>
      <c r="I871" s="320">
        <v>1</v>
      </c>
      <c r="J871" s="321">
        <v>1</v>
      </c>
      <c r="K871" s="322">
        <v>0</v>
      </c>
      <c r="L871" s="434">
        <v>0</v>
      </c>
      <c r="M871" s="249" t="s">
        <v>171</v>
      </c>
      <c r="N871" s="249"/>
    </row>
    <row r="872" spans="1:17" s="161" customFormat="1" ht="18.25" customHeight="1">
      <c r="A872" s="573" t="s">
        <v>840</v>
      </c>
      <c r="B872" s="947" t="s">
        <v>584</v>
      </c>
      <c r="C872" s="947"/>
      <c r="D872" s="157">
        <v>36</v>
      </c>
      <c r="E872" s="158">
        <v>0</v>
      </c>
      <c r="F872" s="159">
        <v>0</v>
      </c>
      <c r="G872" s="158">
        <v>25</v>
      </c>
      <c r="H872" s="160">
        <v>267620</v>
      </c>
      <c r="I872" s="158">
        <v>13</v>
      </c>
      <c r="J872" s="160">
        <v>8</v>
      </c>
      <c r="K872" s="421">
        <v>4</v>
      </c>
      <c r="L872" s="440">
        <v>0</v>
      </c>
      <c r="M872" s="252"/>
      <c r="N872" s="252"/>
    </row>
    <row r="873" spans="1:17" s="1" customFormat="1">
      <c r="A873" s="570"/>
      <c r="D873" s="60"/>
      <c r="E873" s="49"/>
      <c r="F873" s="49"/>
      <c r="G873" s="49"/>
      <c r="H873" s="49"/>
      <c r="I873" s="292"/>
      <c r="J873" s="307"/>
      <c r="K873" s="307"/>
      <c r="L873" s="424"/>
      <c r="O873"/>
      <c r="P873"/>
      <c r="Q873"/>
    </row>
    <row r="874" spans="1:17" s="1" customFormat="1">
      <c r="A874" s="570"/>
      <c r="B874" s="1" t="s">
        <v>558</v>
      </c>
      <c r="D874" s="71">
        <v>590</v>
      </c>
      <c r="E874" s="72">
        <v>45</v>
      </c>
      <c r="F874" s="72">
        <v>801631</v>
      </c>
      <c r="G874" s="72">
        <v>393</v>
      </c>
      <c r="H874" s="72">
        <v>8274112</v>
      </c>
      <c r="I874" s="333">
        <v>189</v>
      </c>
      <c r="J874" s="334">
        <v>120</v>
      </c>
      <c r="K874" s="334">
        <v>84</v>
      </c>
      <c r="L874" s="441" t="e">
        <v>#VALUE!</v>
      </c>
      <c r="O874"/>
      <c r="P874"/>
      <c r="Q874"/>
    </row>
    <row r="875" spans="1:17" s="1" customFormat="1">
      <c r="A875" s="570"/>
      <c r="D875" s="71"/>
      <c r="E875" s="72"/>
      <c r="F875" s="72"/>
      <c r="H875" s="206"/>
      <c r="L875" s="442"/>
      <c r="O875"/>
      <c r="P875"/>
      <c r="Q875"/>
    </row>
    <row r="877" spans="1:17" s="1" customFormat="1">
      <c r="A877" s="570"/>
      <c r="D877" s="71"/>
      <c r="I877" s="292"/>
      <c r="J877" s="307"/>
      <c r="K877" s="307"/>
      <c r="L877" s="424"/>
      <c r="O877"/>
      <c r="P877"/>
      <c r="Q877"/>
    </row>
  </sheetData>
  <mergeCells count="18">
    <mergeCell ref="B872:C872"/>
    <mergeCell ref="B507:C507"/>
    <mergeCell ref="B657:C657"/>
    <mergeCell ref="B686:C686"/>
    <mergeCell ref="B738:C738"/>
    <mergeCell ref="B779:C779"/>
    <mergeCell ref="B825:C825"/>
    <mergeCell ref="B446:C446"/>
    <mergeCell ref="B228:C228"/>
    <mergeCell ref="B285:C285"/>
    <mergeCell ref="B355:C355"/>
    <mergeCell ref="B383:C383"/>
    <mergeCell ref="B1:I1"/>
    <mergeCell ref="B3:C3"/>
    <mergeCell ref="E3:F3"/>
    <mergeCell ref="G3:H3"/>
    <mergeCell ref="B94:C94"/>
    <mergeCell ref="B32:C32"/>
  </mergeCells>
  <phoneticPr fontId="3" type="noConversion"/>
  <conditionalFormatting sqref="E850:I850 E766:I766 E739:I739 E761:I764 E769:I769 E726:I726 J871 E869:I871 E843:I843 E846:I847 E771:I775 E818:I820 E867:I867 E449:I449 E743:I745 E800:I800 E469:I470 L824:L825 E734:I737 E862:I863 E836:I836 E747:I748 E783:I785 E753:I757 E454:I455 E777:I777 E475:I476 E855:I859 E802:I811 E826:I832 E872:J872 E452:L452 J454:L454 J458:L458 J461:L461 F464:L464 J470:L470 J478:L478 J727:L727 J729:L729 E733:L733 J737:L737 J745:L745 E752:L752 E758:L758 E765:L765 E768:L768 E776:L776 E778:L779 E837:L837 J846:L846 E849:L849 E854:L854 J858:L858 E864:L864 K871:L872 J475:L475 E472:L472 K786:L786 K790:L790 K793:L793 K797:L797 K802:L802 K805:L805 K808:L808 K810:L810 K816:L816 K819:L819 K824 K825:L825 K842:L842 K867:L867 K799 K839 K760 K747">
    <cfRule type="cellIs" dxfId="248" priority="536" stopIfTrue="1" operator="equal">
      <formula>0</formula>
    </cfRule>
  </conditionalFormatting>
  <conditionalFormatting sqref="E868:I868">
    <cfRule type="cellIs" dxfId="247" priority="535" stopIfTrue="1" operator="equal">
      <formula>0</formula>
    </cfRule>
  </conditionalFormatting>
  <conditionalFormatting sqref="E767:I767">
    <cfRule type="cellIs" dxfId="246" priority="534" stopIfTrue="1" operator="equal">
      <formula>0</formula>
    </cfRule>
  </conditionalFormatting>
  <conditionalFormatting sqref="E742:H742">
    <cfRule type="cellIs" dxfId="245" priority="533" stopIfTrue="1" operator="equal">
      <formula>0</formula>
    </cfRule>
  </conditionalFormatting>
  <conditionalFormatting sqref="I742">
    <cfRule type="cellIs" dxfId="244" priority="532" stopIfTrue="1" operator="equal">
      <formula>0</formula>
    </cfRule>
  </conditionalFormatting>
  <conditionalFormatting sqref="E727:I730">
    <cfRule type="cellIs" dxfId="243" priority="531" stopIfTrue="1" operator="equal">
      <formula>0</formula>
    </cfRule>
  </conditionalFormatting>
  <conditionalFormatting sqref="E724:I724">
    <cfRule type="cellIs" dxfId="242" priority="530" stopIfTrue="1" operator="equal">
      <formula>0</formula>
    </cfRule>
  </conditionalFormatting>
  <conditionalFormatting sqref="E465:I465 E464 E478:I478 E458:I459 E461:I462">
    <cfRule type="cellIs" dxfId="241" priority="529" stopIfTrue="1" operator="equal">
      <formula>0</formula>
    </cfRule>
  </conditionalFormatting>
  <conditionalFormatting sqref="E453:I453">
    <cfRule type="cellIs" dxfId="240" priority="528" stopIfTrue="1" operator="equal">
      <formula>0</formula>
    </cfRule>
  </conditionalFormatting>
  <conditionalFormatting sqref="J849:J850 J608:J609 J345:J346 J245:J247 J681:J682 J595:J596 J843 J589:J590 J846:J847 J308:J309 J298 J223 J592 J365:J369 J571:J574 J567:J569 J796:J797 J15:J16 J28:J29 J375:J377 J598:J603 J464:J465 J371:J373 J87 J311:J339 J546:J549 J862:J864 J258 J576:J579 J404:J410 J814:J826 J478:J482 J832 J701:J705 J544 J635 J248:L257 J760:J769 J771:J779 J348:J356 J685:J699 J854:J859 J802:J811 J469:J473 J341:J343 J781:J786 L186:L195 J484:J492 J563:J564 J19:J20 J445:J449 J799:J800 J834:L839 J709:J712 J378:L393 J260:J261 J358:J362 J581:J586 J497:J498 J494:J495 J500:J501 J91 K832:L833 J554:J558 J560:J561 J452:J455 K304:L304 J551:J552 J752:J758 J295 J611:J615 J287:L290 J54:J57 J59 J394:J398 J628:J633 J5:J8 K291:L291 J458:J462 J218:J219 J188:K190 J475:J476 K295:L298 J867:J872 K802:L826 J676:J679 J663:J673 K191:K195 J620:J625 J273:J286 J827:L831 J191:J197 J437:L444 J75:J78 K293:L293 J211:J216 J299:L303 K258:L286 K306:L377 K445:L533 K544:L558 K560:L626 K628:L800 K840:L872 J81:J85 J265:J270 J801:L801 J716:J739 J540 K543 J412:J436 J226:J240 J128:J185 J186:K186 K540:L542 J10:J12 J200:J209 J22:J23 J25:J26 K196:L247 J93:J119 J504:J510 J707 J742:J748 J400:J401 K394:L436 J31:J34 J535 K539 J559:L559 K5:L34 J292:L292 J294:L294 J305:L305 J122:J126 J62:J71 J37:J51 K37:L78 J652:J660 J637:J650 K627 J35:L36 J79:K79 K535:L538 J515:J532 K534 K93:L185 K92 K80:L91">
    <cfRule type="cellIs" dxfId="239" priority="526" operator="equal">
      <formula>0</formula>
    </cfRule>
  </conditionalFormatting>
  <conditionalFormatting sqref="J570">
    <cfRule type="cellIs" dxfId="238" priority="525" operator="equal">
      <formula>0</formula>
    </cfRule>
  </conditionalFormatting>
  <conditionalFormatting sqref="J364">
    <cfRule type="cellIs" dxfId="237" priority="524" operator="equal">
      <formula>0</formula>
    </cfRule>
  </conditionalFormatting>
  <conditionalFormatting sqref="J593">
    <cfRule type="cellIs" dxfId="236" priority="523" operator="equal">
      <formula>0</formula>
    </cfRule>
  </conditionalFormatting>
  <conditionalFormatting sqref="E848:I848">
    <cfRule type="cellIs" dxfId="235" priority="522" stopIfTrue="1" operator="equal">
      <formula>0</formula>
    </cfRule>
  </conditionalFormatting>
  <conditionalFormatting sqref="J848">
    <cfRule type="cellIs" dxfId="234" priority="521" operator="equal">
      <formula>0</formula>
    </cfRule>
  </conditionalFormatting>
  <conditionalFormatting sqref="J607">
    <cfRule type="cellIs" dxfId="233" priority="520" operator="equal">
      <formula>0</formula>
    </cfRule>
  </conditionalFormatting>
  <conditionalFormatting sqref="J344">
    <cfRule type="cellIs" dxfId="232" priority="519" operator="equal">
      <formula>0</formula>
    </cfRule>
  </conditionalFormatting>
  <conditionalFormatting sqref="J217">
    <cfRule type="cellIs" dxfId="231" priority="518" operator="equal">
      <formula>0</formula>
    </cfRule>
  </conditionalFormatting>
  <conditionalFormatting sqref="J224">
    <cfRule type="cellIs" dxfId="230" priority="517" operator="equal">
      <formula>0</formula>
    </cfRule>
  </conditionalFormatting>
  <conditionalFormatting sqref="J566">
    <cfRule type="cellIs" dxfId="229" priority="515" operator="equal">
      <formula>0</formula>
    </cfRule>
  </conditionalFormatting>
  <conditionalFormatting sqref="E732:I732">
    <cfRule type="cellIs" dxfId="228" priority="514" stopIfTrue="1" operator="equal">
      <formula>0</formula>
    </cfRule>
  </conditionalFormatting>
  <conditionalFormatting sqref="J751">
    <cfRule type="cellIs" dxfId="227" priority="512" operator="equal">
      <formula>0</formula>
    </cfRule>
  </conditionalFormatting>
  <conditionalFormatting sqref="E751:I751">
    <cfRule type="cellIs" dxfId="226" priority="513" stopIfTrue="1" operator="equal">
      <formula>0</formula>
    </cfRule>
  </conditionalFormatting>
  <conditionalFormatting sqref="J483">
    <cfRule type="cellIs" dxfId="225" priority="511" operator="equal">
      <formula>0</formula>
    </cfRule>
  </conditionalFormatting>
  <conditionalFormatting sqref="J154">
    <cfRule type="cellIs" dxfId="224" priority="510" operator="equal">
      <formula>0</formula>
    </cfRule>
  </conditionalFormatting>
  <conditionalFormatting sqref="J137">
    <cfRule type="cellIs" dxfId="223" priority="509" operator="equal">
      <formula>0</formula>
    </cfRule>
  </conditionalFormatting>
  <conditionalFormatting sqref="J88">
    <cfRule type="cellIs" dxfId="222" priority="508" operator="equal">
      <formula>0</formula>
    </cfRule>
  </conditionalFormatting>
  <conditionalFormatting sqref="E794:I794 E815:I815 E786:J786 J790 E797:J797 J802 J805 J808 J810 J819 J824:J825 E793:J793 E821:I825 E816:J816 E780:I780 E787:I791">
    <cfRule type="cellIs" dxfId="221" priority="507" stopIfTrue="1" operator="equal">
      <formula>0</formula>
    </cfRule>
  </conditionalFormatting>
  <conditionalFormatting sqref="E796:I796">
    <cfRule type="cellIs" dxfId="220" priority="506" stopIfTrue="1" operator="equal">
      <formula>0</formula>
    </cfRule>
  </conditionalFormatting>
  <conditionalFormatting sqref="E814:I814">
    <cfRule type="cellIs" dxfId="219" priority="505" stopIfTrue="1" operator="equal">
      <formula>0</formula>
    </cfRule>
  </conditionalFormatting>
  <conditionalFormatting sqref="E817:I817">
    <cfRule type="cellIs" dxfId="218" priority="504" stopIfTrue="1" operator="equal">
      <formula>0</formula>
    </cfRule>
  </conditionalFormatting>
  <conditionalFormatting sqref="J793:J794 J780 J787:J791">
    <cfRule type="cellIs" dxfId="217" priority="503" operator="equal">
      <formula>0</formula>
    </cfRule>
  </conditionalFormatting>
  <conditionalFormatting sqref="E792:I792">
    <cfRule type="cellIs" dxfId="216" priority="502" stopIfTrue="1" operator="equal">
      <formula>0</formula>
    </cfRule>
  </conditionalFormatting>
  <conditionalFormatting sqref="J792">
    <cfRule type="cellIs" dxfId="215" priority="501" operator="equal">
      <formula>0</formula>
    </cfRule>
  </conditionalFormatting>
  <conditionalFormatting sqref="E853:I853">
    <cfRule type="cellIs" dxfId="214" priority="500" stopIfTrue="1" operator="equal">
      <formula>0</formula>
    </cfRule>
  </conditionalFormatting>
  <conditionalFormatting sqref="J853">
    <cfRule type="cellIs" dxfId="213" priority="499" operator="equal">
      <formula>0</formula>
    </cfRule>
  </conditionalFormatting>
  <conditionalFormatting sqref="J514">
    <cfRule type="cellIs" dxfId="212" priority="498" operator="equal">
      <formula>0</formula>
    </cfRule>
  </conditionalFormatting>
  <conditionalFormatting sqref="L779">
    <cfRule type="cellIs" dxfId="211" priority="497" stopIfTrue="1" operator="equal">
      <formula>0</formula>
    </cfRule>
  </conditionalFormatting>
  <conditionalFormatting sqref="J296:J297">
    <cfRule type="cellIs" dxfId="210" priority="475" operator="equal">
      <formula>0</formula>
    </cfRule>
  </conditionalFormatting>
  <conditionalFormatting sqref="J374">
    <cfRule type="cellIs" dxfId="209" priority="473" operator="equal">
      <formula>0</formula>
    </cfRule>
  </conditionalFormatting>
  <conditionalFormatting sqref="J241">
    <cfRule type="cellIs" dxfId="208" priority="472" operator="equal">
      <formula>0</formula>
    </cfRule>
  </conditionalFormatting>
  <conditionalFormatting sqref="J244">
    <cfRule type="cellIs" dxfId="207" priority="471" operator="equal">
      <formula>0</formula>
    </cfRule>
  </conditionalFormatting>
  <conditionalFormatting sqref="J310">
    <cfRule type="cellIs" dxfId="206" priority="468" operator="equal">
      <formula>0</formula>
    </cfRule>
  </conditionalFormatting>
  <conditionalFormatting sqref="J347">
    <cfRule type="cellIs" dxfId="205" priority="466" operator="equal">
      <formula>0</formula>
    </cfRule>
  </conditionalFormatting>
  <conditionalFormatting sqref="J399">
    <cfRule type="cellIs" dxfId="204" priority="463" operator="equal">
      <formula>0</formula>
    </cfRule>
  </conditionalFormatting>
  <conditionalFormatting sqref="J222">
    <cfRule type="cellIs" dxfId="203" priority="462" operator="equal">
      <formula>0</formula>
    </cfRule>
  </conditionalFormatting>
  <conditionalFormatting sqref="J225">
    <cfRule type="cellIs" dxfId="202" priority="461" operator="equal">
      <formula>0</formula>
    </cfRule>
  </conditionalFormatting>
  <conditionalFormatting sqref="J513">
    <cfRule type="cellIs" dxfId="201" priority="456" operator="equal">
      <formula>0</formula>
    </cfRule>
  </conditionalFormatting>
  <conditionalFormatting sqref="J199">
    <cfRule type="cellIs" dxfId="200" priority="459" operator="equal">
      <formula>0</formula>
    </cfRule>
  </conditionalFormatting>
  <conditionalFormatting sqref="J545">
    <cfRule type="cellIs" dxfId="199" priority="458" operator="equal">
      <formula>0</formula>
    </cfRule>
  </conditionalFormatting>
  <conditionalFormatting sqref="J610">
    <cfRule type="cellIs" dxfId="198" priority="452" operator="equal">
      <formula>0</formula>
    </cfRule>
  </conditionalFormatting>
  <conditionalFormatting sqref="E770:I770">
    <cfRule type="cellIs" dxfId="197" priority="450" stopIfTrue="1" operator="equal">
      <formula>0</formula>
    </cfRule>
  </conditionalFormatting>
  <conditionalFormatting sqref="J770">
    <cfRule type="cellIs" dxfId="196" priority="449" operator="equal">
      <formula>0</formula>
    </cfRule>
  </conditionalFormatting>
  <conditionalFormatting sqref="E741:H741">
    <cfRule type="cellIs" dxfId="195" priority="448" stopIfTrue="1" operator="equal">
      <formula>0</formula>
    </cfRule>
  </conditionalFormatting>
  <conditionalFormatting sqref="I741">
    <cfRule type="cellIs" dxfId="194" priority="447" stopIfTrue="1" operator="equal">
      <formula>0</formula>
    </cfRule>
  </conditionalFormatting>
  <conditionalFormatting sqref="J741">
    <cfRule type="cellIs" dxfId="193" priority="446" operator="equal">
      <formula>0</formula>
    </cfRule>
  </conditionalFormatting>
  <conditionalFormatting sqref="J264">
    <cfRule type="cellIs" dxfId="192" priority="444" operator="equal">
      <formula>0</formula>
    </cfRule>
  </conditionalFormatting>
  <conditionalFormatting sqref="J121">
    <cfRule type="cellIs" dxfId="191" priority="442" operator="equal">
      <formula>0</formula>
    </cfRule>
  </conditionalFormatting>
  <conditionalFormatting sqref="J370">
    <cfRule type="cellIs" dxfId="190" priority="441" operator="equal">
      <formula>0</formula>
    </cfRule>
  </conditionalFormatting>
  <conditionalFormatting sqref="J597">
    <cfRule type="cellIs" dxfId="189" priority="439" operator="equal">
      <formula>0</formula>
    </cfRule>
  </conditionalFormatting>
  <conditionalFormatting sqref="E840:I840 E842:J842">
    <cfRule type="cellIs" dxfId="188" priority="437" stopIfTrue="1" operator="equal">
      <formula>0</formula>
    </cfRule>
  </conditionalFormatting>
  <conditionalFormatting sqref="J840 J842">
    <cfRule type="cellIs" dxfId="187" priority="436" operator="equal">
      <formula>0</formula>
    </cfRule>
  </conditionalFormatting>
  <conditionalFormatting sqref="E841:I841">
    <cfRule type="cellIs" dxfId="186" priority="435" stopIfTrue="1" operator="equal">
      <formula>0</formula>
    </cfRule>
  </conditionalFormatting>
  <conditionalFormatting sqref="J841">
    <cfRule type="cellIs" dxfId="185" priority="434" operator="equal">
      <formula>0</formula>
    </cfRule>
  </conditionalFormatting>
  <conditionalFormatting sqref="J587:J588">
    <cfRule type="cellIs" dxfId="184" priority="430" operator="equal">
      <formula>0</formula>
    </cfRule>
  </conditionalFormatting>
  <conditionalFormatting sqref="J867 E865:I865">
    <cfRule type="cellIs" dxfId="183" priority="428" stopIfTrue="1" operator="equal">
      <formula>0</formula>
    </cfRule>
  </conditionalFormatting>
  <conditionalFormatting sqref="J865">
    <cfRule type="cellIs" dxfId="182" priority="427" operator="equal">
      <formula>0</formula>
    </cfRule>
  </conditionalFormatting>
  <conditionalFormatting sqref="E866:I866">
    <cfRule type="cellIs" dxfId="181" priority="426" stopIfTrue="1" operator="equal">
      <formula>0</formula>
    </cfRule>
  </conditionalFormatting>
  <conditionalFormatting sqref="J866">
    <cfRule type="cellIs" dxfId="180" priority="425" operator="equal">
      <formula>0</formula>
    </cfRule>
  </conditionalFormatting>
  <conditionalFormatting sqref="J9">
    <cfRule type="cellIs" dxfId="179" priority="421" operator="equal">
      <formula>0</formula>
    </cfRule>
  </conditionalFormatting>
  <conditionalFormatting sqref="J550 J553">
    <cfRule type="cellIs" dxfId="178" priority="419" operator="equal">
      <formula>0</formula>
    </cfRule>
  </conditionalFormatting>
  <conditionalFormatting sqref="E812:I813">
    <cfRule type="cellIs" dxfId="177" priority="417" stopIfTrue="1" operator="equal">
      <formula>0</formula>
    </cfRule>
  </conditionalFormatting>
  <conditionalFormatting sqref="J812:J813">
    <cfRule type="cellIs" dxfId="176" priority="416" operator="equal">
      <formula>0</formula>
    </cfRule>
  </conditionalFormatting>
  <conditionalFormatting sqref="E860:I861">
    <cfRule type="cellIs" dxfId="175" priority="414" stopIfTrue="1" operator="equal">
      <formula>0</formula>
    </cfRule>
  </conditionalFormatting>
  <conditionalFormatting sqref="J860:J861">
    <cfRule type="cellIs" dxfId="174" priority="413" operator="equal">
      <formula>0</formula>
    </cfRule>
  </conditionalFormatting>
  <conditionalFormatting sqref="J411">
    <cfRule type="cellIs" dxfId="173" priority="411" operator="equal">
      <formula>0</formula>
    </cfRule>
  </conditionalFormatting>
  <conditionalFormatting sqref="J14">
    <cfRule type="cellIs" dxfId="172" priority="409" operator="equal">
      <formula>0</formula>
    </cfRule>
  </conditionalFormatting>
  <conditionalFormatting sqref="J619">
    <cfRule type="cellIs" dxfId="171" priority="405" operator="equal">
      <formula>0</formula>
    </cfRule>
  </conditionalFormatting>
  <conditionalFormatting sqref="J700">
    <cfRule type="cellIs" dxfId="170" priority="407" operator="equal">
      <formula>0</formula>
    </cfRule>
  </conditionalFormatting>
  <conditionalFormatting sqref="J142:J145">
    <cfRule type="cellIs" dxfId="169" priority="403" operator="equal">
      <formula>0</formula>
    </cfRule>
  </conditionalFormatting>
  <conditionalFormatting sqref="J306">
    <cfRule type="cellIs" dxfId="168" priority="401" operator="equal">
      <formula>0</formula>
    </cfRule>
  </conditionalFormatting>
  <conditionalFormatting sqref="J307">
    <cfRule type="cellIs" dxfId="167" priority="399" operator="equal">
      <formula>0</formula>
    </cfRule>
  </conditionalFormatting>
  <conditionalFormatting sqref="J680">
    <cfRule type="cellIs" dxfId="166" priority="397" operator="equal">
      <formula>0</formula>
    </cfRule>
  </conditionalFormatting>
  <conditionalFormatting sqref="E795:I795">
    <cfRule type="cellIs" dxfId="165" priority="395" stopIfTrue="1" operator="equal">
      <formula>0</formula>
    </cfRule>
  </conditionalFormatting>
  <conditionalFormatting sqref="J795">
    <cfRule type="cellIs" dxfId="164" priority="394" operator="equal">
      <formula>0</formula>
    </cfRule>
  </conditionalFormatting>
  <conditionalFormatting sqref="J259">
    <cfRule type="cellIs" dxfId="163" priority="392" operator="equal">
      <formula>0</formula>
    </cfRule>
  </conditionalFormatting>
  <conditionalFormatting sqref="J363">
    <cfRule type="cellIs" dxfId="162" priority="386" operator="equal">
      <formula>0</formula>
    </cfRule>
  </conditionalFormatting>
  <conditionalFormatting sqref="J616:J618">
    <cfRule type="cellIs" dxfId="161" priority="384" operator="equal">
      <formula>0</formula>
    </cfRule>
  </conditionalFormatting>
  <conditionalFormatting sqref="J512">
    <cfRule type="cellIs" dxfId="160" priority="382" operator="equal">
      <formula>0</formula>
    </cfRule>
  </conditionalFormatting>
  <conditionalFormatting sqref="J30">
    <cfRule type="cellIs" dxfId="159" priority="376" operator="equal">
      <formula>0</formula>
    </cfRule>
  </conditionalFormatting>
  <conditionalFormatting sqref="J749:J750">
    <cfRule type="cellIs" dxfId="158" priority="372" operator="equal">
      <formula>0</formula>
    </cfRule>
  </conditionalFormatting>
  <conditionalFormatting sqref="E750:I750">
    <cfRule type="cellIs" dxfId="157" priority="373" stopIfTrue="1" operator="equal">
      <formula>0</formula>
    </cfRule>
  </conditionalFormatting>
  <conditionalFormatting sqref="E468:I468">
    <cfRule type="cellIs" dxfId="156" priority="368" stopIfTrue="1" operator="equal">
      <formula>0</formula>
    </cfRule>
  </conditionalFormatting>
  <conditionalFormatting sqref="J466:J468">
    <cfRule type="cellIs" dxfId="155" priority="367" operator="equal">
      <formula>0</formula>
    </cfRule>
  </conditionalFormatting>
  <conditionalFormatting sqref="J605">
    <cfRule type="cellIs" dxfId="154" priority="365" operator="equal">
      <formula>0</formula>
    </cfRule>
  </conditionalFormatting>
  <conditionalFormatting sqref="J27">
    <cfRule type="cellIs" dxfId="153" priority="364" operator="equal">
      <formula>0</formula>
    </cfRule>
  </conditionalFormatting>
  <conditionalFormatting sqref="J74">
    <cfRule type="cellIs" dxfId="152" priority="362" operator="equal">
      <formula>0</formula>
    </cfRule>
  </conditionalFormatting>
  <conditionalFormatting sqref="J181">
    <cfRule type="cellIs" dxfId="151" priority="361" operator="equal">
      <formula>0</formula>
    </cfRule>
  </conditionalFormatting>
  <conditionalFormatting sqref="J357">
    <cfRule type="cellIs" dxfId="150" priority="360" operator="equal">
      <formula>0</formula>
    </cfRule>
  </conditionalFormatting>
  <conditionalFormatting sqref="J221">
    <cfRule type="cellIs" dxfId="149" priority="359" operator="equal">
      <formula>0</formula>
    </cfRule>
  </conditionalFormatting>
  <conditionalFormatting sqref="J243">
    <cfRule type="cellIs" dxfId="148" priority="358" operator="equal">
      <formula>0</formula>
    </cfRule>
  </conditionalFormatting>
  <conditionalFormatting sqref="J575">
    <cfRule type="cellIs" dxfId="147" priority="356" operator="equal">
      <formula>0</formula>
    </cfRule>
  </conditionalFormatting>
  <conditionalFormatting sqref="J89:J90">
    <cfRule type="cellIs" dxfId="146" priority="351" operator="equal">
      <formula>0</formula>
    </cfRule>
  </conditionalFormatting>
  <conditionalFormatting sqref="J186">
    <cfRule type="cellIs" dxfId="145" priority="349" operator="equal">
      <formula>0</formula>
    </cfRule>
  </conditionalFormatting>
  <conditionalFormatting sqref="J52:J53">
    <cfRule type="cellIs" dxfId="144" priority="343" operator="equal">
      <formula>0</formula>
    </cfRule>
  </conditionalFormatting>
  <conditionalFormatting sqref="J262:J263">
    <cfRule type="cellIs" dxfId="143" priority="340" operator="equal">
      <formula>0</formula>
    </cfRule>
  </conditionalFormatting>
  <conditionalFormatting sqref="J477">
    <cfRule type="cellIs" dxfId="142" priority="336" operator="equal">
      <formula>0</formula>
    </cfRule>
  </conditionalFormatting>
  <conditionalFormatting sqref="E477:I477">
    <cfRule type="cellIs" dxfId="141" priority="337" stopIfTrue="1" operator="equal">
      <formula>0</formula>
    </cfRule>
  </conditionalFormatting>
  <conditionalFormatting sqref="J60">
    <cfRule type="cellIs" dxfId="140" priority="334" operator="equal">
      <formula>0</formula>
    </cfRule>
  </conditionalFormatting>
  <conditionalFormatting sqref="J61">
    <cfRule type="cellIs" dxfId="139" priority="331" operator="equal">
      <formula>0</formula>
    </cfRule>
  </conditionalFormatting>
  <conditionalFormatting sqref="L92">
    <cfRule type="cellIs" dxfId="138" priority="329" operator="equal">
      <formula>0</formula>
    </cfRule>
  </conditionalFormatting>
  <conditionalFormatting sqref="J675">
    <cfRule type="cellIs" dxfId="137" priority="327" operator="equal">
      <formula>0</formula>
    </cfRule>
  </conditionalFormatting>
  <conditionalFormatting sqref="L79">
    <cfRule type="cellIs" dxfId="136" priority="325" operator="equal">
      <formula>0</formula>
    </cfRule>
  </conditionalFormatting>
  <conditionalFormatting sqref="J565">
    <cfRule type="cellIs" dxfId="135" priority="322" operator="equal">
      <formula>0</formula>
    </cfRule>
  </conditionalFormatting>
  <conditionalFormatting sqref="E801:I801">
    <cfRule type="cellIs" dxfId="134" priority="320" stopIfTrue="1" operator="equal">
      <formula>0</formula>
    </cfRule>
  </conditionalFormatting>
  <conditionalFormatting sqref="J198">
    <cfRule type="cellIs" dxfId="133" priority="316" operator="equal">
      <formula>0</formula>
    </cfRule>
  </conditionalFormatting>
  <conditionalFormatting sqref="J543 L543">
    <cfRule type="cellIs" dxfId="132" priority="314" operator="equal">
      <formula>0</formula>
    </cfRule>
  </conditionalFormatting>
  <conditionalFormatting sqref="J542">
    <cfRule type="cellIs" dxfId="131" priority="312" operator="equal">
      <formula>0</formula>
    </cfRule>
  </conditionalFormatting>
  <conditionalFormatting sqref="J715">
    <cfRule type="cellIs" dxfId="130" priority="309" operator="equal">
      <formula>0</formula>
    </cfRule>
  </conditionalFormatting>
  <conditionalFormatting sqref="J562">
    <cfRule type="cellIs" dxfId="129" priority="306" operator="equal">
      <formula>0</formula>
    </cfRule>
  </conditionalFormatting>
  <conditionalFormatting sqref="J242">
    <cfRule type="cellIs" dxfId="128" priority="302" operator="equal">
      <formula>0</formula>
    </cfRule>
  </conditionalFormatting>
  <conditionalFormatting sqref="J674">
    <cfRule type="cellIs" dxfId="127" priority="299" operator="equal">
      <formula>0</formula>
    </cfRule>
  </conditionalFormatting>
  <conditionalFormatting sqref="E852:I852">
    <cfRule type="cellIs" dxfId="126" priority="295" stopIfTrue="1" operator="equal">
      <formula>0</formula>
    </cfRule>
  </conditionalFormatting>
  <conditionalFormatting sqref="J851:J852">
    <cfRule type="cellIs" dxfId="125" priority="294" operator="equal">
      <formula>0</formula>
    </cfRule>
  </conditionalFormatting>
  <conditionalFormatting sqref="J21">
    <cfRule type="cellIs" dxfId="124" priority="291" operator="equal">
      <formula>0</formula>
    </cfRule>
  </conditionalFormatting>
  <conditionalFormatting sqref="J86">
    <cfRule type="cellIs" dxfId="123" priority="287" operator="equal">
      <formula>0</formula>
    </cfRule>
  </conditionalFormatting>
  <conditionalFormatting sqref="J511">
    <cfRule type="cellIs" dxfId="122" priority="284" operator="equal">
      <formula>0</formula>
    </cfRule>
  </conditionalFormatting>
  <conditionalFormatting sqref="E845:H845">
    <cfRule type="cellIs" dxfId="121" priority="282" stopIfTrue="1" operator="equal">
      <formula>0</formula>
    </cfRule>
  </conditionalFormatting>
  <conditionalFormatting sqref="I844:I845">
    <cfRule type="cellIs" dxfId="120" priority="280" stopIfTrue="1" operator="equal">
      <formula>0</formula>
    </cfRule>
  </conditionalFormatting>
  <conditionalFormatting sqref="J844:J845">
    <cfRule type="cellIs" dxfId="119" priority="279" operator="equal">
      <formula>0</formula>
    </cfRule>
  </conditionalFormatting>
  <conditionalFormatting sqref="J18">
    <cfRule type="cellIs" dxfId="118" priority="276" operator="equal">
      <formula>0</formula>
    </cfRule>
  </conditionalFormatting>
  <conditionalFormatting sqref="J713:J714">
    <cfRule type="cellIs" dxfId="117" priority="273" operator="equal">
      <formula>0</formula>
    </cfRule>
  </conditionalFormatting>
  <conditionalFormatting sqref="E463:I463">
    <cfRule type="cellIs" dxfId="116" priority="270" stopIfTrue="1" operator="equal">
      <formula>0</formula>
    </cfRule>
  </conditionalFormatting>
  <conditionalFormatting sqref="J463">
    <cfRule type="cellIs" dxfId="115" priority="269" operator="equal">
      <formula>0</formula>
    </cfRule>
  </conditionalFormatting>
  <conditionalFormatting sqref="L799">
    <cfRule type="cellIs" dxfId="114" priority="261" stopIfTrue="1" operator="equal">
      <formula>0</formula>
    </cfRule>
  </conditionalFormatting>
  <conditionalFormatting sqref="E798:I798 E799:J799">
    <cfRule type="cellIs" dxfId="113" priority="260" stopIfTrue="1" operator="equal">
      <formula>0</formula>
    </cfRule>
  </conditionalFormatting>
  <conditionalFormatting sqref="J798">
    <cfRule type="cellIs" dxfId="112" priority="259" operator="equal">
      <formula>0</formula>
    </cfRule>
  </conditionalFormatting>
  <conditionalFormatting sqref="J13">
    <cfRule type="cellIs" dxfId="111" priority="255" operator="equal">
      <formula>0</formula>
    </cfRule>
  </conditionalFormatting>
  <conditionalFormatting sqref="J340">
    <cfRule type="cellIs" dxfId="110" priority="251" operator="equal">
      <formula>0</formula>
    </cfRule>
  </conditionalFormatting>
  <conditionalFormatting sqref="J541">
    <cfRule type="cellIs" dxfId="109" priority="248" operator="equal">
      <formula>0</formula>
    </cfRule>
  </conditionalFormatting>
  <conditionalFormatting sqref="E838:I838 E839:J839 L839">
    <cfRule type="cellIs" dxfId="108" priority="246" stopIfTrue="1" operator="equal">
      <formula>0</formula>
    </cfRule>
  </conditionalFormatting>
  <conditionalFormatting sqref="E835:I835">
    <cfRule type="cellIs" dxfId="107" priority="243" stopIfTrue="1" operator="equal">
      <formula>0</formula>
    </cfRule>
  </conditionalFormatting>
  <conditionalFormatting sqref="J503">
    <cfRule type="cellIs" dxfId="106" priority="240" operator="equal">
      <formula>0</formula>
    </cfRule>
  </conditionalFormatting>
  <conditionalFormatting sqref="J493">
    <cfRule type="cellIs" dxfId="105" priority="237" operator="equal">
      <formula>0</formula>
    </cfRule>
  </conditionalFormatting>
  <conditionalFormatting sqref="J706 J708">
    <cfRule type="cellIs" dxfId="104" priority="231" operator="equal">
      <formula>0</formula>
    </cfRule>
  </conditionalFormatting>
  <conditionalFormatting sqref="E760:J760 E759:I759 L760">
    <cfRule type="cellIs" dxfId="103" priority="230" stopIfTrue="1" operator="equal">
      <formula>0</formula>
    </cfRule>
  </conditionalFormatting>
  <conditionalFormatting sqref="J759">
    <cfRule type="cellIs" dxfId="102" priority="229" operator="equal">
      <formula>0</formula>
    </cfRule>
  </conditionalFormatting>
  <conditionalFormatting sqref="J210">
    <cfRule type="cellIs" dxfId="101" priority="222" operator="equal">
      <formula>0</formula>
    </cfRule>
  </conditionalFormatting>
  <conditionalFormatting sqref="J502">
    <cfRule type="cellIs" dxfId="100" priority="214" operator="equal">
      <formula>0</formula>
    </cfRule>
  </conditionalFormatting>
  <conditionalFormatting sqref="J683:J684">
    <cfRule type="cellIs" dxfId="99" priority="212" operator="equal">
      <formula>0</formula>
    </cfRule>
  </conditionalFormatting>
  <conditionalFormatting sqref="E740:I740">
    <cfRule type="cellIs" dxfId="98" priority="207" stopIfTrue="1" operator="equal">
      <formula>0</formula>
    </cfRule>
  </conditionalFormatting>
  <conditionalFormatting sqref="J740">
    <cfRule type="cellIs" dxfId="97" priority="206" operator="equal">
      <formula>0</formula>
    </cfRule>
  </conditionalFormatting>
  <conditionalFormatting sqref="J604">
    <cfRule type="cellIs" dxfId="96" priority="199" operator="equal">
      <formula>0</formula>
    </cfRule>
  </conditionalFormatting>
  <conditionalFormatting sqref="J220">
    <cfRule type="cellIs" dxfId="95" priority="197" operator="equal">
      <formula>0</formula>
    </cfRule>
  </conditionalFormatting>
  <conditionalFormatting sqref="J109">
    <cfRule type="cellIs" dxfId="94" priority="195" operator="equal">
      <formula>0</formula>
    </cfRule>
  </conditionalFormatting>
  <conditionalFormatting sqref="J594">
    <cfRule type="cellIs" dxfId="93" priority="190" operator="equal">
      <formula>0</formula>
    </cfRule>
  </conditionalFormatting>
  <conditionalFormatting sqref="E746:I746 J747 L747">
    <cfRule type="cellIs" dxfId="92" priority="187" stopIfTrue="1" operator="equal">
      <formula>0</formula>
    </cfRule>
  </conditionalFormatting>
  <conditionalFormatting sqref="J403">
    <cfRule type="cellIs" dxfId="91" priority="184" operator="equal">
      <formula>0</formula>
    </cfRule>
  </conditionalFormatting>
  <conditionalFormatting sqref="J402">
    <cfRule type="cellIs" dxfId="90" priority="182" operator="equal">
      <formula>0</formula>
    </cfRule>
  </conditionalFormatting>
  <conditionalFormatting sqref="J73">
    <cfRule type="cellIs" dxfId="89" priority="174" operator="equal">
      <formula>0</formula>
    </cfRule>
  </conditionalFormatting>
  <conditionalFormatting sqref="E457:I457">
    <cfRule type="cellIs" dxfId="88" priority="172" stopIfTrue="1" operator="equal">
      <formula>0</formula>
    </cfRule>
  </conditionalFormatting>
  <conditionalFormatting sqref="J456:J457">
    <cfRule type="cellIs" dxfId="87" priority="171" operator="equal">
      <formula>0</formula>
    </cfRule>
  </conditionalFormatting>
  <conditionalFormatting sqref="J580">
    <cfRule type="cellIs" dxfId="86" priority="168" operator="equal">
      <formula>0</formula>
    </cfRule>
  </conditionalFormatting>
  <conditionalFormatting sqref="J496">
    <cfRule type="cellIs" dxfId="85" priority="166" operator="equal">
      <formula>0</formula>
    </cfRule>
  </conditionalFormatting>
  <conditionalFormatting sqref="E473:I473">
    <cfRule type="cellIs" dxfId="84" priority="164" stopIfTrue="1" operator="equal">
      <formula>0</formula>
    </cfRule>
  </conditionalFormatting>
  <conditionalFormatting sqref="E474:I474">
    <cfRule type="cellIs" dxfId="83" priority="161" stopIfTrue="1" operator="equal">
      <formula>0</formula>
    </cfRule>
  </conditionalFormatting>
  <conditionalFormatting sqref="J474">
    <cfRule type="cellIs" dxfId="82" priority="160" operator="equal">
      <formula>0</formula>
    </cfRule>
  </conditionalFormatting>
  <conditionalFormatting sqref="E833:I833">
    <cfRule type="cellIs" dxfId="81" priority="158" stopIfTrue="1" operator="equal">
      <formula>0</formula>
    </cfRule>
  </conditionalFormatting>
  <conditionalFormatting sqref="J833">
    <cfRule type="cellIs" dxfId="80" priority="157" operator="equal">
      <formula>0</formula>
    </cfRule>
  </conditionalFormatting>
  <conditionalFormatting sqref="E834:I834">
    <cfRule type="cellIs" dxfId="79" priority="156" stopIfTrue="1" operator="equal">
      <formula>0</formula>
    </cfRule>
  </conditionalFormatting>
  <conditionalFormatting sqref="E749:I749">
    <cfRule type="cellIs" dxfId="78" priority="154" stopIfTrue="1" operator="equal">
      <formula>0</formula>
    </cfRule>
  </conditionalFormatting>
  <conditionalFormatting sqref="E844:H844">
    <cfRule type="cellIs" dxfId="77" priority="153" stopIfTrue="1" operator="equal">
      <formula>0</formula>
    </cfRule>
  </conditionalFormatting>
  <conditionalFormatting sqref="J499">
    <cfRule type="cellIs" dxfId="76" priority="151" operator="equal">
      <formula>0</formula>
    </cfRule>
  </conditionalFormatting>
  <conditionalFormatting sqref="J539 L539">
    <cfRule type="cellIs" dxfId="75" priority="149" operator="equal">
      <formula>0</formula>
    </cfRule>
  </conditionalFormatting>
  <conditionalFormatting sqref="J537">
    <cfRule type="cellIs" dxfId="74" priority="147" operator="equal">
      <formula>0</formula>
    </cfRule>
  </conditionalFormatting>
  <conditionalFormatting sqref="J536">
    <cfRule type="cellIs" dxfId="73" priority="144" operator="equal">
      <formula>0</formula>
    </cfRule>
  </conditionalFormatting>
  <conditionalFormatting sqref="E460:I460">
    <cfRule type="cellIs" dxfId="72" priority="141" stopIfTrue="1" operator="equal">
      <formula>0</formula>
    </cfRule>
  </conditionalFormatting>
  <conditionalFormatting sqref="J17">
    <cfRule type="cellIs" dxfId="71" priority="139" operator="equal">
      <formula>0</formula>
    </cfRule>
  </conditionalFormatting>
  <conditionalFormatting sqref="E456:I456">
    <cfRule type="cellIs" dxfId="70" priority="138" stopIfTrue="1" operator="equal">
      <formula>0</formula>
    </cfRule>
  </conditionalFormatting>
  <conditionalFormatting sqref="J24">
    <cfRule type="cellIs" dxfId="69" priority="136" operator="equal">
      <formula>0</formula>
    </cfRule>
  </conditionalFormatting>
  <conditionalFormatting sqref="E451:I451">
    <cfRule type="cellIs" dxfId="68" priority="134" stopIfTrue="1" operator="equal">
      <formula>0</formula>
    </cfRule>
  </conditionalFormatting>
  <conditionalFormatting sqref="J451">
    <cfRule type="cellIs" dxfId="67" priority="133" operator="equal">
      <formula>0</formula>
    </cfRule>
  </conditionalFormatting>
  <conditionalFormatting sqref="J72">
    <cfRule type="cellIs" dxfId="66" priority="130" operator="equal">
      <formula>0</formula>
    </cfRule>
  </conditionalFormatting>
  <conditionalFormatting sqref="J291 J293">
    <cfRule type="cellIs" dxfId="65" priority="126" operator="equal">
      <formula>0</formula>
    </cfRule>
  </conditionalFormatting>
  <conditionalFormatting sqref="J304">
    <cfRule type="cellIs" dxfId="64" priority="124" operator="equal">
      <formula>0</formula>
    </cfRule>
  </conditionalFormatting>
  <conditionalFormatting sqref="E450:I450">
    <cfRule type="cellIs" dxfId="63" priority="120" stopIfTrue="1" operator="equal">
      <formula>0</formula>
    </cfRule>
  </conditionalFormatting>
  <conditionalFormatting sqref="J450">
    <cfRule type="cellIs" dxfId="62" priority="119" operator="equal">
      <formula>0</formula>
    </cfRule>
  </conditionalFormatting>
  <conditionalFormatting sqref="J58">
    <cfRule type="cellIs" dxfId="61" priority="116" operator="equal">
      <formula>0</formula>
    </cfRule>
  </conditionalFormatting>
  <conditionalFormatting sqref="J606">
    <cfRule type="cellIs" dxfId="60" priority="112" operator="equal">
      <formula>0</formula>
    </cfRule>
  </conditionalFormatting>
  <conditionalFormatting sqref="J120">
    <cfRule type="cellIs" dxfId="59" priority="107" operator="equal">
      <formula>0</formula>
    </cfRule>
  </conditionalFormatting>
  <conditionalFormatting sqref="J651">
    <cfRule type="cellIs" dxfId="58" priority="103" operator="equal">
      <formula>0</formula>
    </cfRule>
  </conditionalFormatting>
  <conditionalFormatting sqref="J634">
    <cfRule type="cellIs" dxfId="57" priority="100" operator="equal">
      <formula>0</formula>
    </cfRule>
  </conditionalFormatting>
  <conditionalFormatting sqref="J636">
    <cfRule type="cellIs" dxfId="56" priority="99" operator="equal">
      <formula>0</formula>
    </cfRule>
  </conditionalFormatting>
  <conditionalFormatting sqref="L627 J626:J627">
    <cfRule type="cellIs" dxfId="55" priority="96" operator="equal">
      <formula>0</formula>
    </cfRule>
  </conditionalFormatting>
  <conditionalFormatting sqref="E467:I467">
    <cfRule type="cellIs" dxfId="54" priority="92" stopIfTrue="1" operator="equal">
      <formula>0</formula>
    </cfRule>
  </conditionalFormatting>
  <conditionalFormatting sqref="J271:J272">
    <cfRule type="cellIs" dxfId="53" priority="87" operator="equal">
      <formula>0</formula>
    </cfRule>
  </conditionalFormatting>
  <conditionalFormatting sqref="E731:I731">
    <cfRule type="cellIs" dxfId="52" priority="83" stopIfTrue="1" operator="equal">
      <formula>0</formula>
    </cfRule>
  </conditionalFormatting>
  <conditionalFormatting sqref="E466:I466">
    <cfRule type="cellIs" dxfId="51" priority="82" stopIfTrue="1" operator="equal">
      <formula>0</formula>
    </cfRule>
  </conditionalFormatting>
  <conditionalFormatting sqref="E851:I851">
    <cfRule type="cellIs" dxfId="50" priority="80" stopIfTrue="1" operator="equal">
      <formula>0</formula>
    </cfRule>
  </conditionalFormatting>
  <conditionalFormatting sqref="J80">
    <cfRule type="cellIs" dxfId="49" priority="73" operator="equal">
      <formula>0</formula>
    </cfRule>
  </conditionalFormatting>
  <conditionalFormatting sqref="J661:J662">
    <cfRule type="cellIs" dxfId="48" priority="71" operator="equal">
      <formula>0</formula>
    </cfRule>
  </conditionalFormatting>
  <conditionalFormatting sqref="J538">
    <cfRule type="cellIs" dxfId="47" priority="67" operator="equal">
      <formula>0</formula>
    </cfRule>
  </conditionalFormatting>
  <conditionalFormatting sqref="E471:I471">
    <cfRule type="cellIs" dxfId="46" priority="46" stopIfTrue="1" operator="equal">
      <formula>0</formula>
    </cfRule>
  </conditionalFormatting>
  <conditionalFormatting sqref="J534 L534">
    <cfRule type="cellIs" dxfId="45" priority="38" operator="equal">
      <formula>0</formula>
    </cfRule>
  </conditionalFormatting>
  <conditionalFormatting sqref="J127">
    <cfRule type="cellIs" dxfId="44" priority="26" operator="equal">
      <formula>0</formula>
    </cfRule>
  </conditionalFormatting>
  <conditionalFormatting sqref="J92">
    <cfRule type="cellIs" dxfId="43" priority="24" operator="equal">
      <formula>0</formula>
    </cfRule>
  </conditionalFormatting>
  <conditionalFormatting sqref="E781:I782">
    <cfRule type="cellIs" dxfId="42" priority="16" stopIfTrue="1" operator="equal">
      <formula>0</formula>
    </cfRule>
  </conditionalFormatting>
  <conditionalFormatting sqref="J591">
    <cfRule type="cellIs" dxfId="41" priority="11" operator="equal">
      <formula>0</formula>
    </cfRule>
  </conditionalFormatting>
  <conditionalFormatting sqref="J533">
    <cfRule type="cellIs" dxfId="40" priority="2" operator="equal">
      <formula>0</formula>
    </cfRule>
  </conditionalFormatting>
  <printOptions horizontalCentered="1"/>
  <pageMargins left="0.11811023622047245" right="0.11811023622047245" top="0.15748031496062992" bottom="0.15748031496062992" header="0.31496062992125984" footer="0.31496062992125984"/>
  <pageSetup paperSize="9"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94EF-31A7-40A2-BCD8-BCCB5D9253F9}">
  <sheetPr codeName="工作表9">
    <tabColor rgb="FF0000FF"/>
  </sheetPr>
  <dimension ref="A1:AO26"/>
  <sheetViews>
    <sheetView view="pageBreakPreview" zoomScale="46" zoomScaleNormal="100" zoomScaleSheetLayoutView="46" workbookViewId="0">
      <selection sqref="A1:XFD1048576"/>
    </sheetView>
  </sheetViews>
  <sheetFormatPr baseColWidth="10" defaultColWidth="8.83203125" defaultRowHeight="18" outlineLevelCol="1"/>
  <cols>
    <col min="1" max="1" width="8.83203125" style="389" customWidth="1"/>
    <col min="2" max="2" width="16.83203125" style="389" customWidth="1"/>
    <col min="3" max="3" width="16.83203125" style="568" customWidth="1"/>
    <col min="4" max="4" width="25.1640625" style="386" customWidth="1"/>
    <col min="5" max="5" width="27.1640625" style="386" customWidth="1"/>
    <col min="6" max="6" width="14.83203125" style="388" customWidth="1"/>
    <col min="7" max="7" width="17" style="706" hidden="1" customWidth="1"/>
    <col min="8" max="8" width="3.83203125" style="391" customWidth="1"/>
    <col min="9" max="9" width="8.83203125" style="389" customWidth="1"/>
    <col min="10" max="10" width="16.83203125" style="389" customWidth="1"/>
    <col min="11" max="11" width="16.83203125" style="568" customWidth="1" outlineLevel="1"/>
    <col min="12" max="12" width="12.83203125" style="386" customWidth="1"/>
    <col min="13" max="13" width="13.83203125" style="389" customWidth="1"/>
    <col min="14" max="14" width="14.83203125" style="390" customWidth="1"/>
    <col min="15" max="15" width="13.5" style="708" hidden="1" customWidth="1"/>
    <col min="16" max="16" width="3.83203125" style="391" customWidth="1"/>
    <col min="17" max="17" width="8.83203125" style="386" customWidth="1"/>
    <col min="18" max="18" width="16.83203125" style="389" customWidth="1"/>
    <col min="19" max="19" width="16.83203125" style="568" customWidth="1" outlineLevel="1"/>
    <col min="20" max="20" width="12.83203125" style="386" customWidth="1"/>
    <col min="21" max="21" width="9.5" style="386" bestFit="1" customWidth="1"/>
    <col min="22" max="22" width="14.83203125" style="388" customWidth="1"/>
    <col min="23" max="23" width="12.5" style="708" hidden="1" customWidth="1"/>
    <col min="24" max="24" width="1.1640625" style="391" customWidth="1"/>
    <col min="25" max="25" width="8.83203125" style="386" customWidth="1"/>
    <col min="26" max="26" width="16.83203125" style="386" customWidth="1"/>
    <col min="27" max="27" width="16.83203125" style="387" customWidth="1" outlineLevel="1"/>
    <col min="28" max="28" width="12.83203125" style="386" customWidth="1"/>
    <col min="29" max="29" width="10.5" style="386" bestFit="1" customWidth="1"/>
    <col min="30" max="30" width="12.83203125" style="388" customWidth="1"/>
    <col min="31" max="31" width="11.83203125" style="389" hidden="1" customWidth="1"/>
    <col min="32" max="40" width="8.83203125" style="386"/>
    <col min="41" max="41" width="11.5" style="386" bestFit="1" customWidth="1"/>
    <col min="42" max="16384" width="8.83203125" style="386"/>
  </cols>
  <sheetData>
    <row r="1" spans="1:41" s="383" customFormat="1" ht="50">
      <c r="A1" s="948" t="s">
        <v>923</v>
      </c>
      <c r="B1" s="948"/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8"/>
      <c r="N1" s="948"/>
      <c r="O1" s="948"/>
      <c r="P1" s="948"/>
      <c r="Q1" s="948"/>
      <c r="R1" s="948"/>
      <c r="S1" s="948"/>
      <c r="T1" s="948"/>
      <c r="U1" s="948"/>
      <c r="V1" s="948"/>
      <c r="W1" s="710"/>
      <c r="X1" s="700"/>
      <c r="Y1" s="700"/>
      <c r="Z1" s="700"/>
      <c r="AA1" s="700"/>
      <c r="AB1" s="700"/>
      <c r="AC1" s="700"/>
      <c r="AD1" s="700"/>
      <c r="AE1" s="521"/>
    </row>
    <row r="2" spans="1:41" s="383" customFormat="1" ht="9" customHeight="1">
      <c r="A2" s="951"/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711"/>
      <c r="X2" s="384"/>
      <c r="AA2" s="384"/>
      <c r="AD2" s="385"/>
      <c r="AE2" s="519"/>
    </row>
    <row r="3" spans="1:41" s="391" customFormat="1" ht="6" customHeight="1">
      <c r="A3" s="698"/>
      <c r="B3" s="566"/>
      <c r="C3" s="566"/>
      <c r="F3" s="699"/>
      <c r="G3" s="706"/>
      <c r="I3" s="566"/>
      <c r="J3" s="566"/>
      <c r="K3" s="566"/>
      <c r="M3" s="566"/>
      <c r="N3" s="567"/>
      <c r="O3" s="708"/>
      <c r="R3" s="566"/>
      <c r="S3" s="566"/>
      <c r="V3" s="699"/>
      <c r="W3" s="708"/>
      <c r="AD3" s="699"/>
      <c r="AE3" s="566"/>
    </row>
    <row r="4" spans="1:41" ht="24.5" customHeight="1" thickBot="1">
      <c r="A4" s="718" t="s">
        <v>931</v>
      </c>
      <c r="C4" s="566"/>
      <c r="E4" s="391"/>
      <c r="K4" s="566"/>
      <c r="L4" s="391"/>
      <c r="M4" s="566"/>
      <c r="N4" s="567"/>
      <c r="Q4" s="391"/>
      <c r="R4" s="566"/>
      <c r="S4" s="566"/>
      <c r="W4" s="712"/>
      <c r="AA4" s="391"/>
    </row>
    <row r="5" spans="1:41" s="396" customFormat="1" ht="33" customHeight="1">
      <c r="A5" s="952" t="s">
        <v>521</v>
      </c>
      <c r="B5" s="953"/>
      <c r="C5" s="953"/>
      <c r="D5" s="953"/>
      <c r="E5" s="953"/>
      <c r="F5" s="954"/>
      <c r="G5" s="955" t="s">
        <v>775</v>
      </c>
      <c r="H5" s="717"/>
      <c r="I5" s="952" t="s">
        <v>578</v>
      </c>
      <c r="J5" s="953"/>
      <c r="K5" s="953"/>
      <c r="L5" s="953"/>
      <c r="M5" s="953"/>
      <c r="N5" s="954"/>
      <c r="O5" s="955" t="s">
        <v>769</v>
      </c>
      <c r="P5" s="717"/>
      <c r="Q5" s="952" t="s">
        <v>581</v>
      </c>
      <c r="R5" s="953"/>
      <c r="S5" s="953"/>
      <c r="T5" s="953"/>
      <c r="U5" s="953"/>
      <c r="V5" s="954"/>
      <c r="W5" s="957" t="s">
        <v>770</v>
      </c>
      <c r="X5" s="397"/>
      <c r="Y5" s="959" t="s">
        <v>768</v>
      </c>
      <c r="Z5" s="960"/>
      <c r="AA5" s="960"/>
      <c r="AB5" s="960"/>
      <c r="AC5" s="960"/>
      <c r="AD5" s="961"/>
      <c r="AE5" s="949" t="s">
        <v>771</v>
      </c>
    </row>
    <row r="6" spans="1:41" s="394" customFormat="1" ht="77.5" customHeight="1">
      <c r="A6" s="701" t="s">
        <v>634</v>
      </c>
      <c r="B6" s="702" t="s">
        <v>515</v>
      </c>
      <c r="C6" s="703" t="s">
        <v>520</v>
      </c>
      <c r="D6" s="703" t="s">
        <v>518</v>
      </c>
      <c r="E6" s="704" t="s">
        <v>519</v>
      </c>
      <c r="F6" s="716" t="s">
        <v>516</v>
      </c>
      <c r="G6" s="956"/>
      <c r="H6" s="705"/>
      <c r="I6" s="701" t="s">
        <v>634</v>
      </c>
      <c r="J6" s="702" t="s">
        <v>299</v>
      </c>
      <c r="K6" s="703" t="s">
        <v>579</v>
      </c>
      <c r="L6" s="703">
        <v>11504</v>
      </c>
      <c r="M6" s="777" t="s">
        <v>872</v>
      </c>
      <c r="N6" s="716" t="s">
        <v>535</v>
      </c>
      <c r="O6" s="956"/>
      <c r="P6" s="717"/>
      <c r="Q6" s="701" t="s">
        <v>634</v>
      </c>
      <c r="R6" s="702" t="s">
        <v>515</v>
      </c>
      <c r="S6" s="703" t="s">
        <v>520</v>
      </c>
      <c r="T6" s="703">
        <v>11504</v>
      </c>
      <c r="U6" s="777" t="s">
        <v>544</v>
      </c>
      <c r="V6" s="716" t="s">
        <v>532</v>
      </c>
      <c r="W6" s="958"/>
      <c r="X6" s="395"/>
      <c r="Y6" s="701" t="s">
        <v>634</v>
      </c>
      <c r="Z6" s="702" t="s">
        <v>515</v>
      </c>
      <c r="AA6" s="703" t="s">
        <v>520</v>
      </c>
      <c r="AB6" s="703">
        <v>11504</v>
      </c>
      <c r="AC6" s="704" t="s">
        <v>767</v>
      </c>
      <c r="AD6" s="776" t="s">
        <v>766</v>
      </c>
      <c r="AE6" s="950"/>
      <c r="AH6" s="394" t="s">
        <v>515</v>
      </c>
      <c r="AI6" s="394" t="s">
        <v>582</v>
      </c>
      <c r="AJ6" s="394" t="s">
        <v>772</v>
      </c>
      <c r="AK6" s="394" t="s">
        <v>773</v>
      </c>
      <c r="AL6" s="394" t="s">
        <v>774</v>
      </c>
      <c r="AN6" s="394" t="s">
        <v>299</v>
      </c>
      <c r="AO6" s="394" t="s">
        <v>776</v>
      </c>
    </row>
    <row r="7" spans="1:41" s="391" customFormat="1" ht="50" customHeight="1">
      <c r="A7" s="719">
        <v>1</v>
      </c>
      <c r="B7" s="720" t="s">
        <v>826</v>
      </c>
      <c r="C7" s="720" t="s">
        <v>828</v>
      </c>
      <c r="D7" s="721">
        <v>62242</v>
      </c>
      <c r="E7" s="722">
        <v>991024</v>
      </c>
      <c r="F7" s="723">
        <v>0.70285390070921983</v>
      </c>
      <c r="G7" s="724" t="e">
        <v>#N/A</v>
      </c>
      <c r="H7" s="717"/>
      <c r="I7" s="719">
        <v>1</v>
      </c>
      <c r="J7" s="720" t="s">
        <v>880</v>
      </c>
      <c r="K7" s="720" t="s">
        <v>882</v>
      </c>
      <c r="L7" s="720">
        <v>15</v>
      </c>
      <c r="M7" s="725">
        <v>8</v>
      </c>
      <c r="N7" s="726">
        <v>0.53333333333333333</v>
      </c>
      <c r="O7" s="727" t="e">
        <v>#N/A</v>
      </c>
      <c r="P7" s="717"/>
      <c r="Q7" s="719">
        <v>1</v>
      </c>
      <c r="R7" s="720" t="s">
        <v>854</v>
      </c>
      <c r="S7" s="720" t="s">
        <v>857</v>
      </c>
      <c r="T7" s="720">
        <v>33</v>
      </c>
      <c r="U7" s="725">
        <v>14</v>
      </c>
      <c r="V7" s="726">
        <v>0.42424242424242425</v>
      </c>
      <c r="W7" s="713" t="e">
        <v>#N/A</v>
      </c>
      <c r="X7" s="397"/>
      <c r="Y7" s="719">
        <v>1</v>
      </c>
      <c r="Z7" s="767" t="s">
        <v>868</v>
      </c>
      <c r="AA7" s="768" t="s">
        <v>871</v>
      </c>
      <c r="AB7" s="720">
        <v>33</v>
      </c>
      <c r="AC7" s="725">
        <v>12</v>
      </c>
      <c r="AD7" s="769">
        <v>0.36363636363636365</v>
      </c>
      <c r="AE7" s="520" t="e">
        <v>#N/A</v>
      </c>
      <c r="AH7" s="530"/>
      <c r="AI7" s="531"/>
      <c r="AJ7" s="531"/>
      <c r="AK7" s="531"/>
      <c r="AL7" s="531"/>
      <c r="AM7" s="531"/>
      <c r="AN7" s="531"/>
      <c r="AO7" s="532"/>
    </row>
    <row r="8" spans="1:41" s="391" customFormat="1" ht="50" customHeight="1">
      <c r="A8" s="719">
        <v>2</v>
      </c>
      <c r="B8" s="720" t="s">
        <v>630</v>
      </c>
      <c r="C8" s="720" t="s">
        <v>227</v>
      </c>
      <c r="D8" s="721">
        <v>17646</v>
      </c>
      <c r="E8" s="722">
        <v>921055</v>
      </c>
      <c r="F8" s="723">
        <v>0.68226296296296296</v>
      </c>
      <c r="G8" s="724">
        <v>108</v>
      </c>
      <c r="H8" s="717"/>
      <c r="I8" s="719">
        <v>2</v>
      </c>
      <c r="J8" s="720" t="s">
        <v>1</v>
      </c>
      <c r="K8" s="720" t="s">
        <v>53</v>
      </c>
      <c r="L8" s="720">
        <v>19</v>
      </c>
      <c r="M8" s="725">
        <v>9</v>
      </c>
      <c r="N8" s="726">
        <v>0.47368421052631576</v>
      </c>
      <c r="O8" s="727">
        <v>7.583333333333333</v>
      </c>
      <c r="P8" s="717"/>
      <c r="Q8" s="719">
        <v>2</v>
      </c>
      <c r="R8" s="720" t="s">
        <v>387</v>
      </c>
      <c r="S8" s="720" t="s">
        <v>388</v>
      </c>
      <c r="T8" s="720">
        <v>31</v>
      </c>
      <c r="U8" s="725">
        <v>12</v>
      </c>
      <c r="V8" s="726">
        <v>0.38709677419354838</v>
      </c>
      <c r="W8" s="713">
        <v>19.916666666666668</v>
      </c>
      <c r="X8" s="397"/>
      <c r="Y8" s="719">
        <v>2</v>
      </c>
      <c r="Z8" s="767" t="s">
        <v>753</v>
      </c>
      <c r="AA8" s="768" t="s">
        <v>74</v>
      </c>
      <c r="AB8" s="720">
        <v>89</v>
      </c>
      <c r="AC8" s="725">
        <v>25</v>
      </c>
      <c r="AD8" s="769">
        <v>0.2808988764044944</v>
      </c>
      <c r="AE8" s="520">
        <v>39</v>
      </c>
      <c r="AH8" s="391" t="s">
        <v>1</v>
      </c>
      <c r="AI8" s="391">
        <v>689.83270000000005</v>
      </c>
      <c r="AJ8" s="391">
        <v>91</v>
      </c>
      <c r="AK8" s="391">
        <v>80</v>
      </c>
      <c r="AL8" s="391">
        <v>6</v>
      </c>
      <c r="AN8" s="391" t="s">
        <v>1</v>
      </c>
      <c r="AO8" s="522">
        <v>52</v>
      </c>
    </row>
    <row r="9" spans="1:41" s="391" customFormat="1" ht="50" customHeight="1">
      <c r="A9" s="719">
        <v>3</v>
      </c>
      <c r="B9" s="720" t="s">
        <v>829</v>
      </c>
      <c r="C9" s="720" t="s">
        <v>74</v>
      </c>
      <c r="D9" s="721">
        <v>239029</v>
      </c>
      <c r="E9" s="722">
        <v>2916022</v>
      </c>
      <c r="F9" s="723">
        <v>0.61780127118644068</v>
      </c>
      <c r="G9" s="724">
        <v>406</v>
      </c>
      <c r="H9" s="717"/>
      <c r="I9" s="719">
        <v>3</v>
      </c>
      <c r="J9" s="720" t="s">
        <v>854</v>
      </c>
      <c r="K9" s="720" t="s">
        <v>848</v>
      </c>
      <c r="L9" s="720">
        <v>33</v>
      </c>
      <c r="M9" s="725">
        <v>14</v>
      </c>
      <c r="N9" s="726">
        <v>0.42424242424242425</v>
      </c>
      <c r="O9" s="727" t="e">
        <v>#N/A</v>
      </c>
      <c r="P9" s="717"/>
      <c r="Q9" s="719">
        <v>3</v>
      </c>
      <c r="R9" s="720" t="s">
        <v>185</v>
      </c>
      <c r="S9" s="720" t="s">
        <v>74</v>
      </c>
      <c r="T9" s="720">
        <v>89</v>
      </c>
      <c r="U9" s="725">
        <v>30</v>
      </c>
      <c r="V9" s="726">
        <v>0.33707865168539325</v>
      </c>
      <c r="W9" s="713">
        <v>48.166666666666664</v>
      </c>
      <c r="X9" s="397"/>
      <c r="Y9" s="719">
        <v>3</v>
      </c>
      <c r="Z9" s="767" t="s">
        <v>866</v>
      </c>
      <c r="AA9" s="768" t="s">
        <v>869</v>
      </c>
      <c r="AB9" s="720">
        <v>30</v>
      </c>
      <c r="AC9" s="725">
        <v>8</v>
      </c>
      <c r="AD9" s="769">
        <v>0.26666666666666666</v>
      </c>
      <c r="AE9" s="520" t="e">
        <v>#N/A</v>
      </c>
      <c r="AH9" s="391" t="s">
        <v>303</v>
      </c>
      <c r="AI9" s="391">
        <v>1298.0356999999999</v>
      </c>
      <c r="AJ9" s="391">
        <v>285</v>
      </c>
      <c r="AK9" s="391">
        <v>265</v>
      </c>
      <c r="AL9" s="391">
        <v>16</v>
      </c>
      <c r="AN9" s="391" t="s">
        <v>303</v>
      </c>
      <c r="AO9" s="522">
        <v>97</v>
      </c>
    </row>
    <row r="10" spans="1:41" s="391" customFormat="1" ht="50" customHeight="1">
      <c r="A10" s="719">
        <v>4</v>
      </c>
      <c r="B10" s="720" t="s">
        <v>894</v>
      </c>
      <c r="C10" s="720" t="s">
        <v>895</v>
      </c>
      <c r="D10" s="721">
        <v>62681</v>
      </c>
      <c r="E10" s="722">
        <v>400134</v>
      </c>
      <c r="F10" s="723">
        <v>0.60626363636363634</v>
      </c>
      <c r="G10" s="724" t="e">
        <v>#N/A</v>
      </c>
      <c r="H10" s="717"/>
      <c r="I10" s="719">
        <v>4</v>
      </c>
      <c r="J10" s="720" t="s">
        <v>853</v>
      </c>
      <c r="K10" s="720" t="s">
        <v>855</v>
      </c>
      <c r="L10" s="720">
        <v>26</v>
      </c>
      <c r="M10" s="725">
        <v>11</v>
      </c>
      <c r="N10" s="726">
        <v>0.42307692307692307</v>
      </c>
      <c r="O10" s="727" t="e">
        <v>#N/A</v>
      </c>
      <c r="P10" s="717"/>
      <c r="Q10" s="719">
        <v>4</v>
      </c>
      <c r="R10" s="720" t="s">
        <v>824</v>
      </c>
      <c r="S10" s="720" t="s">
        <v>74</v>
      </c>
      <c r="T10" s="720">
        <v>30</v>
      </c>
      <c r="U10" s="725">
        <v>10</v>
      </c>
      <c r="V10" s="726">
        <v>0.33333333333333331</v>
      </c>
      <c r="W10" s="713" t="e">
        <v>#N/A</v>
      </c>
      <c r="X10" s="397"/>
      <c r="Y10" s="719">
        <v>4</v>
      </c>
      <c r="Z10" s="767" t="s">
        <v>387</v>
      </c>
      <c r="AA10" s="768" t="s">
        <v>388</v>
      </c>
      <c r="AB10" s="720">
        <v>31</v>
      </c>
      <c r="AC10" s="725">
        <v>8</v>
      </c>
      <c r="AD10" s="769">
        <v>0.25806451612903225</v>
      </c>
      <c r="AE10" s="520">
        <v>13</v>
      </c>
      <c r="AH10" s="391" t="s">
        <v>185</v>
      </c>
      <c r="AI10" s="391">
        <v>4878.6873999999998</v>
      </c>
      <c r="AJ10" s="391">
        <v>588</v>
      </c>
      <c r="AK10" s="391">
        <v>578</v>
      </c>
      <c r="AL10" s="391">
        <v>39</v>
      </c>
      <c r="AN10" s="391" t="s">
        <v>185</v>
      </c>
      <c r="AO10" s="522">
        <v>320</v>
      </c>
    </row>
    <row r="11" spans="1:41" s="391" customFormat="1" ht="50" customHeight="1">
      <c r="A11" s="719">
        <v>5</v>
      </c>
      <c r="B11" s="720" t="s">
        <v>824</v>
      </c>
      <c r="C11" s="720" t="s">
        <v>74</v>
      </c>
      <c r="D11" s="721">
        <v>160827</v>
      </c>
      <c r="E11" s="722">
        <v>1216836</v>
      </c>
      <c r="F11" s="723">
        <v>0.6023940594059406</v>
      </c>
      <c r="G11" s="724" t="e">
        <v>#N/A</v>
      </c>
      <c r="H11" s="717"/>
      <c r="I11" s="719">
        <v>5</v>
      </c>
      <c r="J11" s="720" t="s">
        <v>387</v>
      </c>
      <c r="K11" s="720" t="s">
        <v>388</v>
      </c>
      <c r="L11" s="720">
        <v>31</v>
      </c>
      <c r="M11" s="725">
        <v>13</v>
      </c>
      <c r="N11" s="726">
        <v>0.41935483870967744</v>
      </c>
      <c r="O11" s="727">
        <v>17.666666666666668</v>
      </c>
      <c r="P11" s="717"/>
      <c r="Q11" s="719">
        <v>5</v>
      </c>
      <c r="R11" s="720" t="s">
        <v>218</v>
      </c>
      <c r="S11" s="720" t="s">
        <v>69</v>
      </c>
      <c r="T11" s="720">
        <v>40</v>
      </c>
      <c r="U11" s="725">
        <v>11</v>
      </c>
      <c r="V11" s="726">
        <v>0.27500000000000002</v>
      </c>
      <c r="W11" s="713">
        <v>21.166666666666668</v>
      </c>
      <c r="X11" s="397"/>
      <c r="Y11" s="719">
        <v>5</v>
      </c>
      <c r="Z11" s="767" t="s">
        <v>880</v>
      </c>
      <c r="AA11" s="768" t="s">
        <v>882</v>
      </c>
      <c r="AB11" s="720">
        <v>15</v>
      </c>
      <c r="AC11" s="725">
        <v>3</v>
      </c>
      <c r="AD11" s="769">
        <v>0.2</v>
      </c>
      <c r="AE11" s="520" t="e">
        <v>#N/A</v>
      </c>
      <c r="AH11" s="391" t="s">
        <v>2</v>
      </c>
      <c r="AI11" s="391">
        <v>1511.0567000000001</v>
      </c>
      <c r="AJ11" s="391">
        <v>265</v>
      </c>
      <c r="AK11" s="391">
        <v>261</v>
      </c>
      <c r="AL11" s="391">
        <v>17</v>
      </c>
      <c r="AN11" s="391" t="s">
        <v>2</v>
      </c>
      <c r="AO11" s="522">
        <v>107</v>
      </c>
    </row>
    <row r="12" spans="1:41" s="391" customFormat="1" ht="50" customHeight="1">
      <c r="A12" s="719">
        <v>6</v>
      </c>
      <c r="B12" s="720" t="s">
        <v>825</v>
      </c>
      <c r="C12" s="720" t="s">
        <v>827</v>
      </c>
      <c r="D12" s="721">
        <v>15960</v>
      </c>
      <c r="E12" s="722">
        <v>708162</v>
      </c>
      <c r="F12" s="723">
        <v>0.5489627906976744</v>
      </c>
      <c r="G12" s="724" t="e">
        <v>#N/A</v>
      </c>
      <c r="H12" s="717"/>
      <c r="I12" s="719">
        <v>6</v>
      </c>
      <c r="J12" s="720" t="s">
        <v>185</v>
      </c>
      <c r="K12" s="720" t="s">
        <v>74</v>
      </c>
      <c r="L12" s="720">
        <v>89</v>
      </c>
      <c r="M12" s="725">
        <v>36</v>
      </c>
      <c r="N12" s="726">
        <v>0.4044943820224719</v>
      </c>
      <c r="O12" s="727">
        <v>49</v>
      </c>
      <c r="P12" s="717"/>
      <c r="Q12" s="719">
        <v>6</v>
      </c>
      <c r="R12" s="720" t="s">
        <v>853</v>
      </c>
      <c r="S12" s="720" t="s">
        <v>856</v>
      </c>
      <c r="T12" s="720">
        <v>26</v>
      </c>
      <c r="U12" s="725">
        <v>6</v>
      </c>
      <c r="V12" s="726">
        <v>0.23076923076923078</v>
      </c>
      <c r="W12" s="713" t="e">
        <v>#N/A</v>
      </c>
      <c r="X12" s="397"/>
      <c r="Y12" s="719">
        <v>6</v>
      </c>
      <c r="Z12" s="767" t="s">
        <v>867</v>
      </c>
      <c r="AA12" s="768" t="s">
        <v>870</v>
      </c>
      <c r="AB12" s="720">
        <v>26</v>
      </c>
      <c r="AC12" s="725">
        <v>5</v>
      </c>
      <c r="AD12" s="769">
        <v>0.19230769230769232</v>
      </c>
      <c r="AE12" s="520" t="e">
        <v>#N/A</v>
      </c>
      <c r="AH12" s="391" t="s">
        <v>3</v>
      </c>
      <c r="AI12" s="391">
        <v>1883.2165</v>
      </c>
      <c r="AJ12" s="391">
        <v>316</v>
      </c>
      <c r="AK12" s="391">
        <v>312</v>
      </c>
      <c r="AL12" s="391">
        <v>20</v>
      </c>
      <c r="AN12" s="391" t="s">
        <v>3</v>
      </c>
      <c r="AO12" s="522">
        <v>131</v>
      </c>
    </row>
    <row r="13" spans="1:41" s="391" customFormat="1" ht="50" customHeight="1">
      <c r="A13" s="719">
        <v>7</v>
      </c>
      <c r="B13" s="720" t="s">
        <v>387</v>
      </c>
      <c r="C13" s="720" t="s">
        <v>388</v>
      </c>
      <c r="D13" s="721">
        <v>90555</v>
      </c>
      <c r="E13" s="722">
        <v>638997</v>
      </c>
      <c r="F13" s="723">
        <v>0.49534651162790699</v>
      </c>
      <c r="G13" s="724">
        <v>113</v>
      </c>
      <c r="H13" s="717"/>
      <c r="I13" s="728">
        <v>7</v>
      </c>
      <c r="J13" s="720" t="s">
        <v>218</v>
      </c>
      <c r="K13" s="720" t="s">
        <v>69</v>
      </c>
      <c r="L13" s="720">
        <v>40</v>
      </c>
      <c r="M13" s="725">
        <v>16</v>
      </c>
      <c r="N13" s="726">
        <v>0.4</v>
      </c>
      <c r="O13" s="727">
        <v>22.5</v>
      </c>
      <c r="P13" s="717"/>
      <c r="Q13" s="719">
        <v>7</v>
      </c>
      <c r="R13" s="720" t="s">
        <v>612</v>
      </c>
      <c r="S13" s="720" t="s">
        <v>613</v>
      </c>
      <c r="T13" s="720">
        <v>36</v>
      </c>
      <c r="U13" s="725">
        <v>8</v>
      </c>
      <c r="V13" s="726">
        <v>0.22222222222222221</v>
      </c>
      <c r="W13" s="713">
        <v>19.666666666666668</v>
      </c>
      <c r="X13" s="397"/>
      <c r="Y13" s="719">
        <v>7</v>
      </c>
      <c r="Z13" s="767" t="s">
        <v>1</v>
      </c>
      <c r="AA13" s="768" t="s">
        <v>53</v>
      </c>
      <c r="AB13" s="720">
        <v>19</v>
      </c>
      <c r="AC13" s="725">
        <v>3</v>
      </c>
      <c r="AD13" s="769">
        <v>0.15789473684210525</v>
      </c>
      <c r="AE13" s="520">
        <v>6</v>
      </c>
      <c r="AF13" s="391" t="s">
        <v>779</v>
      </c>
      <c r="AG13" s="391">
        <v>95.857500000000002</v>
      </c>
      <c r="AH13" s="391" t="s">
        <v>269</v>
      </c>
      <c r="AI13" s="391">
        <v>772.46990000000005</v>
      </c>
      <c r="AJ13" s="391">
        <v>159</v>
      </c>
      <c r="AK13" s="391">
        <v>146</v>
      </c>
      <c r="AL13" s="391">
        <v>9</v>
      </c>
      <c r="AN13" s="391" t="s">
        <v>269</v>
      </c>
      <c r="AO13" s="522">
        <v>63</v>
      </c>
    </row>
    <row r="14" spans="1:41" s="391" customFormat="1" ht="50" customHeight="1">
      <c r="A14" s="719">
        <v>8</v>
      </c>
      <c r="B14" s="720" t="s">
        <v>1</v>
      </c>
      <c r="C14" s="720" t="s">
        <v>53</v>
      </c>
      <c r="D14" s="721">
        <v>6731</v>
      </c>
      <c r="E14" s="722">
        <v>264246</v>
      </c>
      <c r="F14" s="723">
        <v>0.40037272727272727</v>
      </c>
      <c r="G14" s="724">
        <v>57</v>
      </c>
      <c r="H14" s="717"/>
      <c r="I14" s="719">
        <v>8</v>
      </c>
      <c r="J14" s="720" t="s">
        <v>2</v>
      </c>
      <c r="K14" s="720" t="s">
        <v>123</v>
      </c>
      <c r="L14" s="720">
        <v>39</v>
      </c>
      <c r="M14" s="725">
        <v>15</v>
      </c>
      <c r="N14" s="726">
        <v>0.38461538461538464</v>
      </c>
      <c r="O14" s="727">
        <v>22.083333333333332</v>
      </c>
      <c r="P14" s="717"/>
      <c r="Q14" s="719">
        <v>8</v>
      </c>
      <c r="R14" s="720" t="s">
        <v>206</v>
      </c>
      <c r="S14" s="720" t="s">
        <v>485</v>
      </c>
      <c r="T14" s="720">
        <v>42</v>
      </c>
      <c r="U14" s="725">
        <v>9</v>
      </c>
      <c r="V14" s="726">
        <v>0.21428571428571427</v>
      </c>
      <c r="W14" s="713">
        <v>21.416666666666668</v>
      </c>
      <c r="X14" s="397"/>
      <c r="Y14" s="719">
        <v>8</v>
      </c>
      <c r="Z14" s="767" t="s">
        <v>812</v>
      </c>
      <c r="AA14" s="768" t="s">
        <v>81</v>
      </c>
      <c r="AB14" s="720">
        <v>19</v>
      </c>
      <c r="AC14" s="725">
        <v>3</v>
      </c>
      <c r="AD14" s="769">
        <v>0.15789473684210525</v>
      </c>
      <c r="AE14" s="520">
        <v>9</v>
      </c>
      <c r="AH14" s="391" t="s">
        <v>206</v>
      </c>
      <c r="AI14" s="391">
        <v>1289.4124999999999</v>
      </c>
      <c r="AJ14" s="391">
        <v>292</v>
      </c>
      <c r="AK14" s="391">
        <v>257</v>
      </c>
      <c r="AL14" s="391">
        <v>15</v>
      </c>
      <c r="AN14" s="391" t="s">
        <v>206</v>
      </c>
      <c r="AO14" s="522">
        <v>91</v>
      </c>
    </row>
    <row r="15" spans="1:41" s="391" customFormat="1" ht="50" customHeight="1">
      <c r="A15" s="719">
        <v>9</v>
      </c>
      <c r="B15" s="720" t="s">
        <v>580</v>
      </c>
      <c r="C15" s="720"/>
      <c r="D15" s="721">
        <v>19067294</v>
      </c>
      <c r="E15" s="722">
        <v>249360828</v>
      </c>
      <c r="F15" s="723">
        <v>0.35749999999999998</v>
      </c>
      <c r="G15" s="724" t="e">
        <v>#N/A</v>
      </c>
      <c r="H15" s="717"/>
      <c r="I15" s="719">
        <v>9</v>
      </c>
      <c r="J15" s="720" t="s">
        <v>580</v>
      </c>
      <c r="K15" s="720"/>
      <c r="L15" s="720">
        <v>17275</v>
      </c>
      <c r="M15" s="725">
        <v>6578</v>
      </c>
      <c r="N15" s="726">
        <v>0.38080000000000003</v>
      </c>
      <c r="O15" s="727" t="e">
        <v>#N/A</v>
      </c>
      <c r="P15" s="717"/>
      <c r="Q15" s="719">
        <v>9</v>
      </c>
      <c r="R15" s="720" t="s">
        <v>1</v>
      </c>
      <c r="S15" s="720" t="s">
        <v>53</v>
      </c>
      <c r="T15" s="720">
        <v>19</v>
      </c>
      <c r="U15" s="725">
        <v>4</v>
      </c>
      <c r="V15" s="726">
        <v>0.21052631578947367</v>
      </c>
      <c r="W15" s="713">
        <v>6.666666666666667</v>
      </c>
      <c r="X15" s="397"/>
      <c r="Y15" s="719">
        <v>9</v>
      </c>
      <c r="Z15" s="767" t="s">
        <v>2</v>
      </c>
      <c r="AA15" s="768" t="s">
        <v>123</v>
      </c>
      <c r="AB15" s="720">
        <v>39</v>
      </c>
      <c r="AC15" s="725">
        <v>6</v>
      </c>
      <c r="AD15" s="769">
        <v>0.15384615384615385</v>
      </c>
      <c r="AE15" s="520">
        <v>17</v>
      </c>
      <c r="AH15" s="391" t="s">
        <v>218</v>
      </c>
      <c r="AI15" s="391">
        <v>1626.6898000000001</v>
      </c>
      <c r="AJ15" s="391">
        <v>270</v>
      </c>
      <c r="AK15" s="391">
        <v>254</v>
      </c>
      <c r="AL15" s="391">
        <v>18</v>
      </c>
      <c r="AN15" s="391" t="s">
        <v>218</v>
      </c>
      <c r="AO15" s="522">
        <v>108</v>
      </c>
    </row>
    <row r="16" spans="1:41" s="391" customFormat="1" ht="50" customHeight="1">
      <c r="A16" s="719">
        <v>10</v>
      </c>
      <c r="B16" s="720" t="s">
        <v>517</v>
      </c>
      <c r="C16" s="720" t="s">
        <v>615</v>
      </c>
      <c r="D16" s="721">
        <v>801631</v>
      </c>
      <c r="E16" s="722">
        <v>8274112</v>
      </c>
      <c r="F16" s="723">
        <v>0.34970887573964499</v>
      </c>
      <c r="G16" s="724">
        <v>1944</v>
      </c>
      <c r="H16" s="717"/>
      <c r="I16" s="719">
        <v>10</v>
      </c>
      <c r="J16" s="720" t="s">
        <v>269</v>
      </c>
      <c r="K16" s="720" t="s">
        <v>81</v>
      </c>
      <c r="L16" s="720">
        <v>19</v>
      </c>
      <c r="M16" s="725">
        <v>7</v>
      </c>
      <c r="N16" s="726">
        <v>0.36842105263157893</v>
      </c>
      <c r="O16" s="727">
        <v>13.25</v>
      </c>
      <c r="P16" s="717"/>
      <c r="Q16" s="719">
        <v>10</v>
      </c>
      <c r="R16" s="720" t="s">
        <v>269</v>
      </c>
      <c r="S16" s="720" t="s">
        <v>81</v>
      </c>
      <c r="T16" s="720">
        <v>19</v>
      </c>
      <c r="U16" s="725">
        <v>4</v>
      </c>
      <c r="V16" s="726">
        <v>0.21052631578947367</v>
      </c>
      <c r="W16" s="713">
        <v>12.166666666666666</v>
      </c>
      <c r="X16" s="397"/>
      <c r="Y16" s="719">
        <v>10</v>
      </c>
      <c r="Z16" s="767" t="s">
        <v>376</v>
      </c>
      <c r="AA16" s="768" t="s">
        <v>615</v>
      </c>
      <c r="AB16" s="720">
        <v>590</v>
      </c>
      <c r="AC16" s="725">
        <v>84</v>
      </c>
      <c r="AD16" s="769">
        <v>0.14237288135593221</v>
      </c>
      <c r="AE16" s="520">
        <v>228</v>
      </c>
      <c r="AH16" s="530" t="s">
        <v>4</v>
      </c>
      <c r="AI16" s="531">
        <v>3566</v>
      </c>
      <c r="AJ16" s="531">
        <v>570</v>
      </c>
      <c r="AK16" s="531">
        <v>570</v>
      </c>
      <c r="AL16" s="531">
        <v>32</v>
      </c>
      <c r="AM16" s="531"/>
      <c r="AN16" s="531" t="s">
        <v>4</v>
      </c>
      <c r="AO16" s="532">
        <v>297</v>
      </c>
    </row>
    <row r="17" spans="1:41" s="391" customFormat="1" ht="50" customHeight="1">
      <c r="A17" s="719">
        <v>11</v>
      </c>
      <c r="B17" s="720" t="s">
        <v>218</v>
      </c>
      <c r="C17" s="720" t="s">
        <v>69</v>
      </c>
      <c r="D17" s="721">
        <v>39103</v>
      </c>
      <c r="E17" s="722">
        <v>523761</v>
      </c>
      <c r="F17" s="723">
        <v>0.34010454545454544</v>
      </c>
      <c r="G17" s="724">
        <v>135</v>
      </c>
      <c r="H17" s="717"/>
      <c r="I17" s="719">
        <v>11</v>
      </c>
      <c r="J17" s="720" t="s">
        <v>824</v>
      </c>
      <c r="K17" s="720" t="s">
        <v>74</v>
      </c>
      <c r="L17" s="720">
        <v>30</v>
      </c>
      <c r="M17" s="725">
        <v>11</v>
      </c>
      <c r="N17" s="726">
        <v>0.36666666666666664</v>
      </c>
      <c r="O17" s="727" t="e">
        <v>#N/A</v>
      </c>
      <c r="P17" s="717"/>
      <c r="Q17" s="752">
        <v>11</v>
      </c>
      <c r="R17" s="720" t="s">
        <v>376</v>
      </c>
      <c r="S17" s="720" t="s">
        <v>615</v>
      </c>
      <c r="T17" s="720">
        <v>590</v>
      </c>
      <c r="U17" s="725">
        <v>120</v>
      </c>
      <c r="V17" s="726">
        <v>0.20338983050847459</v>
      </c>
      <c r="W17" s="713">
        <v>316.66666666666669</v>
      </c>
      <c r="X17" s="397"/>
      <c r="Y17" s="752">
        <v>11</v>
      </c>
      <c r="Z17" s="767" t="s">
        <v>218</v>
      </c>
      <c r="AA17" s="768" t="s">
        <v>69</v>
      </c>
      <c r="AB17" s="720">
        <v>40</v>
      </c>
      <c r="AC17" s="725">
        <v>5</v>
      </c>
      <c r="AD17" s="769">
        <v>0.125</v>
      </c>
      <c r="AE17" s="520">
        <v>18</v>
      </c>
      <c r="AH17" s="391" t="s">
        <v>387</v>
      </c>
      <c r="AI17" s="391">
        <v>1357.4138</v>
      </c>
      <c r="AJ17" s="391">
        <v>212</v>
      </c>
      <c r="AK17" s="391">
        <v>239</v>
      </c>
      <c r="AL17" s="391">
        <v>13</v>
      </c>
      <c r="AN17" s="391" t="s">
        <v>387</v>
      </c>
      <c r="AO17" s="522">
        <v>72</v>
      </c>
    </row>
    <row r="18" spans="1:41" s="391" customFormat="1" ht="50" customHeight="1">
      <c r="A18" s="752">
        <v>12</v>
      </c>
      <c r="B18" s="720" t="s">
        <v>462</v>
      </c>
      <c r="C18" s="720" t="s">
        <v>425</v>
      </c>
      <c r="D18" s="721">
        <v>12720</v>
      </c>
      <c r="E18" s="722">
        <v>369711</v>
      </c>
      <c r="F18" s="723">
        <v>0.31871637931034486</v>
      </c>
      <c r="G18" s="724">
        <v>88</v>
      </c>
      <c r="H18" s="717"/>
      <c r="I18" s="752">
        <v>12</v>
      </c>
      <c r="J18" s="720" t="s">
        <v>612</v>
      </c>
      <c r="K18" s="720" t="s">
        <v>613</v>
      </c>
      <c r="L18" s="720">
        <v>36</v>
      </c>
      <c r="M18" s="725">
        <v>13</v>
      </c>
      <c r="N18" s="726">
        <v>0.3611111111111111</v>
      </c>
      <c r="O18" s="727">
        <v>22</v>
      </c>
      <c r="P18" s="717"/>
      <c r="Q18" s="752">
        <v>12</v>
      </c>
      <c r="R18" s="720" t="s">
        <v>630</v>
      </c>
      <c r="S18" s="720" t="s">
        <v>227</v>
      </c>
      <c r="T18" s="720">
        <v>40</v>
      </c>
      <c r="U18" s="725">
        <v>8</v>
      </c>
      <c r="V18" s="726">
        <v>0.2</v>
      </c>
      <c r="W18" s="713">
        <v>22.083333333333332</v>
      </c>
      <c r="X18" s="397"/>
      <c r="Y18" s="752">
        <v>12</v>
      </c>
      <c r="Z18" s="767" t="s">
        <v>462</v>
      </c>
      <c r="AA18" s="768" t="s">
        <v>425</v>
      </c>
      <c r="AB18" s="720">
        <v>33</v>
      </c>
      <c r="AC18" s="725">
        <v>4</v>
      </c>
      <c r="AD18" s="769">
        <v>0.12121212121212122</v>
      </c>
      <c r="AE18" s="520">
        <v>12</v>
      </c>
      <c r="AH18" s="391" t="s">
        <v>186</v>
      </c>
      <c r="AI18" s="391">
        <v>676.08870000000002</v>
      </c>
      <c r="AJ18" s="391">
        <v>116</v>
      </c>
      <c r="AK18" s="391">
        <v>112</v>
      </c>
      <c r="AL18" s="391">
        <v>9</v>
      </c>
      <c r="AN18" s="391" t="s">
        <v>186</v>
      </c>
      <c r="AO18" s="522">
        <v>40</v>
      </c>
    </row>
    <row r="19" spans="1:41" s="392" customFormat="1" ht="50" customHeight="1">
      <c r="A19" s="752">
        <v>13</v>
      </c>
      <c r="B19" s="720" t="s">
        <v>206</v>
      </c>
      <c r="C19" s="720" t="s">
        <v>485</v>
      </c>
      <c r="D19" s="721">
        <v>93101</v>
      </c>
      <c r="E19" s="722">
        <v>470412</v>
      </c>
      <c r="F19" s="723">
        <v>0.29772911392405066</v>
      </c>
      <c r="G19" s="724">
        <v>107</v>
      </c>
      <c r="H19" s="717"/>
      <c r="I19" s="752">
        <v>13</v>
      </c>
      <c r="J19" s="720" t="s">
        <v>206</v>
      </c>
      <c r="K19" s="720" t="s">
        <v>485</v>
      </c>
      <c r="L19" s="720">
        <v>42</v>
      </c>
      <c r="M19" s="725">
        <v>15</v>
      </c>
      <c r="N19" s="726">
        <v>0.35714285714285715</v>
      </c>
      <c r="O19" s="727">
        <v>24.333333333333332</v>
      </c>
      <c r="P19" s="717"/>
      <c r="Q19" s="752">
        <v>13</v>
      </c>
      <c r="R19" s="720" t="s">
        <v>880</v>
      </c>
      <c r="S19" s="720" t="s">
        <v>882</v>
      </c>
      <c r="T19" s="720">
        <v>15</v>
      </c>
      <c r="U19" s="725">
        <v>3</v>
      </c>
      <c r="V19" s="726">
        <v>0.2</v>
      </c>
      <c r="W19" s="713" t="e">
        <v>#N/A</v>
      </c>
      <c r="X19" s="397"/>
      <c r="Y19" s="752">
        <v>13</v>
      </c>
      <c r="Z19" s="767" t="s">
        <v>206</v>
      </c>
      <c r="AA19" s="768" t="s">
        <v>485</v>
      </c>
      <c r="AB19" s="720">
        <v>42</v>
      </c>
      <c r="AC19" s="725">
        <v>5</v>
      </c>
      <c r="AD19" s="769">
        <v>0.11904761904761904</v>
      </c>
      <c r="AE19" s="520">
        <v>15</v>
      </c>
      <c r="AH19" s="392" t="s">
        <v>187</v>
      </c>
      <c r="AI19" s="392">
        <v>1232.4165</v>
      </c>
      <c r="AJ19" s="392">
        <v>248</v>
      </c>
      <c r="AK19" s="392">
        <v>239</v>
      </c>
      <c r="AL19" s="391">
        <v>14</v>
      </c>
      <c r="AN19" s="392" t="s">
        <v>187</v>
      </c>
      <c r="AO19" s="523">
        <v>71</v>
      </c>
    </row>
    <row r="20" spans="1:41" s="392" customFormat="1" ht="50" customHeight="1">
      <c r="A20" s="752">
        <v>14</v>
      </c>
      <c r="B20" s="720" t="s">
        <v>269</v>
      </c>
      <c r="C20" s="720" t="s">
        <v>81</v>
      </c>
      <c r="D20" s="721">
        <v>48633</v>
      </c>
      <c r="E20" s="722">
        <v>191845</v>
      </c>
      <c r="F20" s="723">
        <v>0.26280136986301372</v>
      </c>
      <c r="G20" s="724">
        <v>64</v>
      </c>
      <c r="H20" s="717"/>
      <c r="I20" s="752">
        <v>14</v>
      </c>
      <c r="J20" s="720" t="s">
        <v>631</v>
      </c>
      <c r="K20" s="720" t="s">
        <v>227</v>
      </c>
      <c r="L20" s="720">
        <v>40</v>
      </c>
      <c r="M20" s="725">
        <v>13</v>
      </c>
      <c r="N20" s="726">
        <v>0.32500000000000001</v>
      </c>
      <c r="O20" s="727">
        <v>23.75</v>
      </c>
      <c r="P20" s="717"/>
      <c r="Q20" s="729">
        <v>14</v>
      </c>
      <c r="R20" s="720" t="s">
        <v>2</v>
      </c>
      <c r="S20" s="720" t="s">
        <v>123</v>
      </c>
      <c r="T20" s="720">
        <v>39</v>
      </c>
      <c r="U20" s="725">
        <v>6</v>
      </c>
      <c r="V20" s="726">
        <v>0.15384615384615385</v>
      </c>
      <c r="W20" s="713">
        <v>21.75</v>
      </c>
      <c r="X20" s="397"/>
      <c r="Y20" s="729">
        <v>14</v>
      </c>
      <c r="Z20" s="767" t="s">
        <v>612</v>
      </c>
      <c r="AA20" s="768" t="s">
        <v>613</v>
      </c>
      <c r="AB20" s="720">
        <v>36</v>
      </c>
      <c r="AC20" s="725">
        <v>4</v>
      </c>
      <c r="AD20" s="769">
        <v>0.1111111111111111</v>
      </c>
      <c r="AE20" s="520">
        <v>15</v>
      </c>
      <c r="AH20" s="392" t="s">
        <v>462</v>
      </c>
      <c r="AI20" s="392">
        <v>1065.4064000000001</v>
      </c>
      <c r="AJ20" s="392">
        <v>301</v>
      </c>
      <c r="AK20" s="392">
        <v>251</v>
      </c>
      <c r="AL20" s="391">
        <v>12</v>
      </c>
      <c r="AN20" s="392" t="s">
        <v>462</v>
      </c>
      <c r="AO20" s="523">
        <v>52</v>
      </c>
    </row>
    <row r="21" spans="1:41" s="392" customFormat="1" ht="50" customHeight="1">
      <c r="A21" s="729">
        <v>15</v>
      </c>
      <c r="B21" s="720" t="s">
        <v>2</v>
      </c>
      <c r="C21" s="720" t="s">
        <v>123</v>
      </c>
      <c r="D21" s="721">
        <v>85241</v>
      </c>
      <c r="E21" s="722">
        <v>371767</v>
      </c>
      <c r="F21" s="723">
        <v>0.21365919540229886</v>
      </c>
      <c r="G21" s="724">
        <v>125</v>
      </c>
      <c r="H21" s="717"/>
      <c r="I21" s="729">
        <v>15</v>
      </c>
      <c r="J21" s="720" t="s">
        <v>517</v>
      </c>
      <c r="K21" s="720" t="s">
        <v>615</v>
      </c>
      <c r="L21" s="720">
        <v>590</v>
      </c>
      <c r="M21" s="725">
        <v>189</v>
      </c>
      <c r="N21" s="726">
        <v>0.32033898305084746</v>
      </c>
      <c r="O21" s="727">
        <v>331.41666666666669</v>
      </c>
      <c r="P21" s="717"/>
      <c r="Q21" s="730">
        <v>15</v>
      </c>
      <c r="R21" s="731" t="s">
        <v>462</v>
      </c>
      <c r="S21" s="731" t="s">
        <v>425</v>
      </c>
      <c r="T21" s="731">
        <v>33</v>
      </c>
      <c r="U21" s="732">
        <v>5</v>
      </c>
      <c r="V21" s="733">
        <v>0.15151515151515152</v>
      </c>
      <c r="W21" s="714">
        <v>20.916666666666668</v>
      </c>
      <c r="X21" s="397"/>
      <c r="Y21" s="730">
        <v>15</v>
      </c>
      <c r="Z21" s="770" t="s">
        <v>4</v>
      </c>
      <c r="AA21" s="771" t="s">
        <v>149</v>
      </c>
      <c r="AB21" s="731">
        <v>109</v>
      </c>
      <c r="AC21" s="732">
        <v>11</v>
      </c>
      <c r="AD21" s="772">
        <v>0.10091743119266056</v>
      </c>
      <c r="AE21" s="538">
        <v>32</v>
      </c>
      <c r="AH21" s="392" t="s">
        <v>583</v>
      </c>
      <c r="AI21" s="392">
        <v>1392.3</v>
      </c>
      <c r="AJ21" s="392">
        <v>264</v>
      </c>
      <c r="AK21" s="392">
        <v>236</v>
      </c>
      <c r="AL21" s="391">
        <v>15</v>
      </c>
      <c r="AN21" s="392" t="s">
        <v>583</v>
      </c>
      <c r="AO21" s="523">
        <v>88</v>
      </c>
    </row>
    <row r="22" spans="1:41" s="393" customFormat="1" ht="50" customHeight="1">
      <c r="A22" s="730">
        <v>16</v>
      </c>
      <c r="B22" s="731" t="s">
        <v>612</v>
      </c>
      <c r="C22" s="731" t="s">
        <v>613</v>
      </c>
      <c r="D22" s="734">
        <v>0</v>
      </c>
      <c r="E22" s="735">
        <v>267620</v>
      </c>
      <c r="F22" s="736">
        <v>0.18980141843971632</v>
      </c>
      <c r="G22" s="737">
        <v>116</v>
      </c>
      <c r="H22" s="738"/>
      <c r="I22" s="730">
        <v>16</v>
      </c>
      <c r="J22" s="731" t="s">
        <v>462</v>
      </c>
      <c r="K22" s="731" t="s">
        <v>425</v>
      </c>
      <c r="L22" s="731">
        <v>33</v>
      </c>
      <c r="M22" s="732">
        <v>9</v>
      </c>
      <c r="N22" s="733">
        <v>0.27272727272727271</v>
      </c>
      <c r="O22" s="739">
        <v>25.083333333333332</v>
      </c>
      <c r="P22" s="738"/>
      <c r="Q22" s="729">
        <v>16</v>
      </c>
      <c r="R22" s="720" t="s">
        <v>4</v>
      </c>
      <c r="S22" s="720" t="s">
        <v>149</v>
      </c>
      <c r="T22" s="720">
        <v>109</v>
      </c>
      <c r="U22" s="725">
        <v>14</v>
      </c>
      <c r="V22" s="726">
        <v>0.12844036697247707</v>
      </c>
      <c r="W22" s="713">
        <v>47.5</v>
      </c>
      <c r="X22" s="397"/>
      <c r="Y22" s="729">
        <v>14</v>
      </c>
      <c r="Z22" s="767" t="s">
        <v>630</v>
      </c>
      <c r="AA22" s="768" t="s">
        <v>227</v>
      </c>
      <c r="AB22" s="720">
        <v>40</v>
      </c>
      <c r="AC22" s="725">
        <v>4</v>
      </c>
      <c r="AD22" s="769">
        <v>0.1</v>
      </c>
      <c r="AE22" s="520">
        <v>16</v>
      </c>
      <c r="AH22" s="393" t="s">
        <v>376</v>
      </c>
      <c r="AI22" s="393">
        <v>23334.811799999996</v>
      </c>
      <c r="AJ22" s="393">
        <v>3977</v>
      </c>
      <c r="AK22" s="393">
        <v>3800</v>
      </c>
      <c r="AL22" s="391">
        <v>228</v>
      </c>
      <c r="AN22" s="393" t="s">
        <v>517</v>
      </c>
      <c r="AO22" s="524">
        <v>1519</v>
      </c>
    </row>
    <row r="23" spans="1:41" s="393" customFormat="1" ht="50" customHeight="1">
      <c r="A23" s="730">
        <v>17</v>
      </c>
      <c r="B23" s="731" t="s">
        <v>4</v>
      </c>
      <c r="C23" s="731" t="s">
        <v>149</v>
      </c>
      <c r="D23" s="734">
        <v>88429</v>
      </c>
      <c r="E23" s="735">
        <v>631091</v>
      </c>
      <c r="F23" s="736">
        <v>0.17877932011331446</v>
      </c>
      <c r="G23" s="737">
        <v>297</v>
      </c>
      <c r="H23" s="738"/>
      <c r="I23" s="730">
        <v>17</v>
      </c>
      <c r="J23" s="731" t="s">
        <v>187</v>
      </c>
      <c r="K23" s="731" t="s">
        <v>456</v>
      </c>
      <c r="L23" s="731">
        <v>32</v>
      </c>
      <c r="M23" s="732">
        <v>7</v>
      </c>
      <c r="N23" s="733">
        <v>0.21875</v>
      </c>
      <c r="O23" s="739">
        <v>20.666666666666668</v>
      </c>
      <c r="P23" s="738"/>
      <c r="Q23" s="729">
        <v>17</v>
      </c>
      <c r="R23" s="720" t="s">
        <v>187</v>
      </c>
      <c r="S23" s="720" t="s">
        <v>456</v>
      </c>
      <c r="T23" s="720">
        <v>32</v>
      </c>
      <c r="U23" s="725">
        <v>3</v>
      </c>
      <c r="V23" s="726">
        <v>9.375E-2</v>
      </c>
      <c r="W23" s="713">
        <v>19.916666666666668</v>
      </c>
      <c r="X23" s="397"/>
      <c r="Y23" s="729">
        <v>14</v>
      </c>
      <c r="Z23" s="767" t="s">
        <v>187</v>
      </c>
      <c r="AA23" s="768" t="s">
        <v>456</v>
      </c>
      <c r="AB23" s="720">
        <v>32</v>
      </c>
      <c r="AC23" s="725">
        <v>2</v>
      </c>
      <c r="AD23" s="769">
        <v>6.25E-2</v>
      </c>
      <c r="AE23" s="520">
        <v>14</v>
      </c>
      <c r="AH23" s="393" t="s">
        <v>376</v>
      </c>
      <c r="AI23" s="393">
        <v>23334.811799999996</v>
      </c>
      <c r="AJ23" s="393">
        <v>3977</v>
      </c>
      <c r="AK23" s="393">
        <v>3800</v>
      </c>
      <c r="AL23" s="391">
        <v>228</v>
      </c>
      <c r="AN23" s="393" t="s">
        <v>517</v>
      </c>
      <c r="AO23" s="524">
        <v>1519</v>
      </c>
    </row>
    <row r="24" spans="1:41" s="393" customFormat="1" ht="50" customHeight="1" thickBot="1">
      <c r="A24" s="729">
        <v>18</v>
      </c>
      <c r="B24" s="720" t="s">
        <v>187</v>
      </c>
      <c r="C24" s="720" t="s">
        <v>545</v>
      </c>
      <c r="D24" s="721">
        <v>6491</v>
      </c>
      <c r="E24" s="722">
        <v>156360</v>
      </c>
      <c r="F24" s="723">
        <v>0.11248920863309353</v>
      </c>
      <c r="G24" s="724">
        <v>102</v>
      </c>
      <c r="H24" s="738"/>
      <c r="I24" s="729">
        <v>18</v>
      </c>
      <c r="J24" s="720" t="s">
        <v>3</v>
      </c>
      <c r="K24" s="720" t="s">
        <v>130</v>
      </c>
      <c r="L24" s="720">
        <v>46</v>
      </c>
      <c r="M24" s="725">
        <v>9</v>
      </c>
      <c r="N24" s="726">
        <v>0.19565217391304349</v>
      </c>
      <c r="O24" s="727">
        <v>26.333333333333332</v>
      </c>
      <c r="P24" s="738"/>
      <c r="Q24" s="740">
        <v>18</v>
      </c>
      <c r="R24" s="741" t="s">
        <v>3</v>
      </c>
      <c r="S24" s="741" t="s">
        <v>130</v>
      </c>
      <c r="T24" s="741">
        <v>46</v>
      </c>
      <c r="U24" s="742">
        <v>3</v>
      </c>
      <c r="V24" s="743">
        <v>6.5217391304347824E-2</v>
      </c>
      <c r="W24" s="715">
        <v>26</v>
      </c>
      <c r="X24" s="397"/>
      <c r="Y24" s="740">
        <v>15</v>
      </c>
      <c r="Z24" s="773" t="s">
        <v>3</v>
      </c>
      <c r="AA24" s="774" t="s">
        <v>130</v>
      </c>
      <c r="AB24" s="741">
        <v>46</v>
      </c>
      <c r="AC24" s="742">
        <v>1</v>
      </c>
      <c r="AD24" s="775">
        <v>2.1739130434782608E-2</v>
      </c>
      <c r="AE24" s="565">
        <v>20</v>
      </c>
      <c r="AL24" s="391"/>
      <c r="AO24" s="524"/>
    </row>
    <row r="25" spans="1:41" s="393" customFormat="1" ht="50" customHeight="1" thickBot="1">
      <c r="A25" s="740">
        <v>19</v>
      </c>
      <c r="B25" s="741" t="s">
        <v>3</v>
      </c>
      <c r="C25" s="741" t="s">
        <v>130</v>
      </c>
      <c r="D25" s="744">
        <v>11271</v>
      </c>
      <c r="E25" s="745">
        <v>151091</v>
      </c>
      <c r="F25" s="746">
        <v>7.74825641025641E-2</v>
      </c>
      <c r="G25" s="747">
        <v>156</v>
      </c>
      <c r="H25" s="738"/>
      <c r="I25" s="740">
        <v>19</v>
      </c>
      <c r="J25" s="741" t="s">
        <v>4</v>
      </c>
      <c r="K25" s="741" t="s">
        <v>149</v>
      </c>
      <c r="L25" s="741">
        <v>109</v>
      </c>
      <c r="M25" s="742">
        <v>19</v>
      </c>
      <c r="N25" s="743">
        <v>0.1743119266055046</v>
      </c>
      <c r="O25" s="748">
        <v>47.5</v>
      </c>
      <c r="P25" s="738"/>
      <c r="Q25" s="749"/>
      <c r="R25" s="705"/>
      <c r="S25" s="705"/>
      <c r="T25" s="705"/>
      <c r="U25" s="750"/>
      <c r="V25" s="751"/>
      <c r="W25" s="709"/>
      <c r="X25" s="398"/>
      <c r="Y25" s="533"/>
      <c r="Z25" s="534"/>
      <c r="AA25" s="397"/>
      <c r="AB25" s="535"/>
      <c r="AC25" s="536"/>
      <c r="AD25" s="537"/>
      <c r="AE25" s="536"/>
      <c r="AL25" s="391"/>
      <c r="AO25" s="524"/>
    </row>
    <row r="26" spans="1:41" s="393" customFormat="1" ht="50" customHeight="1">
      <c r="A26" s="533"/>
      <c r="B26" s="535"/>
      <c r="C26" s="535"/>
      <c r="D26" s="562"/>
      <c r="E26" s="563"/>
      <c r="F26" s="564"/>
      <c r="G26" s="707"/>
      <c r="H26" s="398"/>
      <c r="I26" s="533"/>
      <c r="J26" s="535"/>
      <c r="K26" s="535"/>
      <c r="L26" s="535"/>
      <c r="M26" s="536"/>
      <c r="N26" s="537"/>
      <c r="O26" s="709"/>
      <c r="P26" s="398"/>
      <c r="Q26" s="533"/>
      <c r="R26" s="535"/>
      <c r="S26" s="535"/>
      <c r="T26" s="535"/>
      <c r="U26" s="536"/>
      <c r="V26" s="537"/>
      <c r="W26" s="709"/>
      <c r="X26" s="398"/>
      <c r="Y26" s="533"/>
      <c r="Z26" s="534"/>
      <c r="AA26" s="397"/>
      <c r="AB26" s="535"/>
      <c r="AC26" s="536"/>
      <c r="AD26" s="537"/>
      <c r="AE26" s="536"/>
      <c r="AL26" s="391"/>
      <c r="AO26" s="524"/>
    </row>
  </sheetData>
  <sortState xmlns:xlrd2="http://schemas.microsoft.com/office/spreadsheetml/2017/richdata2" ref="Z7:AD24">
    <sortCondition descending="1" ref="AD7:AD24"/>
  </sortState>
  <mergeCells count="10">
    <mergeCell ref="A1:V1"/>
    <mergeCell ref="AE5:AE6"/>
    <mergeCell ref="A2:V2"/>
    <mergeCell ref="A5:F5"/>
    <mergeCell ref="G5:G6"/>
    <mergeCell ref="I5:N5"/>
    <mergeCell ref="O5:O6"/>
    <mergeCell ref="Q5:V5"/>
    <mergeCell ref="W5:W6"/>
    <mergeCell ref="Y5:AD5"/>
  </mergeCells>
  <phoneticPr fontId="26" type="noConversion"/>
  <conditionalFormatting sqref="J15">
    <cfRule type="expression" dxfId="39" priority="52">
      <formula>$A15&gt;12</formula>
    </cfRule>
  </conditionalFormatting>
  <conditionalFormatting sqref="Q22:W24">
    <cfRule type="expression" dxfId="38" priority="9">
      <formula>$R22="竹苗區部"</formula>
    </cfRule>
    <cfRule type="expression" dxfId="37" priority="10">
      <formula>$I22&gt;10</formula>
    </cfRule>
  </conditionalFormatting>
  <conditionalFormatting sqref="Y22:AE24">
    <cfRule type="expression" dxfId="36" priority="7">
      <formula>$Z22="竹苗區部"</formula>
    </cfRule>
    <cfRule type="expression" dxfId="35" priority="8">
      <formula>$I22&gt;10</formula>
    </cfRule>
  </conditionalFormatting>
  <conditionalFormatting sqref="Q7:W24">
    <cfRule type="expression" dxfId="34" priority="47">
      <formula>$R7="竹苗區部"</formula>
    </cfRule>
    <cfRule type="expression" dxfId="33" priority="53">
      <formula>$I7&gt;13</formula>
    </cfRule>
  </conditionalFormatting>
  <conditionalFormatting sqref="Y7:AE24">
    <cfRule type="expression" dxfId="32" priority="45">
      <formula>$Z7="竹苗區部"</formula>
    </cfRule>
    <cfRule type="expression" dxfId="31" priority="46">
      <formula>$I7&gt;13</formula>
    </cfRule>
  </conditionalFormatting>
  <conditionalFormatting sqref="A7:G25">
    <cfRule type="expression" dxfId="30" priority="50">
      <formula>$B7="竹苗區部"</formula>
    </cfRule>
    <cfRule type="expression" dxfId="29" priority="51">
      <formula>$B7="業務通路"</formula>
    </cfRule>
    <cfRule type="expression" dxfId="28" priority="55">
      <formula>$A7&gt;14</formula>
    </cfRule>
  </conditionalFormatting>
  <conditionalFormatting sqref="I7:O25">
    <cfRule type="expression" dxfId="27" priority="48">
      <formula>$J7="竹苗區部"</formula>
    </cfRule>
    <cfRule type="expression" dxfId="26" priority="49">
      <formula>$J7="業務通路"</formula>
    </cfRule>
    <cfRule type="expression" dxfId="25" priority="54">
      <formula>$I7&gt;14</formula>
    </cfRule>
  </conditionalFormatting>
  <conditionalFormatting sqref="B7:B25 J7:J25 R7:R24">
    <cfRule type="cellIs" dxfId="24" priority="4" operator="equal">
      <formula>"竹佑二分處"</formula>
    </cfRule>
    <cfRule type="cellIs" dxfId="23" priority="5" operator="equal">
      <formula>"竹佑一分處"</formula>
    </cfRule>
    <cfRule type="cellIs" dxfId="22" priority="6" operator="equal">
      <formula>"竹佑本部"</formula>
    </cfRule>
  </conditionalFormatting>
  <conditionalFormatting sqref="Z7:Z24">
    <cfRule type="cellIs" dxfId="21" priority="1" operator="equal">
      <formula>"竹佑二分處"</formula>
    </cfRule>
    <cfRule type="cellIs" dxfId="20" priority="2" operator="equal">
      <formula>"竹佑一分處"</formula>
    </cfRule>
    <cfRule type="cellIs" dxfId="19" priority="3" operator="equal">
      <formula>"竹佑本部"</formula>
    </cfRule>
  </conditionalFormatting>
  <printOptions horizontalCentered="1"/>
  <pageMargins left="0.11811023622047245" right="0.11811023622047245" top="0.35433070866141736" bottom="0.15748031496062992" header="0.31496062992125984" footer="0.31496062992125984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3:R21"/>
  <sheetViews>
    <sheetView workbookViewId="0">
      <selection activeCell="T15" sqref="T15"/>
    </sheetView>
  </sheetViews>
  <sheetFormatPr baseColWidth="10" defaultColWidth="8.83203125" defaultRowHeight="15"/>
  <cols>
    <col min="1" max="1" width="18.5" bestFit="1" customWidth="1"/>
    <col min="2" max="2" width="10.83203125" bestFit="1" customWidth="1"/>
    <col min="3" max="3" width="6.83203125" bestFit="1" customWidth="1"/>
    <col min="4" max="6" width="5.1640625" bestFit="1" customWidth="1"/>
    <col min="7" max="7" width="4" customWidth="1"/>
    <col min="8" max="8" width="5.5" customWidth="1"/>
    <col min="9" max="9" width="7.1640625" bestFit="1" customWidth="1"/>
    <col min="10" max="10" width="4.83203125" bestFit="1" customWidth="1"/>
    <col min="11" max="11" width="7.83203125" bestFit="1" customWidth="1"/>
    <col min="12" max="13" width="6.1640625" bestFit="1" customWidth="1"/>
    <col min="14" max="14" width="7.5" customWidth="1"/>
  </cols>
  <sheetData>
    <row r="3" spans="1:18" ht="16" thickBot="1">
      <c r="A3" s="422" t="s">
        <v>734</v>
      </c>
      <c r="B3" s="422" t="s">
        <v>671</v>
      </c>
    </row>
    <row r="4" spans="1:18" ht="16" thickTop="1">
      <c r="A4" s="422" t="s">
        <v>666</v>
      </c>
      <c r="B4">
        <v>0</v>
      </c>
      <c r="C4" t="s">
        <v>242</v>
      </c>
      <c r="D4" t="s">
        <v>167</v>
      </c>
      <c r="E4" t="s">
        <v>51</v>
      </c>
      <c r="F4" t="s">
        <v>171</v>
      </c>
      <c r="G4" t="s">
        <v>169</v>
      </c>
      <c r="H4" t="s">
        <v>667</v>
      </c>
      <c r="I4" t="s">
        <v>355</v>
      </c>
      <c r="J4" t="s">
        <v>668</v>
      </c>
      <c r="K4" t="s">
        <v>669</v>
      </c>
      <c r="L4" t="s">
        <v>670</v>
      </c>
      <c r="O4" s="463" t="s">
        <v>674</v>
      </c>
      <c r="P4" s="456" t="s">
        <v>673</v>
      </c>
      <c r="Q4" s="456" t="s">
        <v>672</v>
      </c>
      <c r="R4" s="457" t="s">
        <v>677</v>
      </c>
    </row>
    <row r="5" spans="1:18">
      <c r="A5" s="241" t="s">
        <v>182</v>
      </c>
      <c r="D5">
        <v>0</v>
      </c>
      <c r="E5">
        <v>0</v>
      </c>
      <c r="F5">
        <v>0</v>
      </c>
      <c r="G5">
        <v>0</v>
      </c>
      <c r="J5">
        <v>0</v>
      </c>
      <c r="K5">
        <v>0</v>
      </c>
      <c r="L5">
        <v>0</v>
      </c>
      <c r="N5" t="s">
        <v>182</v>
      </c>
      <c r="O5" s="452">
        <f>C5+D5+E5</f>
        <v>0</v>
      </c>
      <c r="P5" s="453">
        <f>F5</f>
        <v>0</v>
      </c>
      <c r="Q5" s="454">
        <f>G5</f>
        <v>0</v>
      </c>
      <c r="R5" s="458">
        <f>SUM(O5:Q5)</f>
        <v>0</v>
      </c>
    </row>
    <row r="6" spans="1:18">
      <c r="A6" s="241" t="s">
        <v>1</v>
      </c>
      <c r="D6">
        <v>0</v>
      </c>
      <c r="E6">
        <v>0</v>
      </c>
      <c r="G6">
        <v>1</v>
      </c>
      <c r="K6">
        <v>1</v>
      </c>
      <c r="L6">
        <v>2</v>
      </c>
      <c r="N6" t="s">
        <v>1</v>
      </c>
      <c r="O6" s="452">
        <f t="shared" ref="O6:O18" si="0">C6+D6+E6</f>
        <v>0</v>
      </c>
      <c r="P6" s="453">
        <f t="shared" ref="P6:P18" si="1">F6</f>
        <v>0</v>
      </c>
      <c r="Q6" s="454">
        <f t="shared" ref="Q6:Q19" si="2">G6</f>
        <v>1</v>
      </c>
      <c r="R6" s="458">
        <f t="shared" ref="R6:R19" si="3">SUM(O6:Q6)</f>
        <v>1</v>
      </c>
    </row>
    <row r="7" spans="1:18">
      <c r="A7" s="241" t="s">
        <v>303</v>
      </c>
      <c r="D7">
        <v>0</v>
      </c>
      <c r="E7">
        <v>0</v>
      </c>
      <c r="F7">
        <v>0</v>
      </c>
      <c r="G7">
        <v>1</v>
      </c>
      <c r="K7">
        <v>1</v>
      </c>
      <c r="L7">
        <v>2</v>
      </c>
      <c r="N7" t="s">
        <v>303</v>
      </c>
      <c r="O7" s="452">
        <f t="shared" si="0"/>
        <v>0</v>
      </c>
      <c r="P7" s="453">
        <f t="shared" si="1"/>
        <v>0</v>
      </c>
      <c r="Q7" s="454">
        <f t="shared" si="2"/>
        <v>1</v>
      </c>
      <c r="R7" s="458">
        <f t="shared" si="3"/>
        <v>1</v>
      </c>
    </row>
    <row r="8" spans="1:18">
      <c r="A8" s="241" t="s">
        <v>185</v>
      </c>
      <c r="C8">
        <v>0</v>
      </c>
      <c r="E8">
        <v>0</v>
      </c>
      <c r="F8">
        <v>1</v>
      </c>
      <c r="G8">
        <v>5</v>
      </c>
      <c r="H8">
        <v>0</v>
      </c>
      <c r="I8">
        <v>0</v>
      </c>
      <c r="J8">
        <v>0</v>
      </c>
      <c r="K8">
        <v>6</v>
      </c>
      <c r="L8">
        <v>12</v>
      </c>
      <c r="N8" t="s">
        <v>185</v>
      </c>
      <c r="O8" s="452">
        <f t="shared" si="0"/>
        <v>0</v>
      </c>
      <c r="P8" s="453">
        <f t="shared" si="1"/>
        <v>1</v>
      </c>
      <c r="Q8" s="454">
        <f t="shared" si="2"/>
        <v>5</v>
      </c>
      <c r="R8" s="458">
        <f t="shared" si="3"/>
        <v>6</v>
      </c>
    </row>
    <row r="9" spans="1:18">
      <c r="A9" s="241" t="s">
        <v>2</v>
      </c>
      <c r="B9">
        <v>0</v>
      </c>
      <c r="D9">
        <v>0</v>
      </c>
      <c r="E9">
        <v>0</v>
      </c>
      <c r="F9">
        <v>0</v>
      </c>
      <c r="G9">
        <v>1</v>
      </c>
      <c r="K9">
        <v>1</v>
      </c>
      <c r="L9">
        <v>2</v>
      </c>
      <c r="N9" t="s">
        <v>2</v>
      </c>
      <c r="O9" s="452">
        <f t="shared" si="0"/>
        <v>0</v>
      </c>
      <c r="P9" s="453">
        <f t="shared" si="1"/>
        <v>0</v>
      </c>
      <c r="Q9" s="454">
        <f t="shared" si="2"/>
        <v>1</v>
      </c>
      <c r="R9" s="458">
        <f t="shared" si="3"/>
        <v>1</v>
      </c>
    </row>
    <row r="10" spans="1:18">
      <c r="A10" s="241" t="s">
        <v>3</v>
      </c>
      <c r="D10">
        <v>0</v>
      </c>
      <c r="E10">
        <v>0</v>
      </c>
      <c r="F10">
        <v>1</v>
      </c>
      <c r="G10">
        <v>4</v>
      </c>
      <c r="K10">
        <v>5</v>
      </c>
      <c r="L10">
        <v>10</v>
      </c>
      <c r="N10" t="s">
        <v>3</v>
      </c>
      <c r="O10" s="452">
        <f t="shared" si="0"/>
        <v>0</v>
      </c>
      <c r="P10" s="453">
        <f t="shared" si="1"/>
        <v>1</v>
      </c>
      <c r="Q10" s="454">
        <f t="shared" si="2"/>
        <v>4</v>
      </c>
      <c r="R10" s="458">
        <f t="shared" si="3"/>
        <v>5</v>
      </c>
    </row>
    <row r="11" spans="1:18">
      <c r="A11" s="241" t="s">
        <v>269</v>
      </c>
      <c r="D11">
        <v>0</v>
      </c>
      <c r="E11">
        <v>0</v>
      </c>
      <c r="F11">
        <v>0</v>
      </c>
      <c r="G11">
        <v>2</v>
      </c>
      <c r="K11">
        <v>2</v>
      </c>
      <c r="L11">
        <v>4</v>
      </c>
      <c r="N11" t="s">
        <v>269</v>
      </c>
      <c r="O11" s="452">
        <f t="shared" si="0"/>
        <v>0</v>
      </c>
      <c r="P11" s="453">
        <f t="shared" si="1"/>
        <v>0</v>
      </c>
      <c r="Q11" s="454">
        <f t="shared" si="2"/>
        <v>2</v>
      </c>
      <c r="R11" s="458">
        <f t="shared" si="3"/>
        <v>2</v>
      </c>
    </row>
    <row r="12" spans="1:18">
      <c r="A12" s="241" t="s">
        <v>206</v>
      </c>
      <c r="D12">
        <v>0</v>
      </c>
      <c r="E12">
        <v>0</v>
      </c>
      <c r="F12">
        <v>0</v>
      </c>
      <c r="G12">
        <v>1</v>
      </c>
      <c r="K12">
        <v>1</v>
      </c>
      <c r="L12">
        <v>2</v>
      </c>
      <c r="N12" t="s">
        <v>206</v>
      </c>
      <c r="O12" s="452">
        <f t="shared" si="0"/>
        <v>0</v>
      </c>
      <c r="P12" s="453">
        <f t="shared" si="1"/>
        <v>0</v>
      </c>
      <c r="Q12" s="454">
        <f t="shared" si="2"/>
        <v>1</v>
      </c>
      <c r="R12" s="458">
        <f t="shared" si="3"/>
        <v>1</v>
      </c>
    </row>
    <row r="13" spans="1:18">
      <c r="A13" s="241" t="s">
        <v>218</v>
      </c>
      <c r="B13">
        <v>0</v>
      </c>
      <c r="D13">
        <v>0</v>
      </c>
      <c r="E13">
        <v>0</v>
      </c>
      <c r="F13">
        <v>0</v>
      </c>
      <c r="G13">
        <v>1</v>
      </c>
      <c r="K13">
        <v>1</v>
      </c>
      <c r="L13">
        <v>2</v>
      </c>
      <c r="N13" t="s">
        <v>218</v>
      </c>
      <c r="O13" s="452">
        <f t="shared" si="0"/>
        <v>0</v>
      </c>
      <c r="P13" s="453">
        <f t="shared" si="1"/>
        <v>0</v>
      </c>
      <c r="Q13" s="454">
        <f t="shared" si="2"/>
        <v>1</v>
      </c>
      <c r="R13" s="458">
        <f t="shared" si="3"/>
        <v>1</v>
      </c>
    </row>
    <row r="14" spans="1:18">
      <c r="A14" s="241" t="s">
        <v>4</v>
      </c>
      <c r="D14">
        <v>0</v>
      </c>
      <c r="E14">
        <v>0</v>
      </c>
      <c r="F14">
        <v>0</v>
      </c>
      <c r="G14">
        <v>0</v>
      </c>
      <c r="J14">
        <v>0</v>
      </c>
      <c r="K14">
        <v>0</v>
      </c>
      <c r="L14">
        <v>0</v>
      </c>
      <c r="N14" t="s">
        <v>4</v>
      </c>
      <c r="O14" s="452">
        <f t="shared" si="0"/>
        <v>0</v>
      </c>
      <c r="P14" s="453">
        <f t="shared" si="1"/>
        <v>0</v>
      </c>
      <c r="Q14" s="454">
        <f t="shared" si="2"/>
        <v>0</v>
      </c>
      <c r="R14" s="458">
        <f t="shared" si="3"/>
        <v>0</v>
      </c>
    </row>
    <row r="15" spans="1:18">
      <c r="A15" s="241" t="s">
        <v>387</v>
      </c>
      <c r="D15">
        <v>0</v>
      </c>
      <c r="E15">
        <v>0</v>
      </c>
      <c r="F15">
        <v>0</v>
      </c>
      <c r="J15">
        <v>0</v>
      </c>
      <c r="K15">
        <v>0</v>
      </c>
      <c r="L15">
        <v>0</v>
      </c>
      <c r="N15" t="s">
        <v>387</v>
      </c>
      <c r="O15" s="452">
        <f t="shared" si="0"/>
        <v>0</v>
      </c>
      <c r="P15" s="453">
        <f t="shared" si="1"/>
        <v>0</v>
      </c>
      <c r="Q15" s="454">
        <f t="shared" si="2"/>
        <v>0</v>
      </c>
      <c r="R15" s="458">
        <f t="shared" si="3"/>
        <v>0</v>
      </c>
    </row>
    <row r="16" spans="1:18">
      <c r="A16" s="241" t="s">
        <v>186</v>
      </c>
      <c r="D16">
        <v>0</v>
      </c>
      <c r="E16">
        <v>0</v>
      </c>
      <c r="F16">
        <v>1</v>
      </c>
      <c r="J16">
        <v>0</v>
      </c>
      <c r="K16">
        <v>1</v>
      </c>
      <c r="L16">
        <v>2</v>
      </c>
      <c r="N16" t="s">
        <v>186</v>
      </c>
      <c r="O16" s="452">
        <f t="shared" si="0"/>
        <v>0</v>
      </c>
      <c r="P16" s="453">
        <f t="shared" si="1"/>
        <v>1</v>
      </c>
      <c r="Q16" s="454">
        <f t="shared" si="2"/>
        <v>0</v>
      </c>
      <c r="R16" s="458">
        <f t="shared" si="3"/>
        <v>1</v>
      </c>
    </row>
    <row r="17" spans="1:18">
      <c r="A17" s="241" t="s">
        <v>187</v>
      </c>
      <c r="D17">
        <v>0</v>
      </c>
      <c r="E17">
        <v>0</v>
      </c>
      <c r="F17">
        <v>0</v>
      </c>
      <c r="G17">
        <v>2</v>
      </c>
      <c r="H17">
        <v>0</v>
      </c>
      <c r="J17">
        <v>0</v>
      </c>
      <c r="K17">
        <v>2</v>
      </c>
      <c r="L17">
        <v>4</v>
      </c>
      <c r="N17" t="s">
        <v>187</v>
      </c>
      <c r="O17" s="452">
        <f t="shared" si="0"/>
        <v>0</v>
      </c>
      <c r="P17" s="453">
        <f t="shared" si="1"/>
        <v>0</v>
      </c>
      <c r="Q17" s="454">
        <f t="shared" si="2"/>
        <v>2</v>
      </c>
      <c r="R17" s="458">
        <f t="shared" si="3"/>
        <v>2</v>
      </c>
    </row>
    <row r="18" spans="1:18">
      <c r="A18" s="241" t="s">
        <v>462</v>
      </c>
      <c r="D18">
        <v>0</v>
      </c>
      <c r="E18">
        <v>0</v>
      </c>
      <c r="F18">
        <v>0</v>
      </c>
      <c r="G18">
        <v>2</v>
      </c>
      <c r="H18">
        <v>0</v>
      </c>
      <c r="J18">
        <v>0</v>
      </c>
      <c r="K18">
        <v>2</v>
      </c>
      <c r="L18">
        <v>4</v>
      </c>
      <c r="N18" t="s">
        <v>462</v>
      </c>
      <c r="O18" s="452">
        <f t="shared" si="0"/>
        <v>0</v>
      </c>
      <c r="P18" s="453">
        <f t="shared" si="1"/>
        <v>0</v>
      </c>
      <c r="Q18" s="454">
        <f t="shared" si="2"/>
        <v>2</v>
      </c>
      <c r="R18" s="458">
        <f t="shared" si="3"/>
        <v>2</v>
      </c>
    </row>
    <row r="19" spans="1:18" ht="16" thickBot="1">
      <c r="A19" s="241" t="s">
        <v>583</v>
      </c>
      <c r="D19">
        <v>0</v>
      </c>
      <c r="E19">
        <v>0</v>
      </c>
      <c r="F19">
        <v>0</v>
      </c>
      <c r="G19">
        <v>1</v>
      </c>
      <c r="J19">
        <v>0</v>
      </c>
      <c r="K19">
        <v>1</v>
      </c>
      <c r="L19">
        <v>2</v>
      </c>
      <c r="N19" t="s">
        <v>583</v>
      </c>
      <c r="O19" s="459">
        <f>C19+D19+E19</f>
        <v>0</v>
      </c>
      <c r="P19" s="460">
        <f>F19</f>
        <v>0</v>
      </c>
      <c r="Q19" s="461">
        <f t="shared" si="2"/>
        <v>1</v>
      </c>
      <c r="R19" s="462">
        <f t="shared" si="3"/>
        <v>1</v>
      </c>
    </row>
    <row r="20" spans="1:18" ht="16" thickTop="1">
      <c r="A20" s="241" t="s">
        <v>669</v>
      </c>
      <c r="O20" s="455">
        <f t="shared" ref="O20" si="4">C20+D20+E20</f>
        <v>0</v>
      </c>
      <c r="P20" s="455">
        <f t="shared" ref="P20" si="5">F20</f>
        <v>0</v>
      </c>
      <c r="Q20" s="455">
        <f t="shared" ref="Q20" si="6">G20</f>
        <v>0</v>
      </c>
      <c r="R20" s="455">
        <f t="shared" ref="R20" si="7">SUM(O20:Q20)</f>
        <v>0</v>
      </c>
    </row>
    <row r="21" spans="1:18">
      <c r="A21" s="241" t="s">
        <v>670</v>
      </c>
      <c r="B21">
        <v>0</v>
      </c>
      <c r="C21">
        <v>0</v>
      </c>
      <c r="D21">
        <v>0</v>
      </c>
      <c r="E21">
        <v>0</v>
      </c>
      <c r="F21">
        <v>3</v>
      </c>
      <c r="G21">
        <v>21</v>
      </c>
      <c r="H21">
        <v>0</v>
      </c>
      <c r="I21">
        <v>0</v>
      </c>
      <c r="J21">
        <v>0</v>
      </c>
      <c r="K21">
        <v>24</v>
      </c>
      <c r="L21">
        <v>48</v>
      </c>
    </row>
  </sheetData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8">
    <tabColor rgb="FFFFC000"/>
  </sheetPr>
  <dimension ref="A1:AJ28"/>
  <sheetViews>
    <sheetView showGridLines="0" view="pageBreakPreview" zoomScale="52" zoomScaleNormal="80" zoomScaleSheetLayoutView="52" workbookViewId="0">
      <selection activeCell="C7" sqref="C7:U22"/>
    </sheetView>
  </sheetViews>
  <sheetFormatPr baseColWidth="10" defaultColWidth="9.83203125" defaultRowHeight="23"/>
  <cols>
    <col min="1" max="1" width="3.1640625" style="80" customWidth="1"/>
    <col min="2" max="2" width="9" style="80" customWidth="1"/>
    <col min="3" max="3" width="13.1640625" style="92" customWidth="1"/>
    <col min="4" max="4" width="13.5" style="92" customWidth="1"/>
    <col min="5" max="5" width="9" style="92" customWidth="1"/>
    <col min="6" max="6" width="14.1640625" style="92" customWidth="1"/>
    <col min="7" max="7" width="10.1640625" style="80" customWidth="1"/>
    <col min="8" max="8" width="23" style="92" customWidth="1"/>
    <col min="9" max="9" width="14.1640625" style="92" customWidth="1"/>
    <col min="10" max="10" width="13.5" style="92" customWidth="1"/>
    <col min="11" max="11" width="23.1640625" style="92" customWidth="1"/>
    <col min="12" max="12" width="14.1640625" style="89" customWidth="1"/>
    <col min="13" max="13" width="11.1640625" style="89" customWidth="1"/>
    <col min="14" max="18" width="9.83203125" style="89" customWidth="1"/>
    <col min="19" max="19" width="17.6640625" style="84" customWidth="1"/>
    <col min="20" max="20" width="26.1640625" style="97" customWidth="1"/>
    <col min="21" max="21" width="16" style="84" customWidth="1"/>
    <col min="22" max="22" width="8.83203125" style="84" customWidth="1"/>
    <col min="23" max="23" width="12.33203125" style="82" customWidth="1"/>
    <col min="24" max="24" width="19.83203125" style="96" customWidth="1"/>
    <col min="25" max="25" width="11.33203125" style="80" bestFit="1" customWidth="1"/>
    <col min="26" max="26" width="13.83203125" style="80" bestFit="1" customWidth="1"/>
    <col min="27" max="27" width="12.5" style="80" customWidth="1"/>
    <col min="28" max="28" width="13.1640625" style="80" bestFit="1" customWidth="1"/>
    <col min="29" max="30" width="10" style="80" bestFit="1" customWidth="1"/>
    <col min="31" max="16384" width="9.83203125" style="80"/>
  </cols>
  <sheetData>
    <row r="1" spans="1:36" s="85" customFormat="1" ht="42" customHeight="1">
      <c r="A1" s="972" t="e">
        <f>#REF!</f>
        <v>#REF!</v>
      </c>
      <c r="B1" s="972"/>
      <c r="C1" s="972"/>
      <c r="D1" s="972"/>
      <c r="E1" s="972"/>
      <c r="F1" s="972"/>
      <c r="G1" s="972"/>
      <c r="H1" s="972"/>
      <c r="I1" s="972"/>
      <c r="J1" s="972"/>
      <c r="K1" s="972"/>
      <c r="L1" s="972"/>
      <c r="M1" s="972"/>
      <c r="N1" s="972"/>
      <c r="O1" s="972"/>
      <c r="P1" s="972"/>
      <c r="Q1" s="972"/>
      <c r="R1" s="972"/>
      <c r="S1" s="972"/>
      <c r="T1" s="972"/>
      <c r="U1" s="972"/>
      <c r="V1" s="972"/>
      <c r="W1" s="82"/>
      <c r="X1" s="233" t="e">
        <f>IF(AND(H23=#REF!,K23=#REF!,M23=#REF!,'單位 (不分組)'!O23=#REF!),"ok","x")</f>
        <v>#REF!</v>
      </c>
      <c r="Y1" s="83"/>
      <c r="AA1" s="83"/>
      <c r="AB1" s="84"/>
      <c r="AC1" s="83"/>
      <c r="AD1" s="84"/>
      <c r="AE1" s="83"/>
      <c r="AF1" s="84"/>
      <c r="AG1" s="83"/>
      <c r="AH1" s="84"/>
      <c r="AI1" s="84"/>
      <c r="AJ1" s="84"/>
    </row>
    <row r="2" spans="1:36" ht="6.5" customHeight="1">
      <c r="B2" s="86"/>
      <c r="C2" s="87"/>
      <c r="D2" s="87"/>
      <c r="E2" s="87"/>
      <c r="F2" s="87"/>
      <c r="G2" s="88"/>
      <c r="H2" s="87"/>
      <c r="I2" s="87"/>
      <c r="J2" s="87"/>
      <c r="K2" s="87"/>
      <c r="T2" s="90"/>
      <c r="X2" s="91"/>
      <c r="Y2" s="92"/>
      <c r="Z2" s="83"/>
      <c r="AA2" s="92"/>
      <c r="AB2" s="92"/>
      <c r="AC2" s="92"/>
      <c r="AD2" s="92"/>
      <c r="AE2" s="92"/>
      <c r="AF2" s="92"/>
      <c r="AG2" s="92"/>
      <c r="AH2" s="92"/>
      <c r="AI2" s="92"/>
      <c r="AJ2" s="92"/>
    </row>
    <row r="3" spans="1:36" ht="5.5" customHeight="1">
      <c r="B3" s="93"/>
      <c r="T3" s="90"/>
      <c r="X3" s="91"/>
      <c r="Y3" s="92"/>
      <c r="Z3" s="83"/>
      <c r="AA3" s="92"/>
      <c r="AB3" s="92"/>
      <c r="AC3" s="92"/>
      <c r="AD3" s="92"/>
      <c r="AE3" s="92"/>
      <c r="AF3" s="92"/>
      <c r="AG3" s="92"/>
      <c r="AH3" s="92"/>
      <c r="AI3" s="92"/>
      <c r="AJ3" s="92"/>
    </row>
    <row r="4" spans="1:36" s="143" customFormat="1" ht="24" customHeight="1" thickBot="1">
      <c r="B4" s="129" t="e">
        <f>#REF!</f>
        <v>#REF!</v>
      </c>
      <c r="C4" s="129"/>
      <c r="D4" s="130"/>
      <c r="E4" s="129"/>
      <c r="F4" s="131"/>
      <c r="G4" s="132" t="s">
        <v>192</v>
      </c>
      <c r="H4" s="133"/>
      <c r="I4" s="134"/>
      <c r="J4" s="135" t="e">
        <f>#REF!</f>
        <v>#REF!</v>
      </c>
      <c r="K4" s="135"/>
      <c r="L4" s="136"/>
      <c r="M4" s="136"/>
      <c r="N4" s="136"/>
      <c r="O4" s="136"/>
      <c r="P4" s="136"/>
      <c r="Q4" s="136"/>
      <c r="R4" s="136"/>
      <c r="S4" s="137" t="e">
        <f>#REF!</f>
        <v>#REF!</v>
      </c>
      <c r="T4" s="137"/>
      <c r="U4" s="138"/>
      <c r="V4" s="139"/>
      <c r="W4" s="140"/>
      <c r="X4" s="141"/>
      <c r="Y4" s="81"/>
      <c r="Z4" s="142"/>
      <c r="AA4" s="81"/>
      <c r="AB4" s="81"/>
      <c r="AC4" s="81"/>
      <c r="AD4" s="81"/>
      <c r="AE4" s="81"/>
      <c r="AF4" s="81"/>
      <c r="AG4" s="81"/>
      <c r="AH4" s="81"/>
      <c r="AI4" s="81"/>
      <c r="AJ4" s="81"/>
    </row>
    <row r="5" spans="1:36" s="95" customFormat="1" ht="51.5" customHeight="1">
      <c r="A5" s="973" t="s">
        <v>553</v>
      </c>
      <c r="B5" s="257" t="s">
        <v>333</v>
      </c>
      <c r="C5" s="975" t="s">
        <v>5</v>
      </c>
      <c r="D5" s="965" t="s">
        <v>525</v>
      </c>
      <c r="E5" s="977" t="s">
        <v>190</v>
      </c>
      <c r="F5" s="979" t="e">
        <f>#REF!</f>
        <v>#REF!</v>
      </c>
      <c r="G5" s="981" t="s">
        <v>511</v>
      </c>
      <c r="H5" s="982"/>
      <c r="I5" s="982"/>
      <c r="J5" s="983" t="e">
        <f>#REF!</f>
        <v>#REF!</v>
      </c>
      <c r="K5" s="984"/>
      <c r="L5" s="985"/>
      <c r="M5" s="986" t="s">
        <v>556</v>
      </c>
      <c r="N5" s="987"/>
      <c r="O5" s="986" t="s">
        <v>557</v>
      </c>
      <c r="P5" s="987"/>
      <c r="Q5" s="986" t="s">
        <v>616</v>
      </c>
      <c r="R5" s="987"/>
      <c r="S5" s="962" t="s">
        <v>550</v>
      </c>
      <c r="T5" s="964" t="e">
        <f>#REF!</f>
        <v>#REF!</v>
      </c>
      <c r="U5" s="965"/>
      <c r="V5" s="966"/>
      <c r="W5" s="94"/>
      <c r="X5" s="83"/>
      <c r="Y5" s="84"/>
      <c r="Z5" s="240" t="s">
        <v>567</v>
      </c>
      <c r="AA5" s="84"/>
      <c r="AB5" s="84"/>
      <c r="AC5" s="84"/>
      <c r="AD5" s="84"/>
      <c r="AE5" s="84"/>
      <c r="AF5" s="84"/>
      <c r="AG5" s="84"/>
      <c r="AH5" s="84"/>
      <c r="AI5" s="84"/>
      <c r="AJ5" s="84"/>
    </row>
    <row r="6" spans="1:36" s="95" customFormat="1" ht="33" customHeight="1" thickBot="1">
      <c r="A6" s="974"/>
      <c r="B6" s="258" t="s">
        <v>193</v>
      </c>
      <c r="C6" s="976"/>
      <c r="D6" s="976"/>
      <c r="E6" s="978"/>
      <c r="F6" s="980"/>
      <c r="G6" s="171" t="s">
        <v>0</v>
      </c>
      <c r="H6" s="172" t="s">
        <v>330</v>
      </c>
      <c r="I6" s="172" t="s">
        <v>191</v>
      </c>
      <c r="J6" s="173" t="s">
        <v>0</v>
      </c>
      <c r="K6" s="174" t="e">
        <f>#REF!</f>
        <v>#REF!</v>
      </c>
      <c r="L6" s="175" t="s">
        <v>191</v>
      </c>
      <c r="M6" s="162" t="s">
        <v>505</v>
      </c>
      <c r="N6" s="163" t="s">
        <v>506</v>
      </c>
      <c r="O6" s="344" t="s">
        <v>505</v>
      </c>
      <c r="P6" s="345" t="s">
        <v>548</v>
      </c>
      <c r="Q6" s="344" t="s">
        <v>617</v>
      </c>
      <c r="R6" s="345" t="s">
        <v>618</v>
      </c>
      <c r="S6" s="963"/>
      <c r="T6" s="166" t="s">
        <v>331</v>
      </c>
      <c r="U6" s="167" t="s">
        <v>332</v>
      </c>
      <c r="V6" s="168" t="s">
        <v>193</v>
      </c>
      <c r="Y6" s="83"/>
      <c r="Z6" s="235" t="s">
        <v>500</v>
      </c>
      <c r="AA6" s="235" t="s">
        <v>564</v>
      </c>
      <c r="AB6" s="235" t="s">
        <v>565</v>
      </c>
      <c r="AC6" s="235" t="s">
        <v>332</v>
      </c>
      <c r="AD6" s="235" t="s">
        <v>566</v>
      </c>
      <c r="AE6" s="83"/>
      <c r="AF6" s="83"/>
      <c r="AG6" s="83"/>
      <c r="AH6" s="83"/>
      <c r="AI6" s="83"/>
      <c r="AJ6" s="83"/>
    </row>
    <row r="7" spans="1:36" s="99" customFormat="1" ht="35" customHeight="1">
      <c r="A7" s="967" t="s">
        <v>554</v>
      </c>
      <c r="B7" s="259" t="e">
        <f>RANK($L7,$L$7:$L$22)</f>
        <v>#REF!</v>
      </c>
      <c r="C7" s="207" t="s">
        <v>182</v>
      </c>
      <c r="D7" s="208" t="s">
        <v>37</v>
      </c>
      <c r="E7" s="209" t="e">
        <f>VLOOKUP($C7,#REF!,3,FALSE)</f>
        <v>#REF!</v>
      </c>
      <c r="F7" s="210" t="e">
        <f>VLOOKUP($C7,#REF!,4,FALSE)</f>
        <v>#REF!</v>
      </c>
      <c r="G7" s="106" t="e">
        <f>VLOOKUP($C7,#REF!,5,FALSE)</f>
        <v>#REF!</v>
      </c>
      <c r="H7" s="107" t="e">
        <f>VLOOKUP($C7,#REF!,6,FALSE)</f>
        <v>#REF!</v>
      </c>
      <c r="I7" s="108" t="e">
        <f>VLOOKUP($C7,#REF!,7,FALSE)</f>
        <v>#REF!</v>
      </c>
      <c r="J7" s="106" t="e">
        <f>VLOOKUP($C7,#REF!,8,FALSE)</f>
        <v>#REF!</v>
      </c>
      <c r="K7" s="109" t="e">
        <f>VLOOKUP($C7,#REF!,9,FALSE)</f>
        <v>#REF!</v>
      </c>
      <c r="L7" s="242" t="e">
        <f>VLOOKUP($C7,#REF!,10,FALSE)</f>
        <v>#REF!</v>
      </c>
      <c r="M7" s="110" t="e">
        <f>VLOOKUP($C7,#REF!,11,FALSE)</f>
        <v>#REF!</v>
      </c>
      <c r="N7" s="111" t="e">
        <f>VLOOKUP($C7,#REF!,12,FALSE)</f>
        <v>#REF!</v>
      </c>
      <c r="O7" s="346" t="e">
        <f>VLOOKUP($C7,#REF!,13,FALSE)</f>
        <v>#REF!</v>
      </c>
      <c r="P7" s="347" t="e">
        <f>VLOOKUP($C7,#REF!,14,FALSE)</f>
        <v>#REF!</v>
      </c>
      <c r="Q7" s="346" t="e">
        <f>VLOOKUP($C7,#REF!,15,FALSE)</f>
        <v>#REF!</v>
      </c>
      <c r="R7" s="347" t="e">
        <f>VLOOKUP($C7,#REF!,16,FALSE)</f>
        <v>#REF!</v>
      </c>
      <c r="S7" s="112" t="e">
        <f>VLOOKUP($C7,#REF!,17,FALSE)</f>
        <v>#REF!</v>
      </c>
      <c r="T7" s="113" t="e">
        <f>VLOOKUP($C7,#REF!,18,FALSE)</f>
        <v>#REF!</v>
      </c>
      <c r="U7" s="227" t="e">
        <f>VLOOKUP($C7,#REF!,19,FALSE)</f>
        <v>#REF!</v>
      </c>
      <c r="V7" s="114" t="e">
        <f>RANK(U7,$U$7:$U$22)</f>
        <v>#REF!</v>
      </c>
      <c r="W7" s="101"/>
      <c r="X7" s="98"/>
      <c r="Z7" s="236"/>
      <c r="AA7" s="237"/>
      <c r="AB7" s="237"/>
      <c r="AC7" s="238"/>
      <c r="AD7" s="237"/>
    </row>
    <row r="8" spans="1:36" s="99" customFormat="1" ht="35" customHeight="1">
      <c r="A8" s="968"/>
      <c r="B8" s="260" t="e">
        <f t="shared" ref="B8:B21" si="0">RANK($L8,$L$7:$L$22)</f>
        <v>#REF!</v>
      </c>
      <c r="C8" s="211" t="s">
        <v>3</v>
      </c>
      <c r="D8" s="212" t="s">
        <v>130</v>
      </c>
      <c r="E8" s="213" t="e">
        <f>VLOOKUP($C8,#REF!,3,FALSE)</f>
        <v>#REF!</v>
      </c>
      <c r="F8" s="210" t="e">
        <f>VLOOKUP($C8,#REF!,4,FALSE)</f>
        <v>#REF!</v>
      </c>
      <c r="G8" s="115" t="e">
        <f>VLOOKUP($C8,#REF!,5,FALSE)</f>
        <v>#REF!</v>
      </c>
      <c r="H8" s="116" t="e">
        <f>VLOOKUP($C8,#REF!,6,FALSE)</f>
        <v>#REF!</v>
      </c>
      <c r="I8" s="117" t="e">
        <f>VLOOKUP($C8,#REF!,7,FALSE)</f>
        <v>#REF!</v>
      </c>
      <c r="J8" s="115" t="e">
        <f>VLOOKUP($C8,#REF!,8,FALSE)</f>
        <v>#REF!</v>
      </c>
      <c r="K8" s="118" t="e">
        <f>VLOOKUP($C8,#REF!,9,FALSE)</f>
        <v>#REF!</v>
      </c>
      <c r="L8" s="243" t="e">
        <f>VLOOKUP($C8,#REF!,10,FALSE)</f>
        <v>#REF!</v>
      </c>
      <c r="M8" s="119" t="e">
        <f>VLOOKUP($C8,#REF!,11,FALSE)</f>
        <v>#REF!</v>
      </c>
      <c r="N8" s="120" t="e">
        <f>VLOOKUP($C8,#REF!,12,FALSE)</f>
        <v>#REF!</v>
      </c>
      <c r="O8" s="119" t="e">
        <f>VLOOKUP($C8,#REF!,13,FALSE)</f>
        <v>#REF!</v>
      </c>
      <c r="P8" s="120" t="e">
        <f>VLOOKUP($C8,#REF!,14,FALSE)</f>
        <v>#REF!</v>
      </c>
      <c r="Q8" s="119" t="e">
        <f>VLOOKUP($C8,#REF!,15,FALSE)</f>
        <v>#REF!</v>
      </c>
      <c r="R8" s="120" t="e">
        <f>VLOOKUP($C8,#REF!,16,FALSE)</f>
        <v>#REF!</v>
      </c>
      <c r="S8" s="121" t="e">
        <f>VLOOKUP($C8,#REF!,17,FALSE)</f>
        <v>#REF!</v>
      </c>
      <c r="T8" s="122" t="e">
        <f>VLOOKUP($C8,#REF!,18,FALSE)</f>
        <v>#REF!</v>
      </c>
      <c r="U8" s="228" t="e">
        <f>VLOOKUP($C8,#REF!,19,FALSE)</f>
        <v>#REF!</v>
      </c>
      <c r="V8" s="114" t="e">
        <f t="shared" ref="V8:V21" si="1">RANK(U8,$U$7:$U$22)</f>
        <v>#REF!</v>
      </c>
      <c r="W8" s="101"/>
      <c r="X8" s="98"/>
      <c r="Z8" s="236"/>
      <c r="AA8" s="237"/>
      <c r="AB8" s="237"/>
      <c r="AC8" s="238"/>
      <c r="AD8" s="237"/>
    </row>
    <row r="9" spans="1:36" s="99" customFormat="1" ht="35" customHeight="1">
      <c r="A9" s="968"/>
      <c r="B9" s="261" t="e">
        <f t="shared" si="0"/>
        <v>#REF!</v>
      </c>
      <c r="C9" s="214" t="s">
        <v>4</v>
      </c>
      <c r="D9" s="215" t="s">
        <v>149</v>
      </c>
      <c r="E9" s="213" t="e">
        <f>VLOOKUP($C9,#REF!,3,FALSE)</f>
        <v>#REF!</v>
      </c>
      <c r="F9" s="210" t="e">
        <f>VLOOKUP($C9,#REF!,4,FALSE)</f>
        <v>#REF!</v>
      </c>
      <c r="G9" s="115" t="e">
        <f>VLOOKUP($C9,#REF!,5,FALSE)</f>
        <v>#REF!</v>
      </c>
      <c r="H9" s="116" t="e">
        <f>VLOOKUP($C9,#REF!,6,FALSE)</f>
        <v>#REF!</v>
      </c>
      <c r="I9" s="117" t="e">
        <f>VLOOKUP($C9,#REF!,7,FALSE)</f>
        <v>#REF!</v>
      </c>
      <c r="J9" s="115" t="e">
        <f>VLOOKUP($C9,#REF!,8,FALSE)</f>
        <v>#REF!</v>
      </c>
      <c r="K9" s="118" t="e">
        <f>VLOOKUP($C9,#REF!,9,FALSE)</f>
        <v>#REF!</v>
      </c>
      <c r="L9" s="243" t="e">
        <f>VLOOKUP($C9,#REF!,10,FALSE)</f>
        <v>#REF!</v>
      </c>
      <c r="M9" s="119" t="e">
        <f>VLOOKUP($C9,#REF!,11,FALSE)</f>
        <v>#REF!</v>
      </c>
      <c r="N9" s="120" t="e">
        <f>VLOOKUP($C9,#REF!,12,FALSE)</f>
        <v>#REF!</v>
      </c>
      <c r="O9" s="119" t="e">
        <f>VLOOKUP($C9,#REF!,13,FALSE)</f>
        <v>#REF!</v>
      </c>
      <c r="P9" s="120" t="e">
        <f>VLOOKUP($C9,#REF!,14,FALSE)</f>
        <v>#REF!</v>
      </c>
      <c r="Q9" s="119" t="e">
        <f>VLOOKUP($C9,#REF!,15,FALSE)</f>
        <v>#REF!</v>
      </c>
      <c r="R9" s="120" t="e">
        <f>VLOOKUP($C9,#REF!,16,FALSE)</f>
        <v>#REF!</v>
      </c>
      <c r="S9" s="121" t="e">
        <f>VLOOKUP($C9,#REF!,17,FALSE)</f>
        <v>#REF!</v>
      </c>
      <c r="T9" s="122" t="e">
        <f>VLOOKUP($C9,#REF!,18,FALSE)</f>
        <v>#REF!</v>
      </c>
      <c r="U9" s="228" t="e">
        <f>VLOOKUP($C9,#REF!,19,FALSE)</f>
        <v>#REF!</v>
      </c>
      <c r="V9" s="114" t="e">
        <f t="shared" si="1"/>
        <v>#REF!</v>
      </c>
      <c r="W9" s="101"/>
      <c r="X9" s="98"/>
      <c r="Z9" s="236"/>
      <c r="AA9" s="237"/>
      <c r="AB9" s="237"/>
      <c r="AC9" s="238"/>
      <c r="AD9" s="237"/>
    </row>
    <row r="10" spans="1:36" s="99" customFormat="1" ht="35" customHeight="1">
      <c r="A10" s="968"/>
      <c r="B10" s="260" t="e">
        <f t="shared" si="0"/>
        <v>#REF!</v>
      </c>
      <c r="C10" s="211" t="s">
        <v>269</v>
      </c>
      <c r="D10" s="212" t="s">
        <v>81</v>
      </c>
      <c r="E10" s="213" t="e">
        <f>VLOOKUP($C10,#REF!,3,FALSE)</f>
        <v>#REF!</v>
      </c>
      <c r="F10" s="210" t="e">
        <f>VLOOKUP($C10,#REF!,4,FALSE)</f>
        <v>#REF!</v>
      </c>
      <c r="G10" s="115" t="e">
        <f>VLOOKUP($C10,#REF!,5,FALSE)</f>
        <v>#REF!</v>
      </c>
      <c r="H10" s="116" t="e">
        <f>VLOOKUP($C10,#REF!,6,FALSE)</f>
        <v>#REF!</v>
      </c>
      <c r="I10" s="117" t="e">
        <f>VLOOKUP($C10,#REF!,7,FALSE)</f>
        <v>#REF!</v>
      </c>
      <c r="J10" s="115" t="e">
        <f>VLOOKUP($C10,#REF!,8,FALSE)</f>
        <v>#REF!</v>
      </c>
      <c r="K10" s="118" t="e">
        <f>VLOOKUP($C10,#REF!,9,FALSE)</f>
        <v>#REF!</v>
      </c>
      <c r="L10" s="243" t="e">
        <f>VLOOKUP($C10,#REF!,10,FALSE)</f>
        <v>#REF!</v>
      </c>
      <c r="M10" s="119" t="e">
        <f>VLOOKUP($C10,#REF!,11,FALSE)</f>
        <v>#REF!</v>
      </c>
      <c r="N10" s="120" t="e">
        <f>VLOOKUP($C10,#REF!,12,FALSE)</f>
        <v>#REF!</v>
      </c>
      <c r="O10" s="119" t="e">
        <f>VLOOKUP($C10,#REF!,13,FALSE)</f>
        <v>#REF!</v>
      </c>
      <c r="P10" s="120" t="e">
        <f>VLOOKUP($C10,#REF!,14,FALSE)</f>
        <v>#REF!</v>
      </c>
      <c r="Q10" s="119" t="e">
        <f>VLOOKUP($C10,#REF!,15,FALSE)</f>
        <v>#REF!</v>
      </c>
      <c r="R10" s="120" t="e">
        <f>VLOOKUP($C10,#REF!,16,FALSE)</f>
        <v>#REF!</v>
      </c>
      <c r="S10" s="121" t="e">
        <f>VLOOKUP($C10,#REF!,17,FALSE)</f>
        <v>#REF!</v>
      </c>
      <c r="T10" s="122" t="e">
        <f>VLOOKUP($C10,#REF!,18,FALSE)</f>
        <v>#REF!</v>
      </c>
      <c r="U10" s="228" t="e">
        <f>VLOOKUP($C10,#REF!,19,FALSE)</f>
        <v>#REF!</v>
      </c>
      <c r="V10" s="114" t="e">
        <f t="shared" si="1"/>
        <v>#REF!</v>
      </c>
      <c r="W10" s="101"/>
      <c r="X10" s="98"/>
      <c r="Z10" s="236"/>
      <c r="AA10" s="237"/>
      <c r="AB10" s="237"/>
      <c r="AC10" s="238"/>
      <c r="AD10" s="237"/>
    </row>
    <row r="11" spans="1:36" s="99" customFormat="1" ht="35" customHeight="1">
      <c r="A11" s="968"/>
      <c r="B11" s="261" t="e">
        <f t="shared" si="0"/>
        <v>#REF!</v>
      </c>
      <c r="C11" s="211" t="s">
        <v>185</v>
      </c>
      <c r="D11" s="212" t="s">
        <v>74</v>
      </c>
      <c r="E11" s="213" t="e">
        <f>VLOOKUP($C11,#REF!,3,FALSE)</f>
        <v>#REF!</v>
      </c>
      <c r="F11" s="210" t="e">
        <f>VLOOKUP($C11,#REF!,4,FALSE)</f>
        <v>#REF!</v>
      </c>
      <c r="G11" s="115" t="e">
        <f>VLOOKUP($C11,#REF!,5,FALSE)</f>
        <v>#REF!</v>
      </c>
      <c r="H11" s="116" t="e">
        <f>VLOOKUP($C11,#REF!,6,FALSE)</f>
        <v>#REF!</v>
      </c>
      <c r="I11" s="117" t="e">
        <f>VLOOKUP($C11,#REF!,7,FALSE)</f>
        <v>#REF!</v>
      </c>
      <c r="J11" s="115" t="e">
        <f>VLOOKUP($C11,#REF!,8,FALSE)</f>
        <v>#REF!</v>
      </c>
      <c r="K11" s="118" t="e">
        <f>VLOOKUP($C11,#REF!,9,FALSE)</f>
        <v>#REF!</v>
      </c>
      <c r="L11" s="243" t="e">
        <f>VLOOKUP($C11,#REF!,10,FALSE)</f>
        <v>#REF!</v>
      </c>
      <c r="M11" s="119" t="e">
        <f>VLOOKUP($C11,#REF!,11,FALSE)</f>
        <v>#REF!</v>
      </c>
      <c r="N11" s="120" t="e">
        <f>VLOOKUP($C11,#REF!,12,FALSE)</f>
        <v>#REF!</v>
      </c>
      <c r="O11" s="119" t="e">
        <f>VLOOKUP($C11,#REF!,13,FALSE)</f>
        <v>#REF!</v>
      </c>
      <c r="P11" s="120" t="e">
        <f>VLOOKUP($C11,#REF!,14,FALSE)</f>
        <v>#REF!</v>
      </c>
      <c r="Q11" s="119" t="e">
        <f>VLOOKUP($C11,#REF!,15,FALSE)</f>
        <v>#REF!</v>
      </c>
      <c r="R11" s="120" t="e">
        <f>VLOOKUP($C11,#REF!,16,FALSE)</f>
        <v>#REF!</v>
      </c>
      <c r="S11" s="121" t="e">
        <f>VLOOKUP($C11,#REF!,17,FALSE)</f>
        <v>#REF!</v>
      </c>
      <c r="T11" s="122" t="e">
        <f>VLOOKUP($C11,#REF!,18,FALSE)</f>
        <v>#REF!</v>
      </c>
      <c r="U11" s="228" t="e">
        <f>VLOOKUP($C11,#REF!,19,FALSE)</f>
        <v>#REF!</v>
      </c>
      <c r="V11" s="114" t="e">
        <f t="shared" si="1"/>
        <v>#REF!</v>
      </c>
      <c r="W11" s="101"/>
      <c r="X11" s="98"/>
      <c r="Z11" s="236"/>
      <c r="AA11" s="237"/>
      <c r="AB11" s="237"/>
      <c r="AC11" s="238"/>
      <c r="AD11" s="237"/>
    </row>
    <row r="12" spans="1:36" s="99" customFormat="1" ht="35" customHeight="1">
      <c r="A12" s="968"/>
      <c r="B12" s="260" t="e">
        <f t="shared" si="0"/>
        <v>#REF!</v>
      </c>
      <c r="C12" s="211" t="s">
        <v>612</v>
      </c>
      <c r="D12" s="212" t="s">
        <v>613</v>
      </c>
      <c r="E12" s="213" t="e">
        <f>VLOOKUP($C12,#REF!,3,FALSE)</f>
        <v>#REF!</v>
      </c>
      <c r="F12" s="210" t="e">
        <f>VLOOKUP($C12,#REF!,4,FALSE)</f>
        <v>#REF!</v>
      </c>
      <c r="G12" s="115" t="e">
        <f>VLOOKUP($C12,#REF!,5,FALSE)</f>
        <v>#REF!</v>
      </c>
      <c r="H12" s="116" t="e">
        <f>VLOOKUP($C12,#REF!,6,FALSE)</f>
        <v>#REF!</v>
      </c>
      <c r="I12" s="117" t="e">
        <f>VLOOKUP($C12,#REF!,7,FALSE)</f>
        <v>#REF!</v>
      </c>
      <c r="J12" s="115" t="e">
        <f>VLOOKUP($C12,#REF!,8,FALSE)</f>
        <v>#REF!</v>
      </c>
      <c r="K12" s="118" t="e">
        <f>VLOOKUP($C12,#REF!,9,FALSE)</f>
        <v>#REF!</v>
      </c>
      <c r="L12" s="243" t="e">
        <f>VLOOKUP($C12,#REF!,10,FALSE)</f>
        <v>#REF!</v>
      </c>
      <c r="M12" s="119" t="e">
        <f>VLOOKUP($C12,#REF!,11,FALSE)</f>
        <v>#REF!</v>
      </c>
      <c r="N12" s="120" t="e">
        <f>VLOOKUP($C12,#REF!,12,FALSE)</f>
        <v>#REF!</v>
      </c>
      <c r="O12" s="119" t="e">
        <f>VLOOKUP($C12,#REF!,13,FALSE)</f>
        <v>#REF!</v>
      </c>
      <c r="P12" s="120" t="e">
        <f>VLOOKUP($C12,#REF!,14,FALSE)</f>
        <v>#REF!</v>
      </c>
      <c r="Q12" s="119" t="e">
        <f>VLOOKUP($C12,#REF!,15,FALSE)</f>
        <v>#REF!</v>
      </c>
      <c r="R12" s="120" t="e">
        <f>VLOOKUP($C12,#REF!,16,FALSE)</f>
        <v>#REF!</v>
      </c>
      <c r="S12" s="121" t="e">
        <f>VLOOKUP($C12,#REF!,17,FALSE)</f>
        <v>#REF!</v>
      </c>
      <c r="T12" s="122" t="e">
        <f>VLOOKUP($C12,#REF!,18,FALSE)</f>
        <v>#REF!</v>
      </c>
      <c r="U12" s="228" t="e">
        <f>VLOOKUP($C12,#REF!,19,FALSE)</f>
        <v>#REF!</v>
      </c>
      <c r="V12" s="114" t="e">
        <f t="shared" si="1"/>
        <v>#REF!</v>
      </c>
      <c r="W12" s="101"/>
      <c r="X12" s="98"/>
      <c r="Z12" s="236"/>
      <c r="AA12" s="237"/>
      <c r="AB12" s="237"/>
      <c r="AC12" s="238"/>
      <c r="AD12" s="237"/>
    </row>
    <row r="13" spans="1:36" s="99" customFormat="1" ht="35" customHeight="1" thickBot="1">
      <c r="A13" s="969"/>
      <c r="B13" s="262" t="e">
        <f t="shared" si="0"/>
        <v>#REF!</v>
      </c>
      <c r="C13" s="216" t="s">
        <v>206</v>
      </c>
      <c r="D13" s="217" t="s">
        <v>485</v>
      </c>
      <c r="E13" s="209" t="e">
        <f>VLOOKUP($C13,#REF!,3,FALSE)</f>
        <v>#REF!</v>
      </c>
      <c r="F13" s="210" t="e">
        <f>VLOOKUP($C13,#REF!,4,FALSE)</f>
        <v>#REF!</v>
      </c>
      <c r="G13" s="186" t="e">
        <f>VLOOKUP($C13,#REF!,5,FALSE)</f>
        <v>#REF!</v>
      </c>
      <c r="H13" s="187" t="e">
        <f>VLOOKUP($C13,#REF!,6,FALSE)</f>
        <v>#REF!</v>
      </c>
      <c r="I13" s="188" t="e">
        <f>VLOOKUP($C13,#REF!,7,FALSE)</f>
        <v>#REF!</v>
      </c>
      <c r="J13" s="186" t="e">
        <f>VLOOKUP($C13,#REF!,8,FALSE)</f>
        <v>#REF!</v>
      </c>
      <c r="K13" s="189" t="e">
        <f>VLOOKUP($C13,#REF!,9,FALSE)</f>
        <v>#REF!</v>
      </c>
      <c r="L13" s="244" t="e">
        <f>VLOOKUP($C13,#REF!,10,FALSE)</f>
        <v>#REF!</v>
      </c>
      <c r="M13" s="190" t="e">
        <f>VLOOKUP($C13,#REF!,11,FALSE)</f>
        <v>#REF!</v>
      </c>
      <c r="N13" s="191" t="e">
        <f>VLOOKUP($C13,#REF!,12,FALSE)</f>
        <v>#REF!</v>
      </c>
      <c r="O13" s="190" t="e">
        <f>VLOOKUP($C13,#REF!,13,FALSE)</f>
        <v>#REF!</v>
      </c>
      <c r="P13" s="111" t="e">
        <f>VLOOKUP($C13,#REF!,14,FALSE)</f>
        <v>#REF!</v>
      </c>
      <c r="Q13" s="190" t="e">
        <f>VLOOKUP($C13,#REF!,15,FALSE)</f>
        <v>#REF!</v>
      </c>
      <c r="R13" s="111" t="e">
        <f>VLOOKUP($C13,#REF!,16,FALSE)</f>
        <v>#REF!</v>
      </c>
      <c r="S13" s="192" t="e">
        <f>VLOOKUP($C13,#REF!,17,FALSE)</f>
        <v>#REF!</v>
      </c>
      <c r="T13" s="193" t="e">
        <f>VLOOKUP($C13,#REF!,18,FALSE)</f>
        <v>#REF!</v>
      </c>
      <c r="U13" s="229" t="e">
        <f>VLOOKUP($C13,#REF!,19,FALSE)</f>
        <v>#REF!</v>
      </c>
      <c r="V13" s="194" t="e">
        <f t="shared" si="1"/>
        <v>#REF!</v>
      </c>
      <c r="W13" s="101"/>
      <c r="X13" s="98"/>
      <c r="Z13" s="236"/>
      <c r="AA13" s="237"/>
      <c r="AB13" s="237"/>
      <c r="AC13" s="238"/>
      <c r="AD13" s="237"/>
    </row>
    <row r="14" spans="1:36" s="99" customFormat="1" ht="35" customHeight="1" thickTop="1">
      <c r="A14" s="970" t="s">
        <v>555</v>
      </c>
      <c r="B14" s="260" t="e">
        <f t="shared" si="0"/>
        <v>#REF!</v>
      </c>
      <c r="C14" s="211" t="s">
        <v>1</v>
      </c>
      <c r="D14" s="212" t="s">
        <v>53</v>
      </c>
      <c r="E14" s="213" t="e">
        <f>VLOOKUP($C14,#REF!,3,FALSE)</f>
        <v>#REF!</v>
      </c>
      <c r="F14" s="210" t="e">
        <f>VLOOKUP($C14,#REF!,4,FALSE)</f>
        <v>#REF!</v>
      </c>
      <c r="G14" s="115" t="e">
        <f>VLOOKUP($C14,#REF!,5,FALSE)</f>
        <v>#REF!</v>
      </c>
      <c r="H14" s="116" t="e">
        <f>VLOOKUP($C14,#REF!,6,FALSE)</f>
        <v>#REF!</v>
      </c>
      <c r="I14" s="117" t="e">
        <f>VLOOKUP($C14,#REF!,7,FALSE)</f>
        <v>#REF!</v>
      </c>
      <c r="J14" s="115" t="e">
        <f>VLOOKUP($C14,#REF!,8,FALSE)</f>
        <v>#REF!</v>
      </c>
      <c r="K14" s="118" t="e">
        <f>VLOOKUP($C14,#REF!,9,FALSE)</f>
        <v>#REF!</v>
      </c>
      <c r="L14" s="243" t="e">
        <f>VLOOKUP($C14,#REF!,10,FALSE)</f>
        <v>#REF!</v>
      </c>
      <c r="M14" s="119" t="e">
        <f>VLOOKUP($C14,#REF!,11,FALSE)</f>
        <v>#REF!</v>
      </c>
      <c r="N14" s="120" t="e">
        <f>VLOOKUP($C14,#REF!,12,FALSE)</f>
        <v>#REF!</v>
      </c>
      <c r="O14" s="119" t="e">
        <f>VLOOKUP($C14,#REF!,13,FALSE)</f>
        <v>#REF!</v>
      </c>
      <c r="P14" s="191" t="e">
        <f>VLOOKUP($C14,#REF!,14,FALSE)</f>
        <v>#REF!</v>
      </c>
      <c r="Q14" s="119" t="e">
        <f>VLOOKUP($C14,#REF!,15,FALSE)</f>
        <v>#REF!</v>
      </c>
      <c r="R14" s="191" t="e">
        <f>VLOOKUP($C14,#REF!,16,FALSE)</f>
        <v>#REF!</v>
      </c>
      <c r="S14" s="121" t="e">
        <f>VLOOKUP($C14,#REF!,17,FALSE)</f>
        <v>#REF!</v>
      </c>
      <c r="T14" s="122" t="e">
        <f>VLOOKUP($C14,#REF!,18,FALSE)</f>
        <v>#REF!</v>
      </c>
      <c r="U14" s="228" t="e">
        <f>VLOOKUP($C14,#REF!,19,FALSE)</f>
        <v>#REF!</v>
      </c>
      <c r="V14" s="253" t="e">
        <f t="shared" si="1"/>
        <v>#REF!</v>
      </c>
      <c r="W14" s="101"/>
      <c r="X14" s="98"/>
      <c r="Z14" s="236"/>
      <c r="AA14" s="237"/>
      <c r="AB14" s="237"/>
      <c r="AC14" s="238"/>
      <c r="AD14" s="237"/>
    </row>
    <row r="15" spans="1:36" s="99" customFormat="1" ht="35" customHeight="1">
      <c r="A15" s="968"/>
      <c r="B15" s="261" t="e">
        <f t="shared" si="0"/>
        <v>#REF!</v>
      </c>
      <c r="C15" s="214" t="s">
        <v>186</v>
      </c>
      <c r="D15" s="215" t="s">
        <v>486</v>
      </c>
      <c r="E15" s="218" t="e">
        <f>VLOOKUP($C15,#REF!,3,FALSE)</f>
        <v>#REF!</v>
      </c>
      <c r="F15" s="210" t="e">
        <f>VLOOKUP($C15,#REF!,4,FALSE)</f>
        <v>#REF!</v>
      </c>
      <c r="G15" s="123" t="e">
        <f>VLOOKUP($C15,#REF!,5,FALSE)</f>
        <v>#REF!</v>
      </c>
      <c r="H15" s="124" t="e">
        <f>VLOOKUP($C15,#REF!,6,FALSE)</f>
        <v>#REF!</v>
      </c>
      <c r="I15" s="125" t="e">
        <f>VLOOKUP($C15,#REF!,7,FALSE)</f>
        <v>#REF!</v>
      </c>
      <c r="J15" s="123" t="e">
        <f>VLOOKUP($C15,#REF!,8,FALSE)</f>
        <v>#REF!</v>
      </c>
      <c r="K15" s="126" t="e">
        <f>VLOOKUP($C15,#REF!,9,FALSE)</f>
        <v>#REF!</v>
      </c>
      <c r="L15" s="293" t="e">
        <f>VLOOKUP($C15,#REF!,10,FALSE)</f>
        <v>#REF!</v>
      </c>
      <c r="M15" s="127" t="e">
        <f>VLOOKUP($C15,#REF!,11,FALSE)</f>
        <v>#REF!</v>
      </c>
      <c r="N15" s="294" t="e">
        <f>VLOOKUP($C15,#REF!,12,FALSE)</f>
        <v>#REF!</v>
      </c>
      <c r="O15" s="127" t="e">
        <f>VLOOKUP($C15,#REF!,13,FALSE)</f>
        <v>#REF!</v>
      </c>
      <c r="P15" s="295" t="e">
        <f>VLOOKUP($C15,#REF!,14,FALSE)</f>
        <v>#REF!</v>
      </c>
      <c r="Q15" s="127" t="e">
        <f>VLOOKUP($C15,#REF!,15,FALSE)</f>
        <v>#REF!</v>
      </c>
      <c r="R15" s="295" t="e">
        <f>VLOOKUP($C15,#REF!,16,FALSE)</f>
        <v>#REF!</v>
      </c>
      <c r="S15" s="112" t="e">
        <f>VLOOKUP($C15,#REF!,17,FALSE)</f>
        <v>#REF!</v>
      </c>
      <c r="T15" s="113" t="e">
        <f>VLOOKUP($C15,#REF!,18,FALSE)</f>
        <v>#REF!</v>
      </c>
      <c r="U15" s="227" t="e">
        <f>VLOOKUP($C15,#REF!,19,FALSE)</f>
        <v>#REF!</v>
      </c>
      <c r="V15" s="114" t="e">
        <f t="shared" si="1"/>
        <v>#REF!</v>
      </c>
      <c r="W15" s="101"/>
      <c r="X15" s="98"/>
      <c r="Z15" s="236"/>
      <c r="AA15" s="237"/>
      <c r="AB15" s="237"/>
      <c r="AC15" s="238"/>
      <c r="AD15" s="237"/>
    </row>
    <row r="16" spans="1:36" s="99" customFormat="1" ht="35" customHeight="1">
      <c r="A16" s="968"/>
      <c r="B16" s="260" t="e">
        <f t="shared" si="0"/>
        <v>#REF!</v>
      </c>
      <c r="C16" s="214" t="s">
        <v>387</v>
      </c>
      <c r="D16" s="215" t="s">
        <v>388</v>
      </c>
      <c r="E16" s="218" t="e">
        <f>VLOOKUP($C16,#REF!,3,FALSE)</f>
        <v>#REF!</v>
      </c>
      <c r="F16" s="254" t="e">
        <f>VLOOKUP($C16,#REF!,4,FALSE)</f>
        <v>#REF!</v>
      </c>
      <c r="G16" s="123" t="e">
        <f>VLOOKUP($C16,#REF!,5,FALSE)</f>
        <v>#REF!</v>
      </c>
      <c r="H16" s="124" t="e">
        <f>VLOOKUP($C16,#REF!,6,FALSE)</f>
        <v>#REF!</v>
      </c>
      <c r="I16" s="125" t="e">
        <f>VLOOKUP($C16,#REF!,7,FALSE)</f>
        <v>#REF!</v>
      </c>
      <c r="J16" s="123" t="e">
        <f>VLOOKUP($C16,#REF!,8,FALSE)</f>
        <v>#REF!</v>
      </c>
      <c r="K16" s="126" t="e">
        <f>VLOOKUP($C16,#REF!,9,FALSE)</f>
        <v>#REF!</v>
      </c>
      <c r="L16" s="245" t="e">
        <f>VLOOKUP($C16,#REF!,10,FALSE)</f>
        <v>#REF!</v>
      </c>
      <c r="M16" s="127" t="e">
        <f>VLOOKUP($C16,#REF!,11,FALSE)</f>
        <v>#REF!</v>
      </c>
      <c r="N16" s="128" t="e">
        <f>VLOOKUP($C16,#REF!,12,FALSE)</f>
        <v>#REF!</v>
      </c>
      <c r="O16" s="127" t="e">
        <f>VLOOKUP($C16,#REF!,13,FALSE)</f>
        <v>#REF!</v>
      </c>
      <c r="P16" s="120" t="e">
        <f>VLOOKUP($C16,#REF!,14,FALSE)</f>
        <v>#REF!</v>
      </c>
      <c r="Q16" s="127" t="e">
        <f>VLOOKUP($C16,#REF!,15,FALSE)</f>
        <v>#REF!</v>
      </c>
      <c r="R16" s="120" t="e">
        <f>VLOOKUP($C16,#REF!,16,FALSE)</f>
        <v>#REF!</v>
      </c>
      <c r="S16" s="121" t="e">
        <f>VLOOKUP($C16,#REF!,17,FALSE)</f>
        <v>#REF!</v>
      </c>
      <c r="T16" s="122" t="e">
        <f>VLOOKUP($C16,#REF!,18,FALSE)</f>
        <v>#REF!</v>
      </c>
      <c r="U16" s="228" t="e">
        <f>VLOOKUP($C16,#REF!,19,FALSE)</f>
        <v>#REF!</v>
      </c>
      <c r="V16" s="114" t="e">
        <f t="shared" si="1"/>
        <v>#REF!</v>
      </c>
      <c r="W16" s="101"/>
      <c r="X16" s="98"/>
      <c r="Z16" s="236"/>
      <c r="AA16" s="237"/>
      <c r="AB16" s="237"/>
      <c r="AC16" s="238"/>
      <c r="AD16" s="237"/>
    </row>
    <row r="17" spans="1:30" s="99" customFormat="1" ht="35" customHeight="1">
      <c r="A17" s="968"/>
      <c r="B17" s="261" t="e">
        <f t="shared" si="0"/>
        <v>#REF!</v>
      </c>
      <c r="C17" s="214" t="s">
        <v>218</v>
      </c>
      <c r="D17" s="215" t="s">
        <v>69</v>
      </c>
      <c r="E17" s="218" t="e">
        <f>VLOOKUP($C17,#REF!,3,FALSE)</f>
        <v>#REF!</v>
      </c>
      <c r="F17" s="210" t="e">
        <f>VLOOKUP($C17,#REF!,4,FALSE)</f>
        <v>#REF!</v>
      </c>
      <c r="G17" s="123" t="e">
        <f>VLOOKUP($C17,#REF!,5,FALSE)</f>
        <v>#REF!</v>
      </c>
      <c r="H17" s="124" t="e">
        <f>VLOOKUP($C17,#REF!,6,FALSE)</f>
        <v>#REF!</v>
      </c>
      <c r="I17" s="125" t="e">
        <f>VLOOKUP($C17,#REF!,7,FALSE)</f>
        <v>#REF!</v>
      </c>
      <c r="J17" s="123" t="e">
        <f>VLOOKUP($C17,#REF!,8,FALSE)</f>
        <v>#REF!</v>
      </c>
      <c r="K17" s="126" t="e">
        <f>VLOOKUP($C17,#REF!,9,FALSE)</f>
        <v>#REF!</v>
      </c>
      <c r="L17" s="245" t="e">
        <f>VLOOKUP($C17,#REF!,10,FALSE)</f>
        <v>#REF!</v>
      </c>
      <c r="M17" s="127" t="e">
        <f>VLOOKUP($C17,#REF!,11,FALSE)</f>
        <v>#REF!</v>
      </c>
      <c r="N17" s="128" t="e">
        <f>VLOOKUP($C17,#REF!,12,FALSE)</f>
        <v>#REF!</v>
      </c>
      <c r="O17" s="127" t="e">
        <f>VLOOKUP($C17,#REF!,13,FALSE)</f>
        <v>#REF!</v>
      </c>
      <c r="P17" s="120" t="e">
        <f>VLOOKUP($C17,#REF!,14,FALSE)</f>
        <v>#REF!</v>
      </c>
      <c r="Q17" s="127" t="e">
        <f>VLOOKUP($C17,#REF!,15,FALSE)</f>
        <v>#REF!</v>
      </c>
      <c r="R17" s="120" t="e">
        <f>VLOOKUP($C17,#REF!,16,FALSE)</f>
        <v>#REF!</v>
      </c>
      <c r="S17" s="121" t="e">
        <f>VLOOKUP($C17,#REF!,17,FALSE)</f>
        <v>#REF!</v>
      </c>
      <c r="T17" s="122" t="e">
        <f>VLOOKUP($C17,#REF!,18,FALSE)</f>
        <v>#REF!</v>
      </c>
      <c r="U17" s="228" t="e">
        <f>VLOOKUP($C17,#REF!,19,FALSE)</f>
        <v>#REF!</v>
      </c>
      <c r="V17" s="114" t="e">
        <f t="shared" si="1"/>
        <v>#REF!</v>
      </c>
      <c r="W17" s="101"/>
      <c r="X17" s="98"/>
      <c r="Z17" s="236"/>
      <c r="AA17" s="239"/>
      <c r="AB17" s="237"/>
      <c r="AC17" s="238"/>
      <c r="AD17" s="237"/>
    </row>
    <row r="18" spans="1:30" s="99" customFormat="1" ht="35" customHeight="1">
      <c r="A18" s="968"/>
      <c r="B18" s="260" t="e">
        <f t="shared" si="0"/>
        <v>#REF!</v>
      </c>
      <c r="C18" s="214" t="s">
        <v>303</v>
      </c>
      <c r="D18" s="215" t="s">
        <v>227</v>
      </c>
      <c r="E18" s="218" t="e">
        <f>VLOOKUP($C18,#REF!,3,FALSE)</f>
        <v>#REF!</v>
      </c>
      <c r="F18" s="210" t="e">
        <f>VLOOKUP($C18,#REF!,4,FALSE)</f>
        <v>#REF!</v>
      </c>
      <c r="G18" s="123" t="e">
        <f>VLOOKUP($C18,#REF!,5,FALSE)</f>
        <v>#REF!</v>
      </c>
      <c r="H18" s="124" t="e">
        <f>VLOOKUP($C18,#REF!,6,FALSE)</f>
        <v>#REF!</v>
      </c>
      <c r="I18" s="125" t="e">
        <f>VLOOKUP($C18,#REF!,7,FALSE)</f>
        <v>#REF!</v>
      </c>
      <c r="J18" s="123" t="e">
        <f>VLOOKUP($C18,#REF!,8,FALSE)</f>
        <v>#REF!</v>
      </c>
      <c r="K18" s="126" t="e">
        <f>VLOOKUP($C18,#REF!,9,FALSE)</f>
        <v>#REF!</v>
      </c>
      <c r="L18" s="245" t="e">
        <f>VLOOKUP($C18,#REF!,10,FALSE)</f>
        <v>#REF!</v>
      </c>
      <c r="M18" s="127" t="e">
        <f>VLOOKUP($C18,#REF!,11,FALSE)</f>
        <v>#REF!</v>
      </c>
      <c r="N18" s="128" t="e">
        <f>VLOOKUP($C18,#REF!,12,FALSE)</f>
        <v>#REF!</v>
      </c>
      <c r="O18" s="127" t="e">
        <f>VLOOKUP($C18,#REF!,13,FALSE)</f>
        <v>#REF!</v>
      </c>
      <c r="P18" s="120" t="e">
        <f>VLOOKUP($C18,#REF!,14,FALSE)</f>
        <v>#REF!</v>
      </c>
      <c r="Q18" s="127" t="e">
        <f>VLOOKUP($C18,#REF!,15,FALSE)</f>
        <v>#REF!</v>
      </c>
      <c r="R18" s="120" t="e">
        <f>VLOOKUP($C18,#REF!,16,FALSE)</f>
        <v>#REF!</v>
      </c>
      <c r="S18" s="121" t="e">
        <f>VLOOKUP($C18,#REF!,17,FALSE)</f>
        <v>#REF!</v>
      </c>
      <c r="T18" s="122" t="e">
        <f>VLOOKUP($C18,#REF!,18,FALSE)</f>
        <v>#REF!</v>
      </c>
      <c r="U18" s="228" t="e">
        <f>VLOOKUP($C18,#REF!,19,FALSE)</f>
        <v>#REF!</v>
      </c>
      <c r="V18" s="114" t="e">
        <f t="shared" si="1"/>
        <v>#REF!</v>
      </c>
      <c r="W18" s="101"/>
      <c r="X18" s="98"/>
      <c r="Z18" s="236"/>
      <c r="AA18" s="237"/>
      <c r="AB18" s="237"/>
      <c r="AC18" s="238"/>
      <c r="AD18" s="237"/>
    </row>
    <row r="19" spans="1:30" s="99" customFormat="1" ht="35" customHeight="1">
      <c r="A19" s="968"/>
      <c r="B19" s="261" t="e">
        <f t="shared" si="0"/>
        <v>#REF!</v>
      </c>
      <c r="C19" s="214" t="s">
        <v>187</v>
      </c>
      <c r="D19" s="215" t="s">
        <v>456</v>
      </c>
      <c r="E19" s="218" t="e">
        <f>VLOOKUP($C19,#REF!,3,FALSE)</f>
        <v>#REF!</v>
      </c>
      <c r="F19" s="210" t="e">
        <f>VLOOKUP($C19,#REF!,4,FALSE)</f>
        <v>#REF!</v>
      </c>
      <c r="G19" s="123" t="e">
        <f>VLOOKUP($C19,#REF!,5,FALSE)</f>
        <v>#REF!</v>
      </c>
      <c r="H19" s="124" t="e">
        <f>VLOOKUP($C19,#REF!,6,FALSE)</f>
        <v>#REF!</v>
      </c>
      <c r="I19" s="125" t="e">
        <f>VLOOKUP($C19,#REF!,7,FALSE)</f>
        <v>#REF!</v>
      </c>
      <c r="J19" s="123" t="e">
        <f>VLOOKUP($C19,#REF!,8,FALSE)</f>
        <v>#REF!</v>
      </c>
      <c r="K19" s="126" t="e">
        <f>VLOOKUP($C19,#REF!,9,FALSE)</f>
        <v>#REF!</v>
      </c>
      <c r="L19" s="245" t="e">
        <f>VLOOKUP($C19,#REF!,10,FALSE)</f>
        <v>#REF!</v>
      </c>
      <c r="M19" s="127" t="e">
        <f>VLOOKUP($C19,#REF!,11,FALSE)</f>
        <v>#REF!</v>
      </c>
      <c r="N19" s="128" t="e">
        <f>VLOOKUP($C19,#REF!,12,FALSE)</f>
        <v>#REF!</v>
      </c>
      <c r="O19" s="127" t="e">
        <f>VLOOKUP($C19,#REF!,13,FALSE)</f>
        <v>#REF!</v>
      </c>
      <c r="P19" s="120" t="e">
        <f>VLOOKUP($C19,#REF!,14,FALSE)</f>
        <v>#REF!</v>
      </c>
      <c r="Q19" s="127" t="e">
        <f>VLOOKUP($C19,#REF!,15,FALSE)</f>
        <v>#REF!</v>
      </c>
      <c r="R19" s="120" t="e">
        <f>VLOOKUP($C19,#REF!,16,FALSE)</f>
        <v>#REF!</v>
      </c>
      <c r="S19" s="121" t="e">
        <f>VLOOKUP($C19,#REF!,17,FALSE)</f>
        <v>#REF!</v>
      </c>
      <c r="T19" s="122" t="e">
        <f>VLOOKUP($C19,#REF!,18,FALSE)</f>
        <v>#REF!</v>
      </c>
      <c r="U19" s="228" t="e">
        <f>VLOOKUP($C19,#REF!,19,FALSE)</f>
        <v>#REF!</v>
      </c>
      <c r="V19" s="114" t="e">
        <f t="shared" si="1"/>
        <v>#REF!</v>
      </c>
      <c r="W19" s="101"/>
      <c r="X19" s="98"/>
      <c r="Z19" s="236"/>
      <c r="AA19" s="237"/>
      <c r="AB19" s="237"/>
      <c r="AC19" s="238"/>
      <c r="AD19" s="237"/>
    </row>
    <row r="20" spans="1:30" s="99" customFormat="1" ht="35" customHeight="1">
      <c r="A20" s="968"/>
      <c r="B20" s="260" t="e">
        <f t="shared" si="0"/>
        <v>#REF!</v>
      </c>
      <c r="C20" s="214" t="s">
        <v>492</v>
      </c>
      <c r="D20" s="215" t="s">
        <v>64</v>
      </c>
      <c r="E20" s="218" t="e">
        <f>VLOOKUP($C20,#REF!,3,FALSE)</f>
        <v>#REF!</v>
      </c>
      <c r="F20" s="210" t="e">
        <f>VLOOKUP($C20,#REF!,4,FALSE)</f>
        <v>#REF!</v>
      </c>
      <c r="G20" s="123" t="e">
        <f>VLOOKUP($C20,#REF!,5,FALSE)</f>
        <v>#REF!</v>
      </c>
      <c r="H20" s="124" t="e">
        <f>VLOOKUP($C20,#REF!,6,FALSE)</f>
        <v>#REF!</v>
      </c>
      <c r="I20" s="125" t="e">
        <f>VLOOKUP($C20,#REF!,7,FALSE)</f>
        <v>#REF!</v>
      </c>
      <c r="J20" s="123" t="e">
        <f>VLOOKUP($C20,#REF!,8,FALSE)</f>
        <v>#REF!</v>
      </c>
      <c r="K20" s="126" t="e">
        <f>VLOOKUP($C20,#REF!,9,FALSE)</f>
        <v>#REF!</v>
      </c>
      <c r="L20" s="245" t="e">
        <f>VLOOKUP($C20,#REF!,10,FALSE)</f>
        <v>#REF!</v>
      </c>
      <c r="M20" s="127" t="e">
        <f>VLOOKUP($C20,#REF!,11,FALSE)</f>
        <v>#REF!</v>
      </c>
      <c r="N20" s="128" t="e">
        <f>VLOOKUP($C20,#REF!,12,FALSE)</f>
        <v>#REF!</v>
      </c>
      <c r="O20" s="127" t="e">
        <f>VLOOKUP($C20,#REF!,13,FALSE)</f>
        <v>#REF!</v>
      </c>
      <c r="P20" s="120" t="e">
        <f>VLOOKUP($C20,#REF!,14,FALSE)</f>
        <v>#REF!</v>
      </c>
      <c r="Q20" s="127" t="e">
        <f>VLOOKUP($C20,#REF!,15,FALSE)</f>
        <v>#REF!</v>
      </c>
      <c r="R20" s="120" t="e">
        <f>VLOOKUP($C20,#REF!,16,FALSE)</f>
        <v>#REF!</v>
      </c>
      <c r="S20" s="121" t="e">
        <f>VLOOKUP($C20,#REF!,17,FALSE)</f>
        <v>#REF!</v>
      </c>
      <c r="T20" s="122" t="e">
        <f>VLOOKUP($C20,#REF!,18,FALSE)</f>
        <v>#REF!</v>
      </c>
      <c r="U20" s="228" t="e">
        <f>VLOOKUP($C20,#REF!,19,FALSE)</f>
        <v>#REF!</v>
      </c>
      <c r="V20" s="114" t="e">
        <f t="shared" si="1"/>
        <v>#REF!</v>
      </c>
      <c r="W20" s="101"/>
      <c r="X20" s="98"/>
      <c r="Z20" s="236"/>
      <c r="AA20" s="237"/>
      <c r="AB20" s="237"/>
      <c r="AC20" s="238"/>
      <c r="AD20" s="237"/>
    </row>
    <row r="21" spans="1:30" s="99" customFormat="1" ht="35" customHeight="1">
      <c r="A21" s="969"/>
      <c r="B21" s="261" t="e">
        <f t="shared" si="0"/>
        <v>#REF!</v>
      </c>
      <c r="C21" s="301" t="s">
        <v>2</v>
      </c>
      <c r="D21" s="302" t="s">
        <v>123</v>
      </c>
      <c r="E21" s="303" t="e">
        <f>VLOOKUP($C21,#REF!,3,FALSE)</f>
        <v>#REF!</v>
      </c>
      <c r="F21" s="210" t="e">
        <f>VLOOKUP($C21,#REF!,4,FALSE)</f>
        <v>#REF!</v>
      </c>
      <c r="G21" s="296" t="e">
        <f>VLOOKUP($C21,#REF!,5,FALSE)</f>
        <v>#REF!</v>
      </c>
      <c r="H21" s="297" t="e">
        <f>VLOOKUP($C21,#REF!,6,FALSE)</f>
        <v>#REF!</v>
      </c>
      <c r="I21" s="298" t="e">
        <f>VLOOKUP($C21,#REF!,7,FALSE)</f>
        <v>#REF!</v>
      </c>
      <c r="J21" s="296" t="e">
        <f>VLOOKUP($C21,#REF!,8,FALSE)</f>
        <v>#REF!</v>
      </c>
      <c r="K21" s="299" t="e">
        <f>VLOOKUP($C21,#REF!,9,FALSE)</f>
        <v>#REF!</v>
      </c>
      <c r="L21" s="300" t="e">
        <f>VLOOKUP($C21,#REF!,10,FALSE)</f>
        <v>#REF!</v>
      </c>
      <c r="M21" s="110" t="e">
        <f>VLOOKUP($C21,#REF!,11,FALSE)</f>
        <v>#REF!</v>
      </c>
      <c r="N21" s="111" t="e">
        <f>VLOOKUP($C21,#REF!,12,FALSE)</f>
        <v>#REF!</v>
      </c>
      <c r="O21" s="110" t="e">
        <f>VLOOKUP($C21,#REF!,13,FALSE)</f>
        <v>#REF!</v>
      </c>
      <c r="P21" s="111" t="e">
        <f>VLOOKUP($C21,#REF!,14,FALSE)</f>
        <v>#REF!</v>
      </c>
      <c r="Q21" s="110" t="e">
        <f>VLOOKUP($C21,#REF!,15,FALSE)</f>
        <v>#REF!</v>
      </c>
      <c r="R21" s="111" t="e">
        <f>VLOOKUP($C21,#REF!,16,FALSE)</f>
        <v>#REF!</v>
      </c>
      <c r="S21" s="192" t="e">
        <f>VLOOKUP($C21,#REF!,17,FALSE)</f>
        <v>#REF!</v>
      </c>
      <c r="T21" s="193" t="e">
        <f>VLOOKUP($C21,#REF!,18,FALSE)</f>
        <v>#REF!</v>
      </c>
      <c r="U21" s="229" t="e">
        <f>VLOOKUP($C21,#REF!,19,FALSE)</f>
        <v>#REF!</v>
      </c>
      <c r="V21" s="194" t="e">
        <f t="shared" si="1"/>
        <v>#REF!</v>
      </c>
      <c r="W21" s="101"/>
      <c r="X21" s="98"/>
      <c r="Z21" s="236"/>
      <c r="AA21" s="237"/>
      <c r="AB21" s="237"/>
      <c r="AC21" s="238"/>
      <c r="AD21" s="237"/>
    </row>
    <row r="22" spans="1:30" s="99" customFormat="1" ht="35" customHeight="1" thickBot="1">
      <c r="A22" s="971"/>
      <c r="B22" s="261" t="e">
        <f>RANK($L22,$L$7:$L$22)</f>
        <v>#REF!</v>
      </c>
      <c r="C22" s="304" t="s">
        <v>462</v>
      </c>
      <c r="D22" s="305" t="s">
        <v>425</v>
      </c>
      <c r="E22" s="335" t="e">
        <f>VLOOKUP($C22,#REF!,3,FALSE)</f>
        <v>#REF!</v>
      </c>
      <c r="F22" s="219" t="e">
        <f>VLOOKUP($C22,#REF!,4,FALSE)</f>
        <v>#REF!</v>
      </c>
      <c r="G22" s="336" t="e">
        <f>VLOOKUP($C22,#REF!,5,FALSE)</f>
        <v>#REF!</v>
      </c>
      <c r="H22" s="337" t="e">
        <f>VLOOKUP($C22,#REF!,6,FALSE)</f>
        <v>#REF!</v>
      </c>
      <c r="I22" s="338" t="e">
        <f>VLOOKUP($C22,#REF!,7,FALSE)</f>
        <v>#REF!</v>
      </c>
      <c r="J22" s="336" t="e">
        <f>VLOOKUP($C22,#REF!,8,FALSE)</f>
        <v>#REF!</v>
      </c>
      <c r="K22" s="339" t="e">
        <f>VLOOKUP($C22,#REF!,9,FALSE)</f>
        <v>#REF!</v>
      </c>
      <c r="L22" s="340" t="e">
        <f>VLOOKUP($C22,#REF!,10,FALSE)</f>
        <v>#REF!</v>
      </c>
      <c r="M22" s="341" t="e">
        <f>VLOOKUP($C22,#REF!,11,FALSE)</f>
        <v>#REF!</v>
      </c>
      <c r="N22" s="342" t="e">
        <f>VLOOKUP($C22,#REF!,12,FALSE)</f>
        <v>#REF!</v>
      </c>
      <c r="O22" s="341" t="e">
        <f>VLOOKUP($C22,#REF!,13,FALSE)</f>
        <v>#REF!</v>
      </c>
      <c r="P22" s="342" t="e">
        <f>VLOOKUP($C22,#REF!,14,FALSE)</f>
        <v>#REF!</v>
      </c>
      <c r="Q22" s="341" t="e">
        <f>VLOOKUP($C22,#REF!,15,FALSE)</f>
        <v>#REF!</v>
      </c>
      <c r="R22" s="342" t="e">
        <f>VLOOKUP($C22,#REF!,16,FALSE)</f>
        <v>#REF!</v>
      </c>
      <c r="S22" s="204" t="e">
        <f>VLOOKUP($C22,#REF!,17,FALSE)</f>
        <v>#REF!</v>
      </c>
      <c r="T22" s="205" t="e">
        <f>VLOOKUP($C22,#REF!,18,FALSE)</f>
        <v>#REF!</v>
      </c>
      <c r="U22" s="230" t="e">
        <f>VLOOKUP($C22,#REF!,19,FALSE)</f>
        <v>#REF!</v>
      </c>
      <c r="V22" s="343" t="e">
        <f>RANK(U22,$U$7:$U$22)</f>
        <v>#REF!</v>
      </c>
      <c r="W22" s="101"/>
      <c r="X22" s="98"/>
      <c r="Z22" s="236"/>
      <c r="AA22" s="237"/>
      <c r="AB22" s="237"/>
      <c r="AC22" s="238"/>
      <c r="AD22" s="237"/>
    </row>
    <row r="23" spans="1:30" s="99" customFormat="1" ht="35" customHeight="1" thickTop="1" thickBot="1">
      <c r="A23" s="255"/>
      <c r="B23" s="263"/>
      <c r="C23" s="306" t="s">
        <v>376</v>
      </c>
      <c r="D23" s="220" t="s">
        <v>615</v>
      </c>
      <c r="E23" s="221" t="e">
        <f>VLOOKUP($C23,#REF!,3,FALSE)</f>
        <v>#REF!</v>
      </c>
      <c r="F23" s="222" t="e">
        <f>VLOOKUP($C23,#REF!,4,FALSE)</f>
        <v>#REF!</v>
      </c>
      <c r="G23" s="176" t="e">
        <f>VLOOKUP($C23,#REF!,5,FALSE)</f>
        <v>#REF!</v>
      </c>
      <c r="H23" s="177" t="e">
        <f>VLOOKUP($C23,#REF!,6,FALSE)</f>
        <v>#REF!</v>
      </c>
      <c r="I23" s="178" t="e">
        <f>VLOOKUP($C23,#REF!,7,FALSE)</f>
        <v>#REF!</v>
      </c>
      <c r="J23" s="176" t="e">
        <f>VLOOKUP($C23,#REF!,8,FALSE)</f>
        <v>#REF!</v>
      </c>
      <c r="K23" s="179" t="e">
        <f>VLOOKUP($C23,#REF!,9,FALSE)</f>
        <v>#REF!</v>
      </c>
      <c r="L23" s="246" t="e">
        <f>VLOOKUP($C23,#REF!,10,FALSE)</f>
        <v>#REF!</v>
      </c>
      <c r="M23" s="164" t="e">
        <f>VLOOKUP($C23,#REF!,11,FALSE)</f>
        <v>#REF!</v>
      </c>
      <c r="N23" s="165" t="e">
        <f>VLOOKUP($C23,#REF!,12,FALSE)</f>
        <v>#REF!</v>
      </c>
      <c r="O23" s="164" t="e">
        <f>VLOOKUP($C23,#REF!,13,FALSE)</f>
        <v>#REF!</v>
      </c>
      <c r="P23" s="165" t="e">
        <f>VLOOKUP($C23,#REF!,14,FALSE)</f>
        <v>#REF!</v>
      </c>
      <c r="Q23" s="164" t="e">
        <f>VLOOKUP($C23,#REF!,15,FALSE)</f>
        <v>#REF!</v>
      </c>
      <c r="R23" s="165" t="e">
        <f>VLOOKUP($C23,#REF!,16,FALSE)</f>
        <v>#REF!</v>
      </c>
      <c r="S23" s="169" t="e">
        <f>VLOOKUP($C23,#REF!,17,FALSE)</f>
        <v>#REF!</v>
      </c>
      <c r="T23" s="170" t="e">
        <f>VLOOKUP($C23,#REF!,18,FALSE)</f>
        <v>#REF!</v>
      </c>
      <c r="U23" s="231" t="e">
        <f>VLOOKUP($C23,#REF!,19,FALSE)</f>
        <v>#REF!</v>
      </c>
      <c r="V23" s="264"/>
      <c r="W23" s="101"/>
      <c r="X23" s="98"/>
      <c r="Z23" s="237"/>
      <c r="AA23" s="237"/>
      <c r="AB23" s="237"/>
      <c r="AC23" s="238"/>
      <c r="AD23" s="237"/>
    </row>
    <row r="24" spans="1:30" s="99" customFormat="1" ht="35" customHeight="1" thickTop="1" thickBot="1">
      <c r="A24" s="256"/>
      <c r="B24" s="265"/>
      <c r="C24" s="223" t="s">
        <v>508</v>
      </c>
      <c r="D24" s="224" t="s">
        <v>227</v>
      </c>
      <c r="E24" s="225" t="e">
        <f>VLOOKUP($C24,#REF!,3,FALSE)</f>
        <v>#REF!</v>
      </c>
      <c r="F24" s="226" t="e">
        <f>VLOOKUP($C24,#REF!,4,FALSE)</f>
        <v>#REF!</v>
      </c>
      <c r="G24" s="195" t="e">
        <f>VLOOKUP($C24,#REF!,5,FALSE)</f>
        <v>#REF!</v>
      </c>
      <c r="H24" s="196" t="e">
        <f>VLOOKUP($C24,#REF!,6,FALSE)</f>
        <v>#REF!</v>
      </c>
      <c r="I24" s="197" t="e">
        <f>VLOOKUP($C24,#REF!,7,FALSE)</f>
        <v>#REF!</v>
      </c>
      <c r="J24" s="195" t="e">
        <f>VLOOKUP($C24,#REF!,8,FALSE)</f>
        <v>#REF!</v>
      </c>
      <c r="K24" s="198" t="e">
        <f>VLOOKUP($C24,#REF!,9,FALSE)</f>
        <v>#REF!</v>
      </c>
      <c r="L24" s="247" t="e">
        <f>VLOOKUP($C24,#REF!,10,FALSE)</f>
        <v>#REF!</v>
      </c>
      <c r="M24" s="199" t="e">
        <f>VLOOKUP($C24,#REF!,11,FALSE)</f>
        <v>#REF!</v>
      </c>
      <c r="N24" s="200" t="e">
        <f>VLOOKUP($C24,#REF!,12,FALSE)</f>
        <v>#REF!</v>
      </c>
      <c r="O24" s="199" t="e">
        <f>VLOOKUP($C24,#REF!,13,FALSE)</f>
        <v>#REF!</v>
      </c>
      <c r="P24" s="200" t="e">
        <f>VLOOKUP($C24,#REF!,14,FALSE)</f>
        <v>#REF!</v>
      </c>
      <c r="Q24" s="199" t="e">
        <f>VLOOKUP($C24,#REF!,15,FALSE)</f>
        <v>#REF!</v>
      </c>
      <c r="R24" s="200" t="e">
        <f>VLOOKUP($C24,#REF!,16,FALSE)</f>
        <v>#REF!</v>
      </c>
      <c r="S24" s="201" t="e">
        <f>VLOOKUP($C24,#REF!,17,FALSE)</f>
        <v>#REF!</v>
      </c>
      <c r="T24" s="202" t="e">
        <f>VLOOKUP($C24,#REF!,18,FALSE)</f>
        <v>#REF!</v>
      </c>
      <c r="U24" s="232" t="e">
        <f>VLOOKUP($C24,#REF!,19,FALSE)</f>
        <v>#REF!</v>
      </c>
      <c r="V24" s="203"/>
      <c r="W24" s="101"/>
      <c r="X24" s="98"/>
      <c r="Z24" s="100"/>
    </row>
    <row r="25" spans="1:30" s="99" customFormat="1" ht="9" customHeight="1">
      <c r="B25" s="266"/>
      <c r="C25" s="267"/>
      <c r="D25" s="267"/>
      <c r="E25" s="267"/>
      <c r="F25" s="267"/>
      <c r="G25" s="268"/>
      <c r="H25" s="269"/>
      <c r="I25" s="269"/>
      <c r="J25" s="269"/>
      <c r="K25" s="269"/>
      <c r="L25" s="270"/>
      <c r="M25" s="271"/>
      <c r="N25" s="271"/>
      <c r="O25" s="271"/>
      <c r="P25" s="271"/>
      <c r="Q25" s="271"/>
      <c r="R25" s="271"/>
      <c r="S25" s="272"/>
      <c r="T25" s="269"/>
      <c r="U25" s="272"/>
      <c r="V25" s="273"/>
      <c r="W25" s="102"/>
      <c r="X25" s="103"/>
    </row>
    <row r="26" spans="1:30" s="104" customFormat="1" ht="35" customHeight="1" thickBot="1">
      <c r="A26" s="180"/>
      <c r="B26" s="274"/>
      <c r="C26" s="275" t="s">
        <v>536</v>
      </c>
      <c r="D26" s="276"/>
      <c r="E26" s="277" t="e">
        <f>VLOOKUP($C26,#REF!,3,FALSE)</f>
        <v>#REF!</v>
      </c>
      <c r="F26" s="278" t="e">
        <f>VLOOKUP($C26,#REF!,4,FALSE)</f>
        <v>#REF!</v>
      </c>
      <c r="G26" s="279" t="e">
        <f>VLOOKUP($C26,#REF!,5,FALSE)</f>
        <v>#REF!</v>
      </c>
      <c r="H26" s="280" t="e">
        <f>VLOOKUP($C26,#REF!,6,FALSE)</f>
        <v>#REF!</v>
      </c>
      <c r="I26" s="281" t="e">
        <f>VLOOKUP($C26,#REF!,7,FALSE)</f>
        <v>#REF!</v>
      </c>
      <c r="J26" s="282" t="e">
        <f>VLOOKUP($C26,#REF!,8,FALSE)</f>
        <v>#REF!</v>
      </c>
      <c r="K26" s="280" t="e">
        <f>VLOOKUP($C26,#REF!,9,FALSE)</f>
        <v>#REF!</v>
      </c>
      <c r="L26" s="281" t="e">
        <f>VLOOKUP($C26,#REF!,10,FALSE)</f>
        <v>#REF!</v>
      </c>
      <c r="M26" s="283" t="e">
        <f>VLOOKUP($C26,#REF!,11,FALSE)</f>
        <v>#REF!</v>
      </c>
      <c r="N26" s="284" t="e">
        <f>VLOOKUP($C26,#REF!,12,FALSE)</f>
        <v>#REF!</v>
      </c>
      <c r="O26" s="285"/>
      <c r="P26" s="286"/>
      <c r="Q26" s="285"/>
      <c r="R26" s="286"/>
      <c r="S26" s="287" t="e">
        <f>VLOOKUP($C26,#REF!,17,FALSE)</f>
        <v>#REF!</v>
      </c>
      <c r="T26" s="288" t="e">
        <f>VLOOKUP($C26,#REF!,18,FALSE)</f>
        <v>#REF!</v>
      </c>
      <c r="U26" s="289" t="e">
        <f>VLOOKUP($C26,#REF!,19,FALSE)</f>
        <v>#REF!</v>
      </c>
      <c r="V26" s="290"/>
      <c r="X26" s="105"/>
    </row>
    <row r="28" spans="1:30">
      <c r="G28" s="92"/>
      <c r="L28" s="92"/>
      <c r="M28" s="92"/>
      <c r="N28" s="92"/>
      <c r="O28" s="92"/>
      <c r="P28" s="92"/>
      <c r="Q28" s="92"/>
      <c r="R28" s="92"/>
      <c r="S28" s="92"/>
      <c r="T28" s="92"/>
      <c r="U28" s="92"/>
    </row>
  </sheetData>
  <sortState xmlns:xlrd2="http://schemas.microsoft.com/office/spreadsheetml/2017/richdata2" ref="C7:U22">
    <sortCondition descending="1" ref="L7:L22"/>
  </sortState>
  <mergeCells count="15">
    <mergeCell ref="S5:S6"/>
    <mergeCell ref="T5:V5"/>
    <mergeCell ref="A7:A13"/>
    <mergeCell ref="A14:A22"/>
    <mergeCell ref="A1:V1"/>
    <mergeCell ref="A5:A6"/>
    <mergeCell ref="C5:C6"/>
    <mergeCell ref="D5:D6"/>
    <mergeCell ref="E5:E6"/>
    <mergeCell ref="F5:F6"/>
    <mergeCell ref="G5:I5"/>
    <mergeCell ref="J5:L5"/>
    <mergeCell ref="M5:N5"/>
    <mergeCell ref="O5:P5"/>
    <mergeCell ref="Q5:R5"/>
  </mergeCells>
  <phoneticPr fontId="26" type="noConversion"/>
  <conditionalFormatting sqref="L23 L7:L20">
    <cfRule type="cellIs" dxfId="18" priority="19" stopIfTrue="1" operator="greaterThanOrEqual">
      <formula>1</formula>
    </cfRule>
  </conditionalFormatting>
  <conditionalFormatting sqref="U23 U7:U20">
    <cfRule type="cellIs" dxfId="17" priority="18" stopIfTrue="1" operator="greaterThanOrEqual">
      <formula>1</formula>
    </cfRule>
  </conditionalFormatting>
  <conditionalFormatting sqref="V23">
    <cfRule type="cellIs" dxfId="16" priority="17" stopIfTrue="1" operator="greaterThanOrEqual">
      <formula>1</formula>
    </cfRule>
  </conditionalFormatting>
  <conditionalFormatting sqref="L22">
    <cfRule type="cellIs" dxfId="15" priority="16" stopIfTrue="1" operator="greaterThanOrEqual">
      <formula>1</formula>
    </cfRule>
  </conditionalFormatting>
  <conditionalFormatting sqref="U22">
    <cfRule type="cellIs" dxfId="14" priority="15" stopIfTrue="1" operator="greaterThanOrEqual">
      <formula>1</formula>
    </cfRule>
  </conditionalFormatting>
  <conditionalFormatting sqref="U7:U20 L7:L20 L22:L23 U22:U23">
    <cfRule type="cellIs" dxfId="13" priority="14" stopIfTrue="1" operator="greaterThan">
      <formula>1</formula>
    </cfRule>
  </conditionalFormatting>
  <conditionalFormatting sqref="L7:L20 L22:L23">
    <cfRule type="cellIs" dxfId="12" priority="13" stopIfTrue="1" operator="greaterThan">
      <formula>1</formula>
    </cfRule>
  </conditionalFormatting>
  <conditionalFormatting sqref="L24">
    <cfRule type="cellIs" dxfId="11" priority="12" stopIfTrue="1" operator="greaterThanOrEqual">
      <formula>1</formula>
    </cfRule>
  </conditionalFormatting>
  <conditionalFormatting sqref="U24">
    <cfRule type="cellIs" dxfId="10" priority="11" stopIfTrue="1" operator="greaterThanOrEqual">
      <formula>1</formula>
    </cfRule>
  </conditionalFormatting>
  <conditionalFormatting sqref="U24 L24">
    <cfRule type="cellIs" dxfId="9" priority="10" stopIfTrue="1" operator="greaterThan">
      <formula>1</formula>
    </cfRule>
  </conditionalFormatting>
  <conditionalFormatting sqref="L24">
    <cfRule type="cellIs" dxfId="8" priority="9" stopIfTrue="1" operator="greaterThan">
      <formula>1</formula>
    </cfRule>
  </conditionalFormatting>
  <conditionalFormatting sqref="V7:V20 V22">
    <cfRule type="cellIs" dxfId="7" priority="8" operator="lessThan">
      <formula>3</formula>
    </cfRule>
  </conditionalFormatting>
  <conditionalFormatting sqref="B7:B20 B22">
    <cfRule type="cellIs" dxfId="6" priority="7" operator="lessThan">
      <formula>3</formula>
    </cfRule>
  </conditionalFormatting>
  <conditionalFormatting sqref="L21">
    <cfRule type="cellIs" dxfId="5" priority="6" stopIfTrue="1" operator="greaterThanOrEqual">
      <formula>1</formula>
    </cfRule>
  </conditionalFormatting>
  <conditionalFormatting sqref="U21">
    <cfRule type="cellIs" dxfId="4" priority="5" stopIfTrue="1" operator="greaterThanOrEqual">
      <formula>1</formula>
    </cfRule>
  </conditionalFormatting>
  <conditionalFormatting sqref="L21 U21">
    <cfRule type="cellIs" dxfId="3" priority="4" stopIfTrue="1" operator="greaterThan">
      <formula>1</formula>
    </cfRule>
  </conditionalFormatting>
  <conditionalFormatting sqref="L21">
    <cfRule type="cellIs" dxfId="2" priority="3" stopIfTrue="1" operator="greaterThan">
      <formula>1</formula>
    </cfRule>
  </conditionalFormatting>
  <conditionalFormatting sqref="V21">
    <cfRule type="cellIs" dxfId="1" priority="2" operator="lessThan">
      <formula>3</formula>
    </cfRule>
  </conditionalFormatting>
  <conditionalFormatting sqref="B21">
    <cfRule type="cellIs" dxfId="0" priority="1" operator="lessThan">
      <formula>3</formula>
    </cfRule>
  </conditionalFormatting>
  <printOptions horizontalCentered="1"/>
  <pageMargins left="0.11811023622047245" right="0.11811023622047245" top="0.35433070866141736" bottom="0.15748031496062992" header="0.31496062992125984" footer="0.31496062992125984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1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7</vt:i4>
      </vt:variant>
    </vt:vector>
  </HeadingPairs>
  <TitlesOfParts>
    <vt:vector size="12" baseType="lpstr">
      <vt:lpstr>單位 (分隊)</vt:lpstr>
      <vt:lpstr>TEAM (分隊)</vt:lpstr>
      <vt:lpstr>關鍵指標 (分隊)</vt:lpstr>
      <vt:lpstr>精實組織</vt:lpstr>
      <vt:lpstr>單位 (不分組)</vt:lpstr>
      <vt:lpstr>'TEAM (分隊)'!Print_Area</vt:lpstr>
      <vt:lpstr>'單位 (不分組)'!Print_Area</vt:lpstr>
      <vt:lpstr>'單位 (分隊)'!Print_Area</vt:lpstr>
      <vt:lpstr>'關鍵指標 (分隊)'!Print_Area</vt:lpstr>
      <vt:lpstr>'TEAM (分隊)'!Print_Titles</vt:lpstr>
      <vt:lpstr>'單位 (不分組)'!主表</vt:lpstr>
      <vt:lpstr>'單位 (分隊)'!主表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fubon</dc:creator>
  <cp:lastModifiedBy>neo wang</cp:lastModifiedBy>
  <cp:lastPrinted>2026-03-31T09:08:59Z</cp:lastPrinted>
  <dcterms:created xsi:type="dcterms:W3CDTF">2014-11-27T06:37:55Z</dcterms:created>
  <dcterms:modified xsi:type="dcterms:W3CDTF">2026-03-31T09:26:31Z</dcterms:modified>
</cp:coreProperties>
</file>